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0312\OneDrive\桌面\mjj\mjj\Area_TP_Estimator\result\result\Abs\report\"/>
    </mc:Choice>
  </mc:AlternateContent>
  <xr:revisionPtr revIDLastSave="0" documentId="13_ncr:1_{E13C414C-AA28-42A5-8530-44E2846B915D}" xr6:coauthVersionLast="47" xr6:coauthVersionMax="47" xr10:uidLastSave="{00000000-0000-0000-0000-000000000000}"/>
  <bookViews>
    <workbookView xWindow="-110" yWindow="-110" windowWidth="25820" windowHeight="15500" firstSheet="1" xr2:uid="{00000000-000D-0000-FFFF-FFFF00000000}"/>
  </bookViews>
  <sheets>
    <sheet name="Abs" sheetId="1" r:id="rId1"/>
    <sheet name="AdderTree" sheetId="2" r:id="rId2"/>
    <sheet name="CAdd" sheetId="3" r:id="rId3"/>
    <sheet name="CMul" sheetId="4" r:id="rId4"/>
    <sheet name="CNorm" sheetId="5" r:id="rId5"/>
    <sheet name="Comp" sheetId="6" r:id="rId6"/>
    <sheet name="CompTree" sheetId="7" r:id="rId7"/>
    <sheet name="Counter" sheetId="8" r:id="rId8"/>
    <sheet name="CSub" sheetId="9" r:id="rId9"/>
    <sheet name="MUX" sheetId="10" r:id="rId10"/>
    <sheet name="Neg" sheetId="11" r:id="rId11"/>
    <sheet name="SxMatch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2" i="12" l="1"/>
  <c r="N102" i="11"/>
  <c r="F102" i="10"/>
  <c r="Q102" i="9"/>
  <c r="I102" i="8"/>
  <c r="S102" i="7"/>
  <c r="V102" i="6"/>
  <c r="N102" i="5"/>
  <c r="R102" i="4"/>
  <c r="Q102" i="3"/>
  <c r="N102" i="2"/>
  <c r="N102" i="1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  <c r="N3" i="11"/>
  <c r="N2" i="11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Q101" i="9"/>
  <c r="Q100" i="9"/>
  <c r="Q99" i="9"/>
  <c r="Q98" i="9"/>
  <c r="Q97" i="9"/>
  <c r="Q96" i="9"/>
  <c r="Q95" i="9"/>
  <c r="Q94" i="9"/>
  <c r="Q93" i="9"/>
  <c r="Q92" i="9"/>
  <c r="Q91" i="9"/>
  <c r="Q90" i="9"/>
  <c r="Q89" i="9"/>
  <c r="Q88" i="9"/>
  <c r="Q87" i="9"/>
  <c r="Q86" i="9"/>
  <c r="Q85" i="9"/>
  <c r="Q84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5" i="9"/>
  <c r="Q4" i="9"/>
  <c r="Q3" i="9"/>
  <c r="Q2" i="9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S3" i="7"/>
  <c r="S2" i="7"/>
  <c r="V101" i="6"/>
  <c r="V100" i="6"/>
  <c r="V99" i="6"/>
  <c r="V98" i="6"/>
  <c r="V97" i="6"/>
  <c r="V96" i="6"/>
  <c r="V95" i="6"/>
  <c r="V94" i="6"/>
  <c r="V93" i="6"/>
  <c r="V92" i="6"/>
  <c r="V91" i="6"/>
  <c r="V90" i="6"/>
  <c r="V89" i="6"/>
  <c r="V88" i="6"/>
  <c r="V87" i="6"/>
  <c r="V86" i="6"/>
  <c r="V85" i="6"/>
  <c r="V84" i="6"/>
  <c r="V83" i="6"/>
  <c r="V82" i="6"/>
  <c r="V81" i="6"/>
  <c r="V80" i="6"/>
  <c r="V79" i="6"/>
  <c r="V78" i="6"/>
  <c r="V77" i="6"/>
  <c r="V76" i="6"/>
  <c r="V75" i="6"/>
  <c r="V74" i="6"/>
  <c r="V73" i="6"/>
  <c r="V72" i="6"/>
  <c r="V71" i="6"/>
  <c r="V70" i="6"/>
  <c r="V69" i="6"/>
  <c r="V68" i="6"/>
  <c r="V67" i="6"/>
  <c r="V66" i="6"/>
  <c r="V65" i="6"/>
  <c r="V64" i="6"/>
  <c r="V63" i="6"/>
  <c r="V62" i="6"/>
  <c r="V61" i="6"/>
  <c r="V60" i="6"/>
  <c r="V59" i="6"/>
  <c r="V58" i="6"/>
  <c r="V57" i="6"/>
  <c r="V56" i="6"/>
  <c r="V55" i="6"/>
  <c r="V54" i="6"/>
  <c r="V53" i="6"/>
  <c r="V52" i="6"/>
  <c r="V51" i="6"/>
  <c r="V50" i="6"/>
  <c r="V49" i="6"/>
  <c r="V48" i="6"/>
  <c r="V47" i="6"/>
  <c r="V46" i="6"/>
  <c r="V45" i="6"/>
  <c r="V44" i="6"/>
  <c r="V43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5" i="6"/>
  <c r="V4" i="6"/>
  <c r="V3" i="6"/>
  <c r="V2" i="6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R2" i="4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<sst xmlns="http://schemas.openxmlformats.org/spreadsheetml/2006/main" count="8603" uniqueCount="350">
  <si>
    <t>RTLx</t>
  </si>
  <si>
    <t>QU_IN_DWT</t>
  </si>
  <si>
    <t>QU_IN_FRAC</t>
  </si>
  <si>
    <t>QU_IN_IF_SIGNED</t>
  </si>
  <si>
    <t>QU_OUT_DWT</t>
  </si>
  <si>
    <t>QU_OUT_FRAC</t>
  </si>
  <si>
    <t>QU_OUT_IF_SIGNED</t>
  </si>
  <si>
    <t>N_CLK</t>
  </si>
  <si>
    <t>QU_MODE</t>
  </si>
  <si>
    <t>OF_MODE</t>
  </si>
  <si>
    <t>IF_RST_N</t>
  </si>
  <si>
    <t>area</t>
  </si>
  <si>
    <t>Est_Abs</t>
  </si>
  <si>
    <t>MAPE</t>
  </si>
  <si>
    <t>综合时间(s)</t>
  </si>
  <si>
    <t>评估时间(s)</t>
  </si>
  <si>
    <t>RTL1</t>
  </si>
  <si>
    <t>true</t>
  </si>
  <si>
    <t>false</t>
  </si>
  <si>
    <t>TRN.TCPL</t>
  </si>
  <si>
    <t>WRP.TCPL</t>
  </si>
  <si>
    <t>RTL2</t>
  </si>
  <si>
    <t>RTL3</t>
  </si>
  <si>
    <t>RTL4</t>
  </si>
  <si>
    <t>RTL5</t>
  </si>
  <si>
    <t>RTL6</t>
  </si>
  <si>
    <t>RTL7</t>
  </si>
  <si>
    <t>RTL8</t>
  </si>
  <si>
    <t>RTL9</t>
  </si>
  <si>
    <t>RTL10</t>
  </si>
  <si>
    <t>RTL11</t>
  </si>
  <si>
    <t>RTL12</t>
  </si>
  <si>
    <t>RTL13</t>
  </si>
  <si>
    <t>RTL14</t>
  </si>
  <si>
    <t>RTL15</t>
  </si>
  <si>
    <t>RTL16</t>
  </si>
  <si>
    <t>RTL17</t>
  </si>
  <si>
    <t>RTL18</t>
  </si>
  <si>
    <t>RTL19</t>
  </si>
  <si>
    <t>RTL20</t>
  </si>
  <si>
    <t>RTL21</t>
  </si>
  <si>
    <t>RTL22</t>
  </si>
  <si>
    <t>RTL23</t>
  </si>
  <si>
    <t>RTL24</t>
  </si>
  <si>
    <t>RTL25</t>
  </si>
  <si>
    <t>RTL26</t>
  </si>
  <si>
    <t>RTL27</t>
  </si>
  <si>
    <t>RTL28</t>
  </si>
  <si>
    <t>RTL29</t>
  </si>
  <si>
    <t>RTL30</t>
  </si>
  <si>
    <t>RTL31</t>
  </si>
  <si>
    <t>RTL32</t>
  </si>
  <si>
    <t>RTL33</t>
  </si>
  <si>
    <t>RTL34</t>
  </si>
  <si>
    <t>RTL35</t>
  </si>
  <si>
    <t>RTL36</t>
  </si>
  <si>
    <t>RTL37</t>
  </si>
  <si>
    <t>RTL38</t>
  </si>
  <si>
    <t>RTL39</t>
  </si>
  <si>
    <t>RTL40</t>
  </si>
  <si>
    <t>RTL41</t>
  </si>
  <si>
    <t>RTL42</t>
  </si>
  <si>
    <t>RTL43</t>
  </si>
  <si>
    <t>RTL44</t>
  </si>
  <si>
    <t>RTL45</t>
  </si>
  <si>
    <t>RTL46</t>
  </si>
  <si>
    <t>RTL47</t>
  </si>
  <si>
    <t>RTL48</t>
  </si>
  <si>
    <t>RTL49</t>
  </si>
  <si>
    <t>RTL50</t>
  </si>
  <si>
    <t>RTL51</t>
  </si>
  <si>
    <t>RTL52</t>
  </si>
  <si>
    <t>RTL53</t>
  </si>
  <si>
    <t>RTL54</t>
  </si>
  <si>
    <t>RTL55</t>
  </si>
  <si>
    <t>RTL56</t>
  </si>
  <si>
    <t>RTL57</t>
  </si>
  <si>
    <t>RTL58</t>
  </si>
  <si>
    <t>RTL59</t>
  </si>
  <si>
    <t>RTL60</t>
  </si>
  <si>
    <t>RTL61</t>
  </si>
  <si>
    <t>RTL62</t>
  </si>
  <si>
    <t>RTL63</t>
  </si>
  <si>
    <t>RTL64</t>
  </si>
  <si>
    <t>RTL65</t>
  </si>
  <si>
    <t>RTL66</t>
  </si>
  <si>
    <t>RTL67</t>
  </si>
  <si>
    <t>RTL68</t>
  </si>
  <si>
    <t>RTL69</t>
  </si>
  <si>
    <t>RTL70</t>
  </si>
  <si>
    <t>RTL71</t>
  </si>
  <si>
    <t>RTL72</t>
  </si>
  <si>
    <t>RTL73</t>
  </si>
  <si>
    <t>RTL74</t>
  </si>
  <si>
    <t>RTL75</t>
  </si>
  <si>
    <t>RTL76</t>
  </si>
  <si>
    <t>RTL77</t>
  </si>
  <si>
    <t>RTL78</t>
  </si>
  <si>
    <t>RTL79</t>
  </si>
  <si>
    <t>RTL80</t>
  </si>
  <si>
    <t>RTL81</t>
  </si>
  <si>
    <t>RTL82</t>
  </si>
  <si>
    <t>RTL83</t>
  </si>
  <si>
    <t>RTL84</t>
  </si>
  <si>
    <t>RTL85</t>
  </si>
  <si>
    <t>RTL86</t>
  </si>
  <si>
    <t>RTL87</t>
  </si>
  <si>
    <t>RTL88</t>
  </si>
  <si>
    <t>RTL89</t>
  </si>
  <si>
    <t>RTL90</t>
  </si>
  <si>
    <t>RTL91</t>
  </si>
  <si>
    <t>RTL92</t>
  </si>
  <si>
    <t>RTL93</t>
  </si>
  <si>
    <t>RTL94</t>
  </si>
  <si>
    <t>RTL95</t>
  </si>
  <si>
    <t>RTL96</t>
  </si>
  <si>
    <t>RTL97</t>
  </si>
  <si>
    <t>RTL98</t>
  </si>
  <si>
    <t>RTL99</t>
  </si>
  <si>
    <t>RTL100</t>
  </si>
  <si>
    <t>QU_IN</t>
  </si>
  <si>
    <t>N_PIPELINES</t>
  </si>
  <si>
    <t>N_INPUTS</t>
  </si>
  <si>
    <t>CONFIG_MODE</t>
  </si>
  <si>
    <t>Est_AdderTree</t>
  </si>
  <si>
    <t>QuType(4,0,F)</t>
  </si>
  <si>
    <t>4</t>
  </si>
  <si>
    <t>A</t>
  </si>
  <si>
    <t>QuType(4,0,F) | QuType(5,0,F) | QuType(4,0,F) | QuType(5,0,F)</t>
  </si>
  <si>
    <t>0 | 1 | 0 | 1</t>
  </si>
  <si>
    <t>TRN.TCPL | TRN.TCPL | TRN.TCPL | TRN.TCPL</t>
  </si>
  <si>
    <t>WRP.TCPL | WRP.TCPL | WRP.TCPL | WRP.TCPL</t>
  </si>
  <si>
    <t>B</t>
  </si>
  <si>
    <t>QuType(10,6,T)</t>
  </si>
  <si>
    <t>3</t>
  </si>
  <si>
    <t>QuType(6,4,T) | QuType(7,4,F) | QuType(6,4,T) | QuType(7,4,F)</t>
  </si>
  <si>
    <t>1 | 2 | 1 | 2</t>
  </si>
  <si>
    <t>QuType(12,3,F)</t>
  </si>
  <si>
    <t>QuType(14,2,T) | QuType(15,4,T) | QuType(14,2,T)</t>
  </si>
  <si>
    <t>0 | 1 | 0</t>
  </si>
  <si>
    <t>TRN.TCPL | TRN.TCPL | TRN.TCPL</t>
  </si>
  <si>
    <t>WRP.TCPL | WRP.TCPL | WRP.TCPL</t>
  </si>
  <si>
    <t>QuType(10,2,F)</t>
  </si>
  <si>
    <t>1</t>
  </si>
  <si>
    <t>QuType(9,1,T) | QuType(10,1,T) | QuType(9,1,T)</t>
  </si>
  <si>
    <t>0 | 0 | 0</t>
  </si>
  <si>
    <t>QuType(6,3,T)</t>
  </si>
  <si>
    <t>6</t>
  </si>
  <si>
    <t>QuType(9,1,T) | QuType(10,1,F) | QuType(9,1,T)</t>
  </si>
  <si>
    <t>2 | 0 | 2</t>
  </si>
  <si>
    <t>QuType(10,4,T)</t>
  </si>
  <si>
    <t>QuType(6,3,T) | QuType(7,1,T) | QuType(6,3,T)</t>
  </si>
  <si>
    <t>QuType(10,2,T)</t>
  </si>
  <si>
    <t>QuType(5,3,F) | QuType(6,1,F) | QuType(5,3,F) | QuType(6,1,F)</t>
  </si>
  <si>
    <t>2 | 0 | 2 | 0</t>
  </si>
  <si>
    <t>QuType(8,1,T)</t>
  </si>
  <si>
    <t>2</t>
  </si>
  <si>
    <t>QuType(10,2,F) | QuType(11,2,T) | QuType(10,2,F) | QuType(11,2,T)</t>
  </si>
  <si>
    <t>2 | 1 | 2 | 1</t>
  </si>
  <si>
    <t>QuType(4,3,T)</t>
  </si>
  <si>
    <t>QuType(5,1,F) | QuType(6,1,F)</t>
  </si>
  <si>
    <t>2 | 2</t>
  </si>
  <si>
    <t>TRN.TCPL | TRN.TCPL</t>
  </si>
  <si>
    <t>WRP.TCPL | WRP.TCPL</t>
  </si>
  <si>
    <t>QuType(10,3,F)</t>
  </si>
  <si>
    <t>0</t>
  </si>
  <si>
    <t>QuType(8,1,F) | QuType(9,1,F) | QuType(8,1,F)</t>
  </si>
  <si>
    <t>1 | 1 | 1</t>
  </si>
  <si>
    <t>QuType(9,0,T)</t>
  </si>
  <si>
    <t>QuType(9,0,T) | QuType(10,0,F) | QuType(9,0,T) | QuType(10,0,F)</t>
  </si>
  <si>
    <t>3 | 3 | 3 | 3</t>
  </si>
  <si>
    <t>QuType(9,4,F)</t>
  </si>
  <si>
    <t>QuType(10,2,F) | QuType(11,4,F) | QuType(10,2,F)</t>
  </si>
  <si>
    <t>QuType(14,3,T)</t>
  </si>
  <si>
    <t>QuType(5,0,T) | QuType(6,0,F) | QuType(5,0,T) | QuType(6,0,F)</t>
  </si>
  <si>
    <t>0 | 0 | 0 | 0</t>
  </si>
  <si>
    <t>QuType(9,6,T)</t>
  </si>
  <si>
    <t>QuType(6,0,T) | QuType(7,0,T) | QuType(6,0,T)</t>
  </si>
  <si>
    <t>QuType(10,1,F)</t>
  </si>
  <si>
    <t>QuType(12,1,T) | QuType(13,1,T) | QuType(12,1,T)</t>
  </si>
  <si>
    <t>QuType(9,2,F)</t>
  </si>
  <si>
    <t>QuType(8,3,T) | QuType(9,1,T)</t>
  </si>
  <si>
    <t>2 | 0</t>
  </si>
  <si>
    <t>QuType(9,3,F)</t>
  </si>
  <si>
    <t>QuType(5,2,T)</t>
  </si>
  <si>
    <t>QuType(4,3,T) | QuType(5,1,F) | QuType(4,3,T)</t>
  </si>
  <si>
    <t>2 | 1 | 2</t>
  </si>
  <si>
    <t>QuType(8,0,F)</t>
  </si>
  <si>
    <t>QuType(4,3,T) | QuType(5,4,T) | QuType(4,3,T) | QuType(5,4,T)</t>
  </si>
  <si>
    <t>QuType(5,0,T)</t>
  </si>
  <si>
    <t>QuType(9,3,T)</t>
  </si>
  <si>
    <t>QuType(8,2,T)</t>
  </si>
  <si>
    <t>QuType(5,2,F) | QuType(6,4,F) | QuType(5,2,F)</t>
  </si>
  <si>
    <t>QuType(6,4,F)</t>
  </si>
  <si>
    <t>QuType(12,3,F) | QuType(13,1,F) | QuType(12,3,F) | QuType(13,1,F)</t>
  </si>
  <si>
    <t>1 | 1 | 1 | 1</t>
  </si>
  <si>
    <t>QuType(12,0,T)</t>
  </si>
  <si>
    <t>QuType(6,2,T)</t>
  </si>
  <si>
    <t>QuType(14,2,T) | QuType(15,2,T)</t>
  </si>
  <si>
    <t>0 | 0</t>
  </si>
  <si>
    <t>QuType(8,0,T)</t>
  </si>
  <si>
    <t>QuType(4,0,F) | QuType(5,2,T) | QuType(4,0,F)</t>
  </si>
  <si>
    <t>QuType(10,0,F)</t>
  </si>
  <si>
    <t>QuType(8,2,T) | QuType(9,2,T) | QuType(8,2,T)</t>
  </si>
  <si>
    <t>3 | 3 | 3</t>
  </si>
  <si>
    <t>QuType(5,1,T)</t>
  </si>
  <si>
    <t>QuType(5,1,F) | QuType(6,2,F) | QuType(5,1,F)</t>
  </si>
  <si>
    <t>QuType(14,4,F)</t>
  </si>
  <si>
    <t>QuType(9,2,T) | QuType(10,4,T)</t>
  </si>
  <si>
    <t>QuType(5,3,T)</t>
  </si>
  <si>
    <t>QuType(5,2,T) | QuType(6,3,T)</t>
  </si>
  <si>
    <t>1 | 2</t>
  </si>
  <si>
    <t>QuType(9,6,F)</t>
  </si>
  <si>
    <t>QuType(9,4,T)</t>
  </si>
  <si>
    <t>QuType(5,4,T)</t>
  </si>
  <si>
    <t>QuType(12,3,F) | QuType(13,3,F) | QuType(12,3,F)</t>
  </si>
  <si>
    <t>QuType(6,2,F)</t>
  </si>
  <si>
    <t>QuType(14,2,T) | QuType(15,3,T) | QuType(14,2,T) | QuType(15,3,T)</t>
  </si>
  <si>
    <t>QuType(6,0,F)</t>
  </si>
  <si>
    <t>QuType(9,1,F) | QuType(10,2,F)</t>
  </si>
  <si>
    <t>QuType(4,2,T)</t>
  </si>
  <si>
    <t>QuType(12,0,F) | QuType(13,2,F) | QuType(12,0,F)</t>
  </si>
  <si>
    <t>QuType(10,3,T)</t>
  </si>
  <si>
    <t>QuType(12,1,T)</t>
  </si>
  <si>
    <t>QuType(5,3,F)</t>
  </si>
  <si>
    <t>QuType(14,1,T) | QuType(15,2,T) | QuType(14,1,T)</t>
  </si>
  <si>
    <t>QuType(5,1,F)</t>
  </si>
  <si>
    <t>QuType(12,0,F)</t>
  </si>
  <si>
    <t>QuType(8,2,F) | QuType(9,4,F)</t>
  </si>
  <si>
    <t>QuType(12,2,F)</t>
  </si>
  <si>
    <t>QuType(12,1,F) | QuType(13,2,F) | QuType(12,1,F) | QuType(13,2,F)</t>
  </si>
  <si>
    <t>QuType(8,2,F)</t>
  </si>
  <si>
    <t>QuType(12,3,T) | QuType(13,3,T) | QuType(12,3,T)</t>
  </si>
  <si>
    <t>QuType(9,2,T)</t>
  </si>
  <si>
    <t>QuType(12,2,T) | QuType(13,4,T)</t>
  </si>
  <si>
    <t>1 | 1</t>
  </si>
  <si>
    <t>QuType(12,6,F)</t>
  </si>
  <si>
    <t>QuType(8,0,F) | QuType(9,2,F) | QuType(8,0,F)</t>
  </si>
  <si>
    <t>1 | 2 | 1</t>
  </si>
  <si>
    <t>QuType(8,3,F)</t>
  </si>
  <si>
    <t>QuType(8,3,T) | QuType(9,3,T) | QuType(8,3,T)</t>
  </si>
  <si>
    <t>QuType(4,2,F) | QuType(5,3,F)</t>
  </si>
  <si>
    <t>QuType(10,1,T)</t>
  </si>
  <si>
    <t>QuType(5,1,F) | QuType(6,1,F) | QuType(5,1,F)</t>
  </si>
  <si>
    <t>QuType(10,6,F)</t>
  </si>
  <si>
    <t>QuType(9,1,T)</t>
  </si>
  <si>
    <t>QuType(14,6,T)</t>
  </si>
  <si>
    <t>QuType(6,2,T) | QuType(7,4,T) | QuType(6,2,T) | QuType(7,4,T)</t>
  </si>
  <si>
    <t>QuType(8,0,T) | QuType(9,0,T) | QuType(8,0,T)</t>
  </si>
  <si>
    <t>QuType(12,4,T)</t>
  </si>
  <si>
    <t>QuType(9,2,T) | QuType(10,2,T)</t>
  </si>
  <si>
    <t>QuType(12,1,F)</t>
  </si>
  <si>
    <t>QuType(10,3,T) | QuType(11,3,T) | QuType(10,3,T) | QuType(11,3,T)</t>
  </si>
  <si>
    <t>QU_IN_1_DWT</t>
  </si>
  <si>
    <t>QU_IN_1_FRAC</t>
  </si>
  <si>
    <t>QU_IN_1_IF_SIGNED</t>
  </si>
  <si>
    <t>QU_IN_2_DWT</t>
  </si>
  <si>
    <t>QU_IN_2_FRAC</t>
  </si>
  <si>
    <t>QU_IN_2_IF_SIGNED</t>
  </si>
  <si>
    <t>Est_CAdd</t>
  </si>
  <si>
    <t>METHOD</t>
  </si>
  <si>
    <t>Est_CMul</t>
  </si>
  <si>
    <t>3mul</t>
  </si>
  <si>
    <t>4mul</t>
  </si>
  <si>
    <t>Est_CNorm</t>
  </si>
  <si>
    <t>IF_GIDX</t>
  </si>
  <si>
    <t>IF_LIDX</t>
  </si>
  <si>
    <t>IF_EIDX</t>
  </si>
  <si>
    <t>IF_GVAL</t>
  </si>
  <si>
    <t>IF_LVAL</t>
  </si>
  <si>
    <t>Est_Comp</t>
  </si>
  <si>
    <t>Est_CompTree</t>
  </si>
  <si>
    <t>QuType(14,2,T) | QuType(15,2,T) | QuType(14,2,T)</t>
  </si>
  <si>
    <t>2 | 2 | 2</t>
  </si>
  <si>
    <t>QuType(14,1,F)</t>
  </si>
  <si>
    <t>QuType(6,2,F) | QuType(7,2,F) | QuType(6,2,F) | QuType(7,2,F)</t>
  </si>
  <si>
    <t>QuType(14,3,T) | QuType(15,1,F) | QuType(14,3,T) | QuType(15,1,F)</t>
  </si>
  <si>
    <t>QuType(4,3,F)</t>
  </si>
  <si>
    <t>QuType(14,1,F) | QuType(15,2,T) | QuType(14,1,F)</t>
  </si>
  <si>
    <t>QuType(14,2,F)</t>
  </si>
  <si>
    <t>QuType(8,0,F) | QuType(9,0,F) | QuType(8,0,F)</t>
  </si>
  <si>
    <t>QuType(10,4,F)</t>
  </si>
  <si>
    <t>QuType(9,3,T) | QuType(10,3,T) | QuType(9,3,T) | QuType(10,3,T)</t>
  </si>
  <si>
    <t>QuType(8,4,T)</t>
  </si>
  <si>
    <t>QuType(14,3,T) | QuType(15,1,T) | QuType(14,3,T) | QuType(15,1,T)</t>
  </si>
  <si>
    <t>QuType(9,2,T) | QuType(10,3,T) | QuType(9,2,T)</t>
  </si>
  <si>
    <t>QuType(6,1,T)</t>
  </si>
  <si>
    <t>QuType(10,0,T) | QuType(11,2,T) | QuType(10,0,T) | QuType(11,2,T)</t>
  </si>
  <si>
    <t>QuType(8,1,F)</t>
  </si>
  <si>
    <t>QuType(4,1,F) | QuType(5,1,T) | QuType(4,1,F)</t>
  </si>
  <si>
    <t>QuType(5,4,F)</t>
  </si>
  <si>
    <t>QuType(6,1,T) | QuType(7,2,T) | QuType(6,1,T)</t>
  </si>
  <si>
    <t>QuType(5,0,F)</t>
  </si>
  <si>
    <t>QuType(14,0,F) | QuType(15,2,T) | QuType(14,0,F) | QuType(15,2,T)</t>
  </si>
  <si>
    <t>QuType(5,4,F) | QuType(6,4,T) | QuType(5,4,F) | QuType(6,4,T)</t>
  </si>
  <si>
    <t>QuType(9,3,F) | QuType(10,3,T) | QuType(9,3,F)</t>
  </si>
  <si>
    <t>QuType(14,3,F)</t>
  </si>
  <si>
    <t>QuType(8,1,T) | QuType(9,2,T) | QuType(8,1,T) | QuType(9,2,T)</t>
  </si>
  <si>
    <t>2 | 2 | 2 | 2</t>
  </si>
  <si>
    <t>QuType(6,3,F)</t>
  </si>
  <si>
    <t>QuType(8,2,F) | QuType(9,3,F) | QuType(8,2,F) | QuType(9,3,F)</t>
  </si>
  <si>
    <t>QuType(12,1,T) | QuType(13,2,F) | QuType(12,1,T) | QuType(13,2,F)</t>
  </si>
  <si>
    <t>QuType(4,1,T)</t>
  </si>
  <si>
    <t>QuType(6,2,F) | QuType(7,3,F) | QuType(6,2,F)</t>
  </si>
  <si>
    <t>QuType(12,3,T)</t>
  </si>
  <si>
    <t>QuType(6,1,F) | QuType(7,1,T) | QuType(6,1,F) | QuType(7,1,T)</t>
  </si>
  <si>
    <t>QuType(4,2,F)</t>
  </si>
  <si>
    <t>QuType(12,2,T) | QuType(13,2,T) | QuType(12,2,T)</t>
  </si>
  <si>
    <t>QuType(12,4,F) | QuType(13,4,F) | QuType(12,4,F) | QuType(13,4,F)</t>
  </si>
  <si>
    <t>QuType(5,2,T) | QuType(6,2,T) | QuType(5,2,T)</t>
  </si>
  <si>
    <t>QuType(5,2,F)</t>
  </si>
  <si>
    <t>QuType(10,0,F) | QuType(11,2,F) | QuType(10,0,F) | QuType(11,2,F)</t>
  </si>
  <si>
    <t>QuType(10,3,F) | QuType(11,1,F) | QuType(10,3,F) | QuType(11,1,F)</t>
  </si>
  <si>
    <t>QuType(4,3,T) | QuType(5,1,F)</t>
  </si>
  <si>
    <t>QuType(9,0,T) | QuType(10,0,F) | QuType(9,0,T)</t>
  </si>
  <si>
    <t>QuType(8,3,T)</t>
  </si>
  <si>
    <t>QuType(5,1,F) | QuType(6,1,F) | QuType(5,1,F) | QuType(6,1,F)</t>
  </si>
  <si>
    <t>QuType(14,2,T)</t>
  </si>
  <si>
    <t>QuType(6,2,F) | QuType(7,4,F) | QuType(6,2,F) | QuType(7,4,F)</t>
  </si>
  <si>
    <t>QuType(6,1,F)</t>
  </si>
  <si>
    <t>QuType(9,3,F) | QuType(10,1,F) | QuType(9,3,F)</t>
  </si>
  <si>
    <t>QuType(14,4,T)</t>
  </si>
  <si>
    <t>QuType(4,1,T) | QuType(5,2,T) | QuType(4,1,T) | QuType(5,2,T)</t>
  </si>
  <si>
    <t>QuType(5,2,F) | QuType(6,2,T)</t>
  </si>
  <si>
    <t>QuType(9,4,T) | QuType(10,4,F) | QuType(9,4,T) | QuType(10,4,F)</t>
  </si>
  <si>
    <t>QuType(8,2,T) | QuType(9,4,T) | QuType(8,2,T)</t>
  </si>
  <si>
    <t>QuType(4,2,T) | QuType(5,2,T) | QuType(4,2,T) | QuType(5,2,T)</t>
  </si>
  <si>
    <t>QuType(14,6,F)</t>
  </si>
  <si>
    <t>QuType(14,2,F) | QuType(15,3,F) | QuType(14,2,F) | QuType(15,3,F)</t>
  </si>
  <si>
    <t>QuType(5,0,T) | QuType(6,2,T)</t>
  </si>
  <si>
    <t>3 | 3</t>
  </si>
  <si>
    <t>QuType(9,0,F) | QuType(10,0,F) | QuType(9,0,F) | QuType(10,0,F)</t>
  </si>
  <si>
    <t>QuType(12,3,F) | QuType(13,1,F)</t>
  </si>
  <si>
    <t>QuType(6,2,T) | QuType(7,3,T)</t>
  </si>
  <si>
    <t>QuType(8,2,F) | QuType(9,3,F) | QuType(8,2,F)</t>
  </si>
  <si>
    <t>QuType(8,6,T)</t>
  </si>
  <si>
    <t>QuType(10,1,T) | QuType(11,2,F) | QuType(10,1,T) | QuType(11,2,F)</t>
  </si>
  <si>
    <t>QuType(9,2,T) | QuType(10,3,T)</t>
  </si>
  <si>
    <t>0 | 1</t>
  </si>
  <si>
    <t>QuType(8,1,T) | QuType(9,1,T) | QuType(8,1,T) | QuType(9,1,T)</t>
  </si>
  <si>
    <t>DWT</t>
  </si>
  <si>
    <t>STEP</t>
  </si>
  <si>
    <t>HAS_CLEAR</t>
  </si>
  <si>
    <t>HAS_WRAP</t>
  </si>
  <si>
    <t>Est_Counter</t>
  </si>
  <si>
    <t>Est_CSub</t>
  </si>
  <si>
    <t>Est_MUX</t>
  </si>
  <si>
    <t>Est_Neg</t>
  </si>
  <si>
    <t>SHIFT</t>
  </si>
  <si>
    <t>Est_SxMatch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</si>
</sst>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000"/>
  </numFmts>
  <fonts count="5">
    <font>
      <sz val="11"/>
      <name val="Carlito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1" applyFont="1" applyAlignment="1">
      <alignment horizontal="center" vertical="center"/>
    </xf>
    <xf numFmtId="176" fontId="1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2" fontId="1" fillId="0" borderId="0" xfId="1" applyNumberFormat="1" applyFont="1" applyAlignment="1">
      <alignment horizontal="center" vertical="center"/>
    </xf>
    <xf numFmtId="177" fontId="1" fillId="0" borderId="0" xfId="1" applyNumberFormat="1" applyFont="1" applyAlignment="1">
      <alignment horizontal="center" vertical="center"/>
    </xf>
    <xf numFmtId="176" fontId="0" fillId="0" borderId="0" xfId="0" applyNumberForma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"/>
  <sheetViews>
    <sheetView tabSelected="1" workbookViewId="0">
      <pane ySplit="1" topLeftCell="A83" activePane="bottomLeft" state="frozen"/>
      <selection pane="bottomLeft" activeCell="N102" sqref="N102"/>
    </sheetView>
  </sheetViews>
  <sheetFormatPr defaultRowHeight="14"/>
  <cols>
    <col min="1" max="1" width="6.6640625" customWidth="1"/>
    <col min="2" max="2" width="11.6640625" customWidth="1"/>
    <col min="3" max="3" width="12.25" customWidth="1"/>
    <col min="4" max="4" width="17" customWidth="1"/>
    <col min="5" max="5" width="13.5" customWidth="1"/>
    <col min="6" max="6" width="14.25" customWidth="1"/>
    <col min="7" max="7" width="18.9140625" customWidth="1"/>
    <col min="8" max="8" width="6.75" customWidth="1"/>
    <col min="9" max="9" width="9.9140625" customWidth="1"/>
    <col min="10" max="10" width="9.75" customWidth="1"/>
    <col min="11" max="11" width="9.1640625" customWidth="1"/>
    <col min="12" max="12" width="15" customWidth="1"/>
    <col min="13" max="13" width="9.25" customWidth="1"/>
    <col min="14" max="14" width="6" customWidth="1"/>
    <col min="15" max="15" width="9.914062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 t="s">
        <v>16</v>
      </c>
      <c r="B2" s="1">
        <v>14</v>
      </c>
      <c r="C2" s="1">
        <v>1</v>
      </c>
      <c r="D2" s="1" t="s">
        <v>17</v>
      </c>
      <c r="E2" s="1">
        <v>16</v>
      </c>
      <c r="F2" s="1">
        <v>3</v>
      </c>
      <c r="G2" s="1" t="s">
        <v>18</v>
      </c>
      <c r="H2" s="1">
        <v>3</v>
      </c>
      <c r="I2" s="1" t="s">
        <v>19</v>
      </c>
      <c r="J2" s="1" t="s">
        <v>20</v>
      </c>
      <c r="K2" s="1" t="s">
        <v>17</v>
      </c>
      <c r="L2" s="1">
        <v>400.67999099999997</v>
      </c>
      <c r="M2" s="1">
        <v>401.099357</v>
      </c>
      <c r="N2" s="2">
        <f t="shared" ref="N2:N33" si="0">ABS(M2-L2)/L2</f>
        <v>1.0466357427866295E-3</v>
      </c>
      <c r="O2" s="4">
        <v>19.22</v>
      </c>
      <c r="P2" s="5">
        <v>1.1899997480213639E-4</v>
      </c>
    </row>
    <row r="3" spans="1:16">
      <c r="A3" s="1" t="s">
        <v>21</v>
      </c>
      <c r="B3" s="1">
        <v>5</v>
      </c>
      <c r="C3" s="1">
        <v>1</v>
      </c>
      <c r="D3" s="1" t="s">
        <v>17</v>
      </c>
      <c r="E3" s="1">
        <v>12</v>
      </c>
      <c r="F3" s="1">
        <v>4</v>
      </c>
      <c r="G3" s="1" t="s">
        <v>18</v>
      </c>
      <c r="H3" s="1">
        <v>4</v>
      </c>
      <c r="I3" s="1" t="s">
        <v>19</v>
      </c>
      <c r="J3" s="1" t="s">
        <v>20</v>
      </c>
      <c r="K3" s="1" t="s">
        <v>18</v>
      </c>
      <c r="L3" s="1">
        <v>159.04000199999999</v>
      </c>
      <c r="M3" s="1">
        <v>156.61072999999999</v>
      </c>
      <c r="N3" s="2">
        <f t="shared" si="0"/>
        <v>1.5274597393428086E-2</v>
      </c>
      <c r="O3" s="4">
        <v>19.350000000000001</v>
      </c>
      <c r="P3" s="5">
        <v>9.180000051856041E-5</v>
      </c>
    </row>
    <row r="4" spans="1:16">
      <c r="A4" s="1" t="s">
        <v>22</v>
      </c>
      <c r="B4" s="1">
        <v>14</v>
      </c>
      <c r="C4" s="1">
        <v>2</v>
      </c>
      <c r="D4" s="1" t="s">
        <v>18</v>
      </c>
      <c r="E4" s="1">
        <v>16</v>
      </c>
      <c r="F4" s="1">
        <v>8</v>
      </c>
      <c r="G4" s="1" t="s">
        <v>18</v>
      </c>
      <c r="H4" s="1">
        <v>6</v>
      </c>
      <c r="I4" s="1" t="s">
        <v>19</v>
      </c>
      <c r="J4" s="1" t="s">
        <v>20</v>
      </c>
      <c r="K4" s="1" t="s">
        <v>17</v>
      </c>
      <c r="L4" s="1">
        <v>432.87998700000003</v>
      </c>
      <c r="M4" s="1">
        <v>419.44</v>
      </c>
      <c r="N4" s="2">
        <f t="shared" si="0"/>
        <v>3.1047836360242796E-2</v>
      </c>
      <c r="O4" s="4">
        <v>18.559999999999999</v>
      </c>
      <c r="P4" s="5">
        <v>9.3300011940300465E-5</v>
      </c>
    </row>
    <row r="5" spans="1:16">
      <c r="A5" s="1" t="s">
        <v>23</v>
      </c>
      <c r="B5" s="1">
        <v>5</v>
      </c>
      <c r="C5" s="1">
        <v>3</v>
      </c>
      <c r="D5" s="1" t="s">
        <v>17</v>
      </c>
      <c r="E5" s="1">
        <v>10</v>
      </c>
      <c r="F5" s="1">
        <v>3</v>
      </c>
      <c r="G5" s="1" t="s">
        <v>18</v>
      </c>
      <c r="H5" s="1">
        <v>4</v>
      </c>
      <c r="I5" s="1" t="s">
        <v>19</v>
      </c>
      <c r="J5" s="1" t="s">
        <v>20</v>
      </c>
      <c r="K5" s="1" t="s">
        <v>17</v>
      </c>
      <c r="L5" s="1">
        <v>177.51999599999999</v>
      </c>
      <c r="M5" s="1">
        <v>171.73072999999999</v>
      </c>
      <c r="N5" s="2">
        <f t="shared" si="0"/>
        <v>3.2611909252183616E-2</v>
      </c>
      <c r="O5" s="4">
        <v>19</v>
      </c>
      <c r="P5" s="5">
        <v>8.1600039266049862E-5</v>
      </c>
    </row>
    <row r="6" spans="1:16">
      <c r="A6" s="1" t="s">
        <v>24</v>
      </c>
      <c r="B6" s="1">
        <v>9</v>
      </c>
      <c r="C6" s="1">
        <v>4</v>
      </c>
      <c r="D6" s="1" t="s">
        <v>18</v>
      </c>
      <c r="E6" s="1">
        <v>16</v>
      </c>
      <c r="F6" s="1">
        <v>8</v>
      </c>
      <c r="G6" s="1" t="s">
        <v>18</v>
      </c>
      <c r="H6" s="1">
        <v>3</v>
      </c>
      <c r="I6" s="1" t="s">
        <v>19</v>
      </c>
      <c r="J6" s="1" t="s">
        <v>20</v>
      </c>
      <c r="K6" s="1" t="s">
        <v>17</v>
      </c>
      <c r="L6" s="1">
        <v>201.87999400000001</v>
      </c>
      <c r="M6" s="1">
        <v>197.4</v>
      </c>
      <c r="N6" s="2">
        <f t="shared" si="0"/>
        <v>2.2191371771092903E-2</v>
      </c>
      <c r="O6" s="4">
        <v>18.54</v>
      </c>
      <c r="P6" s="5">
        <v>8.2299986388534307E-5</v>
      </c>
    </row>
    <row r="7" spans="1:16">
      <c r="A7" s="1" t="s">
        <v>25</v>
      </c>
      <c r="B7" s="1">
        <v>14</v>
      </c>
      <c r="C7" s="1">
        <v>4</v>
      </c>
      <c r="D7" s="1" t="s">
        <v>17</v>
      </c>
      <c r="E7" s="1">
        <v>6</v>
      </c>
      <c r="F7" s="1">
        <v>0</v>
      </c>
      <c r="G7" s="1" t="s">
        <v>18</v>
      </c>
      <c r="H7" s="1">
        <v>2</v>
      </c>
      <c r="I7" s="1" t="s">
        <v>19</v>
      </c>
      <c r="J7" s="1" t="s">
        <v>20</v>
      </c>
      <c r="K7" s="1" t="s">
        <v>18</v>
      </c>
      <c r="L7" s="1">
        <v>128.80000100000001</v>
      </c>
      <c r="M7" s="1">
        <v>129.41408300000001</v>
      </c>
      <c r="N7" s="2">
        <f t="shared" si="0"/>
        <v>4.7677173542878789E-3</v>
      </c>
      <c r="O7" s="4">
        <v>19.09</v>
      </c>
      <c r="P7" s="5">
        <v>7.5299991294741631E-5</v>
      </c>
    </row>
    <row r="8" spans="1:16">
      <c r="A8" s="1" t="s">
        <v>26</v>
      </c>
      <c r="B8" s="1">
        <v>10</v>
      </c>
      <c r="C8" s="1">
        <v>0</v>
      </c>
      <c r="D8" s="1" t="s">
        <v>18</v>
      </c>
      <c r="E8" s="1">
        <v>9</v>
      </c>
      <c r="F8" s="1">
        <v>1</v>
      </c>
      <c r="G8" s="1" t="s">
        <v>18</v>
      </c>
      <c r="H8" s="1">
        <v>0</v>
      </c>
      <c r="I8" s="1" t="s">
        <v>19</v>
      </c>
      <c r="J8" s="1" t="s">
        <v>20</v>
      </c>
      <c r="K8" s="1" t="s">
        <v>17</v>
      </c>
      <c r="L8" s="1">
        <v>18.760000000000002</v>
      </c>
      <c r="M8" s="1">
        <v>18.760000000000002</v>
      </c>
      <c r="N8" s="2">
        <f t="shared" si="0"/>
        <v>0</v>
      </c>
      <c r="O8" s="4">
        <v>18.440000000000001</v>
      </c>
      <c r="P8" s="5">
        <v>7.5799995101988316E-5</v>
      </c>
    </row>
    <row r="9" spans="1:16">
      <c r="A9" s="1" t="s">
        <v>27</v>
      </c>
      <c r="B9" s="1">
        <v>6</v>
      </c>
      <c r="C9" s="1">
        <v>3</v>
      </c>
      <c r="D9" s="1" t="s">
        <v>17</v>
      </c>
      <c r="E9" s="1">
        <v>12</v>
      </c>
      <c r="F9" s="1">
        <v>8</v>
      </c>
      <c r="G9" s="1" t="s">
        <v>18</v>
      </c>
      <c r="H9" s="1">
        <v>4</v>
      </c>
      <c r="I9" s="1" t="s">
        <v>19</v>
      </c>
      <c r="J9" s="1" t="s">
        <v>20</v>
      </c>
      <c r="K9" s="1" t="s">
        <v>17</v>
      </c>
      <c r="L9" s="1">
        <v>214.759995</v>
      </c>
      <c r="M9" s="1">
        <v>208.789466</v>
      </c>
      <c r="N9" s="2">
        <f t="shared" si="0"/>
        <v>2.7800936575734223E-2</v>
      </c>
      <c r="O9" s="4">
        <v>19.5</v>
      </c>
      <c r="P9" s="5">
        <v>7.6700001955032349E-5</v>
      </c>
    </row>
    <row r="10" spans="1:16">
      <c r="A10" s="1" t="s">
        <v>28</v>
      </c>
      <c r="B10" s="1">
        <v>5</v>
      </c>
      <c r="C10" s="1">
        <v>4</v>
      </c>
      <c r="D10" s="1" t="s">
        <v>18</v>
      </c>
      <c r="E10" s="1">
        <v>16</v>
      </c>
      <c r="F10" s="1">
        <v>1</v>
      </c>
      <c r="G10" s="1" t="s">
        <v>18</v>
      </c>
      <c r="H10" s="1">
        <v>2</v>
      </c>
      <c r="I10" s="1" t="s">
        <v>19</v>
      </c>
      <c r="J10" s="1" t="s">
        <v>20</v>
      </c>
      <c r="K10" s="1" t="s">
        <v>17</v>
      </c>
      <c r="L10" s="1">
        <v>40.879998999999998</v>
      </c>
      <c r="M10" s="1">
        <v>40.880000000000003</v>
      </c>
      <c r="N10" s="2">
        <f t="shared" si="0"/>
        <v>2.4461840240765909E-8</v>
      </c>
      <c r="O10" s="4">
        <v>19.22</v>
      </c>
      <c r="P10" s="5">
        <v>7.700000423938036E-5</v>
      </c>
    </row>
    <row r="11" spans="1:16">
      <c r="A11" s="1" t="s">
        <v>29</v>
      </c>
      <c r="B11" s="1">
        <v>6</v>
      </c>
      <c r="C11" s="1">
        <v>0</v>
      </c>
      <c r="D11" s="1" t="s">
        <v>18</v>
      </c>
      <c r="E11" s="1">
        <v>9</v>
      </c>
      <c r="F11" s="1">
        <v>8</v>
      </c>
      <c r="G11" s="1" t="s">
        <v>18</v>
      </c>
      <c r="H11" s="1">
        <v>4</v>
      </c>
      <c r="I11" s="1" t="s">
        <v>19</v>
      </c>
      <c r="J11" s="1" t="s">
        <v>20</v>
      </c>
      <c r="K11" s="1" t="s">
        <v>18</v>
      </c>
      <c r="L11" s="1">
        <v>31.36</v>
      </c>
      <c r="M11" s="1">
        <v>31.36</v>
      </c>
      <c r="N11" s="2">
        <f t="shared" si="0"/>
        <v>0</v>
      </c>
      <c r="O11" s="4">
        <v>18.98</v>
      </c>
      <c r="P11" s="5">
        <v>7.8300014138221741E-5</v>
      </c>
    </row>
    <row r="12" spans="1:16">
      <c r="A12" s="1" t="s">
        <v>30</v>
      </c>
      <c r="B12" s="1">
        <v>9</v>
      </c>
      <c r="C12" s="1">
        <v>6</v>
      </c>
      <c r="D12" s="1" t="s">
        <v>18</v>
      </c>
      <c r="E12" s="1">
        <v>10</v>
      </c>
      <c r="F12" s="1">
        <v>4</v>
      </c>
      <c r="G12" s="1" t="s">
        <v>18</v>
      </c>
      <c r="H12" s="1">
        <v>1</v>
      </c>
      <c r="I12" s="1" t="s">
        <v>19</v>
      </c>
      <c r="J12" s="1" t="s">
        <v>20</v>
      </c>
      <c r="K12" s="1" t="s">
        <v>18</v>
      </c>
      <c r="L12" s="1">
        <v>51.520001000000001</v>
      </c>
      <c r="M12" s="1">
        <v>51.52</v>
      </c>
      <c r="N12" s="2">
        <f t="shared" si="0"/>
        <v>1.9409937462447696E-8</v>
      </c>
      <c r="O12" s="4">
        <v>19.2</v>
      </c>
      <c r="P12" s="5">
        <v>7.8300014138221741E-5</v>
      </c>
    </row>
    <row r="13" spans="1:16">
      <c r="A13" s="1" t="s">
        <v>31</v>
      </c>
      <c r="B13" s="1">
        <v>9</v>
      </c>
      <c r="C13" s="1">
        <v>0</v>
      </c>
      <c r="D13" s="1" t="s">
        <v>18</v>
      </c>
      <c r="E13" s="1">
        <v>10</v>
      </c>
      <c r="F13" s="1">
        <v>1</v>
      </c>
      <c r="G13" s="1" t="s">
        <v>18</v>
      </c>
      <c r="H13" s="1">
        <v>2</v>
      </c>
      <c r="I13" s="1" t="s">
        <v>19</v>
      </c>
      <c r="J13" s="1" t="s">
        <v>20</v>
      </c>
      <c r="K13" s="1" t="s">
        <v>18</v>
      </c>
      <c r="L13" s="1">
        <v>116.760002</v>
      </c>
      <c r="M13" s="1">
        <v>116.76</v>
      </c>
      <c r="N13" s="2">
        <f t="shared" si="0"/>
        <v>1.7129153483146442E-8</v>
      </c>
      <c r="O13" s="4">
        <v>18.91</v>
      </c>
      <c r="P13" s="5">
        <v>7.8699958976358175E-5</v>
      </c>
    </row>
    <row r="14" spans="1:16">
      <c r="A14" s="1" t="s">
        <v>32</v>
      </c>
      <c r="B14" s="1">
        <v>8</v>
      </c>
      <c r="C14" s="1">
        <v>6</v>
      </c>
      <c r="D14" s="1" t="s">
        <v>17</v>
      </c>
      <c r="E14" s="1">
        <v>10</v>
      </c>
      <c r="F14" s="1">
        <v>6</v>
      </c>
      <c r="G14" s="1" t="s">
        <v>18</v>
      </c>
      <c r="H14" s="1">
        <v>1</v>
      </c>
      <c r="I14" s="1" t="s">
        <v>19</v>
      </c>
      <c r="J14" s="1" t="s">
        <v>20</v>
      </c>
      <c r="K14" s="1" t="s">
        <v>18</v>
      </c>
      <c r="L14" s="1">
        <v>110.60000100000001</v>
      </c>
      <c r="M14" s="1">
        <v>109.866939</v>
      </c>
      <c r="N14" s="2">
        <f t="shared" si="0"/>
        <v>6.6280469563468076E-3</v>
      </c>
      <c r="O14" s="4">
        <v>19.239999999999998</v>
      </c>
      <c r="P14" s="5">
        <v>7.5799995101988316E-5</v>
      </c>
    </row>
    <row r="15" spans="1:16">
      <c r="A15" s="1" t="s">
        <v>33</v>
      </c>
      <c r="B15" s="1">
        <v>14</v>
      </c>
      <c r="C15" s="1">
        <v>6</v>
      </c>
      <c r="D15" s="1" t="s">
        <v>17</v>
      </c>
      <c r="E15" s="1">
        <v>16</v>
      </c>
      <c r="F15" s="1">
        <v>1</v>
      </c>
      <c r="G15" s="1" t="s">
        <v>18</v>
      </c>
      <c r="H15" s="1">
        <v>2</v>
      </c>
      <c r="I15" s="1" t="s">
        <v>19</v>
      </c>
      <c r="J15" s="1" t="s">
        <v>20</v>
      </c>
      <c r="K15" s="1" t="s">
        <v>17</v>
      </c>
      <c r="L15" s="1">
        <v>208.039996</v>
      </c>
      <c r="M15" s="1">
        <v>213.71029200000001</v>
      </c>
      <c r="N15" s="2">
        <f t="shared" si="0"/>
        <v>2.7255797486171879E-2</v>
      </c>
      <c r="O15" s="4">
        <v>18.84</v>
      </c>
      <c r="P15" s="5">
        <v>7.9800025559961796E-5</v>
      </c>
    </row>
    <row r="16" spans="1:16">
      <c r="A16" s="1" t="s">
        <v>34</v>
      </c>
      <c r="B16" s="1">
        <v>12</v>
      </c>
      <c r="C16" s="1">
        <v>3</v>
      </c>
      <c r="D16" s="1" t="s">
        <v>17</v>
      </c>
      <c r="E16" s="1">
        <v>12</v>
      </c>
      <c r="F16" s="1">
        <v>2</v>
      </c>
      <c r="G16" s="1" t="s">
        <v>18</v>
      </c>
      <c r="H16" s="1">
        <v>2</v>
      </c>
      <c r="I16" s="1" t="s">
        <v>19</v>
      </c>
      <c r="J16" s="1" t="s">
        <v>20</v>
      </c>
      <c r="K16" s="1" t="s">
        <v>18</v>
      </c>
      <c r="L16" s="1">
        <v>221.20000300000001</v>
      </c>
      <c r="M16" s="1">
        <v>222.64007100000001</v>
      </c>
      <c r="N16" s="2">
        <f t="shared" si="0"/>
        <v>6.5102530762623746E-3</v>
      </c>
      <c r="O16" s="4">
        <v>19.12</v>
      </c>
      <c r="P16" s="5">
        <v>8.0299971159547567E-5</v>
      </c>
    </row>
    <row r="17" spans="1:16">
      <c r="A17" s="1" t="s">
        <v>35</v>
      </c>
      <c r="B17" s="1">
        <v>4</v>
      </c>
      <c r="C17" s="1">
        <v>1</v>
      </c>
      <c r="D17" s="1" t="s">
        <v>18</v>
      </c>
      <c r="E17" s="1">
        <v>12</v>
      </c>
      <c r="F17" s="1">
        <v>4</v>
      </c>
      <c r="G17" s="1" t="s">
        <v>18</v>
      </c>
      <c r="H17" s="1">
        <v>4</v>
      </c>
      <c r="I17" s="1" t="s">
        <v>19</v>
      </c>
      <c r="J17" s="1" t="s">
        <v>20</v>
      </c>
      <c r="K17" s="1" t="s">
        <v>17</v>
      </c>
      <c r="L17" s="1">
        <v>123.199996</v>
      </c>
      <c r="M17" s="1">
        <v>118.72</v>
      </c>
      <c r="N17" s="2">
        <f t="shared" si="0"/>
        <v>3.6363605076740427E-2</v>
      </c>
      <c r="O17" s="4">
        <v>19.45</v>
      </c>
      <c r="P17" s="5">
        <v>7.7100005000829697E-5</v>
      </c>
    </row>
    <row r="18" spans="1:16">
      <c r="A18" s="1" t="s">
        <v>36</v>
      </c>
      <c r="B18" s="1">
        <v>12</v>
      </c>
      <c r="C18" s="1">
        <v>6</v>
      </c>
      <c r="D18" s="1" t="s">
        <v>17</v>
      </c>
      <c r="E18" s="1">
        <v>12</v>
      </c>
      <c r="F18" s="1">
        <v>0</v>
      </c>
      <c r="G18" s="1" t="s">
        <v>18</v>
      </c>
      <c r="H18" s="1">
        <v>0</v>
      </c>
      <c r="I18" s="1" t="s">
        <v>19</v>
      </c>
      <c r="J18" s="1" t="s">
        <v>20</v>
      </c>
      <c r="K18" s="1" t="s">
        <v>18</v>
      </c>
      <c r="L18" s="1">
        <v>71.679998999999995</v>
      </c>
      <c r="M18" s="1">
        <v>73.891006000000004</v>
      </c>
      <c r="N18" s="2">
        <f t="shared" si="0"/>
        <v>3.0845522193715565E-2</v>
      </c>
      <c r="O18" s="4">
        <v>18.97</v>
      </c>
      <c r="P18" s="5">
        <v>7.6600001193583012E-5</v>
      </c>
    </row>
    <row r="19" spans="1:16">
      <c r="A19" s="1" t="s">
        <v>37</v>
      </c>
      <c r="B19" s="1">
        <v>9</v>
      </c>
      <c r="C19" s="1">
        <v>1</v>
      </c>
      <c r="D19" s="1" t="s">
        <v>17</v>
      </c>
      <c r="E19" s="1">
        <v>10</v>
      </c>
      <c r="F19" s="1">
        <v>4</v>
      </c>
      <c r="G19" s="1" t="s">
        <v>18</v>
      </c>
      <c r="H19" s="1">
        <v>6</v>
      </c>
      <c r="I19" s="1" t="s">
        <v>19</v>
      </c>
      <c r="J19" s="1" t="s">
        <v>20</v>
      </c>
      <c r="K19" s="1" t="s">
        <v>18</v>
      </c>
      <c r="L19" s="1">
        <v>305.76000499999998</v>
      </c>
      <c r="M19" s="1">
        <v>304.56512600000002</v>
      </c>
      <c r="N19" s="2">
        <f t="shared" si="0"/>
        <v>3.9078982877435451E-3</v>
      </c>
      <c r="O19" s="4">
        <v>19.39</v>
      </c>
      <c r="P19" s="5">
        <v>7.8200013376772404E-5</v>
      </c>
    </row>
    <row r="20" spans="1:16">
      <c r="A20" s="1" t="s">
        <v>38</v>
      </c>
      <c r="B20" s="1">
        <v>14</v>
      </c>
      <c r="C20" s="1">
        <v>6</v>
      </c>
      <c r="D20" s="1" t="s">
        <v>18</v>
      </c>
      <c r="E20" s="1">
        <v>6</v>
      </c>
      <c r="F20" s="1">
        <v>3</v>
      </c>
      <c r="G20" s="1" t="s">
        <v>18</v>
      </c>
      <c r="H20" s="1">
        <v>2</v>
      </c>
      <c r="I20" s="1" t="s">
        <v>19</v>
      </c>
      <c r="J20" s="1" t="s">
        <v>20</v>
      </c>
      <c r="K20" s="1" t="s">
        <v>17</v>
      </c>
      <c r="L20" s="1">
        <v>87.359998000000004</v>
      </c>
      <c r="M20" s="1">
        <v>87.36</v>
      </c>
      <c r="N20" s="2">
        <f t="shared" si="0"/>
        <v>2.289377336009652E-8</v>
      </c>
      <c r="O20" s="4">
        <v>19.940000000000001</v>
      </c>
      <c r="P20" s="5">
        <v>1.6350002260878679E-4</v>
      </c>
    </row>
    <row r="21" spans="1:16">
      <c r="A21" s="1" t="s">
        <v>39</v>
      </c>
      <c r="B21" s="1">
        <v>4</v>
      </c>
      <c r="C21" s="1">
        <v>2</v>
      </c>
      <c r="D21" s="1" t="s">
        <v>17</v>
      </c>
      <c r="E21" s="1">
        <v>16</v>
      </c>
      <c r="F21" s="1">
        <v>8</v>
      </c>
      <c r="G21" s="1" t="s">
        <v>18</v>
      </c>
      <c r="H21" s="1">
        <v>1</v>
      </c>
      <c r="I21" s="1" t="s">
        <v>19</v>
      </c>
      <c r="J21" s="1" t="s">
        <v>20</v>
      </c>
      <c r="K21" s="1" t="s">
        <v>18</v>
      </c>
      <c r="L21" s="1">
        <v>48.44</v>
      </c>
      <c r="M21" s="1">
        <v>57.391993999999997</v>
      </c>
      <c r="N21" s="2">
        <f t="shared" si="0"/>
        <v>0.18480582163501239</v>
      </c>
      <c r="O21" s="4">
        <v>19.21</v>
      </c>
      <c r="P21" s="5">
        <v>8.1699981819838285E-5</v>
      </c>
    </row>
    <row r="22" spans="1:16">
      <c r="A22" s="1" t="s">
        <v>40</v>
      </c>
      <c r="B22" s="1">
        <v>12</v>
      </c>
      <c r="C22" s="1">
        <v>2</v>
      </c>
      <c r="D22" s="1" t="s">
        <v>17</v>
      </c>
      <c r="E22" s="1">
        <v>9</v>
      </c>
      <c r="F22" s="1">
        <v>6</v>
      </c>
      <c r="G22" s="1" t="s">
        <v>18</v>
      </c>
      <c r="H22" s="1">
        <v>6</v>
      </c>
      <c r="I22" s="1" t="s">
        <v>19</v>
      </c>
      <c r="J22" s="1" t="s">
        <v>20</v>
      </c>
      <c r="K22" s="1" t="s">
        <v>17</v>
      </c>
      <c r="L22" s="1">
        <v>250.59999400000001</v>
      </c>
      <c r="M22" s="1">
        <v>241.36765299999999</v>
      </c>
      <c r="N22" s="2">
        <f t="shared" si="0"/>
        <v>3.6840946612313241E-2</v>
      </c>
      <c r="O22" s="4">
        <v>19.36</v>
      </c>
      <c r="P22" s="5">
        <v>7.9099962022155523E-5</v>
      </c>
    </row>
    <row r="23" spans="1:16">
      <c r="A23" s="1" t="s">
        <v>41</v>
      </c>
      <c r="B23" s="1">
        <v>4</v>
      </c>
      <c r="C23" s="1">
        <v>2</v>
      </c>
      <c r="D23" s="1" t="s">
        <v>18</v>
      </c>
      <c r="E23" s="1">
        <v>6</v>
      </c>
      <c r="F23" s="1">
        <v>4</v>
      </c>
      <c r="G23" s="1" t="s">
        <v>18</v>
      </c>
      <c r="H23" s="1">
        <v>0</v>
      </c>
      <c r="I23" s="1" t="s">
        <v>19</v>
      </c>
      <c r="J23" s="1" t="s">
        <v>20</v>
      </c>
      <c r="K23" s="1" t="s">
        <v>18</v>
      </c>
      <c r="L23" s="1">
        <v>10.64</v>
      </c>
      <c r="M23" s="1">
        <v>10.64</v>
      </c>
      <c r="N23" s="2">
        <f t="shared" si="0"/>
        <v>0</v>
      </c>
      <c r="O23" s="4">
        <v>18.73</v>
      </c>
      <c r="P23" s="5">
        <v>7.7600008808076382E-5</v>
      </c>
    </row>
    <row r="24" spans="1:16">
      <c r="A24" s="1" t="s">
        <v>42</v>
      </c>
      <c r="B24" s="1">
        <v>12</v>
      </c>
      <c r="C24" s="1">
        <v>4</v>
      </c>
      <c r="D24" s="1" t="s">
        <v>17</v>
      </c>
      <c r="E24" s="1">
        <v>6</v>
      </c>
      <c r="F24" s="1">
        <v>3</v>
      </c>
      <c r="G24" s="1" t="s">
        <v>18</v>
      </c>
      <c r="H24" s="1">
        <v>2</v>
      </c>
      <c r="I24" s="1" t="s">
        <v>19</v>
      </c>
      <c r="J24" s="1" t="s">
        <v>20</v>
      </c>
      <c r="K24" s="1" t="s">
        <v>18</v>
      </c>
      <c r="L24" s="1">
        <v>124.88000099999999</v>
      </c>
      <c r="M24" s="1">
        <v>119.583313</v>
      </c>
      <c r="N24" s="2">
        <f t="shared" si="0"/>
        <v>4.2414221313146767E-2</v>
      </c>
      <c r="O24" s="4">
        <v>19.47</v>
      </c>
      <c r="P24" s="5">
        <v>7.7400007285177708E-5</v>
      </c>
    </row>
    <row r="25" spans="1:16">
      <c r="A25" s="1" t="s">
        <v>43</v>
      </c>
      <c r="B25" s="1">
        <v>4</v>
      </c>
      <c r="C25" s="1">
        <v>3</v>
      </c>
      <c r="D25" s="1" t="s">
        <v>17</v>
      </c>
      <c r="E25" s="1">
        <v>5</v>
      </c>
      <c r="F25" s="1">
        <v>0</v>
      </c>
      <c r="G25" s="1" t="s">
        <v>18</v>
      </c>
      <c r="H25" s="1">
        <v>4</v>
      </c>
      <c r="I25" s="1" t="s">
        <v>19</v>
      </c>
      <c r="J25" s="1" t="s">
        <v>20</v>
      </c>
      <c r="K25" s="1" t="s">
        <v>17</v>
      </c>
      <c r="L25" s="1">
        <v>33.599998999999997</v>
      </c>
      <c r="M25" s="1">
        <v>35.846555000000002</v>
      </c>
      <c r="N25" s="2">
        <f t="shared" si="0"/>
        <v>6.6861787704220035E-2</v>
      </c>
      <c r="O25" s="4">
        <v>18.940000000000001</v>
      </c>
      <c r="P25" s="5">
        <v>7.6299998909235001E-5</v>
      </c>
    </row>
    <row r="26" spans="1:16">
      <c r="A26" s="1" t="s">
        <v>44</v>
      </c>
      <c r="B26" s="1">
        <v>8</v>
      </c>
      <c r="C26" s="1">
        <v>3</v>
      </c>
      <c r="D26" s="1" t="s">
        <v>18</v>
      </c>
      <c r="E26" s="1">
        <v>16</v>
      </c>
      <c r="F26" s="1">
        <v>8</v>
      </c>
      <c r="G26" s="1" t="s">
        <v>18</v>
      </c>
      <c r="H26" s="1">
        <v>6</v>
      </c>
      <c r="I26" s="1" t="s">
        <v>19</v>
      </c>
      <c r="J26" s="1" t="s">
        <v>20</v>
      </c>
      <c r="K26" s="1" t="s">
        <v>18</v>
      </c>
      <c r="L26" s="1">
        <v>297.920005</v>
      </c>
      <c r="M26" s="1">
        <v>297.92</v>
      </c>
      <c r="N26" s="2">
        <f t="shared" si="0"/>
        <v>1.6783028677030981E-8</v>
      </c>
      <c r="O26" s="4">
        <v>19.059999999999999</v>
      </c>
      <c r="P26" s="5">
        <v>7.7500008046627045E-5</v>
      </c>
    </row>
    <row r="27" spans="1:16">
      <c r="A27" s="1" t="s">
        <v>45</v>
      </c>
      <c r="B27" s="1">
        <v>6</v>
      </c>
      <c r="C27" s="1">
        <v>2</v>
      </c>
      <c r="D27" s="1" t="s">
        <v>17</v>
      </c>
      <c r="E27" s="1">
        <v>8</v>
      </c>
      <c r="F27" s="1">
        <v>4</v>
      </c>
      <c r="G27" s="1" t="s">
        <v>18</v>
      </c>
      <c r="H27" s="1">
        <v>4</v>
      </c>
      <c r="I27" s="1" t="s">
        <v>19</v>
      </c>
      <c r="J27" s="1" t="s">
        <v>20</v>
      </c>
      <c r="K27" s="1" t="s">
        <v>17</v>
      </c>
      <c r="L27" s="1">
        <v>206.919995</v>
      </c>
      <c r="M27" s="1">
        <v>205.42946599999999</v>
      </c>
      <c r="N27" s="2">
        <f t="shared" si="0"/>
        <v>7.2034072879230901E-3</v>
      </c>
      <c r="O27" s="4">
        <v>19.579999999999998</v>
      </c>
      <c r="P27" s="5">
        <v>7.9600024037063122E-5</v>
      </c>
    </row>
    <row r="28" spans="1:16">
      <c r="A28" s="1" t="s">
        <v>46</v>
      </c>
      <c r="B28" s="1">
        <v>10</v>
      </c>
      <c r="C28" s="1">
        <v>6</v>
      </c>
      <c r="D28" s="1" t="s">
        <v>18</v>
      </c>
      <c r="E28" s="1">
        <v>10</v>
      </c>
      <c r="F28" s="1">
        <v>8</v>
      </c>
      <c r="G28" s="1" t="s">
        <v>18</v>
      </c>
      <c r="H28" s="1">
        <v>0</v>
      </c>
      <c r="I28" s="1" t="s">
        <v>19</v>
      </c>
      <c r="J28" s="1" t="s">
        <v>20</v>
      </c>
      <c r="K28" s="1" t="s">
        <v>18</v>
      </c>
      <c r="L28" s="1">
        <v>19.600000000000001</v>
      </c>
      <c r="M28" s="1">
        <v>19.600000000000001</v>
      </c>
      <c r="N28" s="2">
        <f t="shared" si="0"/>
        <v>0</v>
      </c>
      <c r="O28" s="4">
        <v>19.2</v>
      </c>
      <c r="P28" s="5">
        <v>7.90000194683671E-5</v>
      </c>
    </row>
    <row r="29" spans="1:16">
      <c r="A29" s="1" t="s">
        <v>47</v>
      </c>
      <c r="B29" s="1">
        <v>12</v>
      </c>
      <c r="C29" s="1">
        <v>3</v>
      </c>
      <c r="D29" s="1" t="s">
        <v>18</v>
      </c>
      <c r="E29" s="1">
        <v>16</v>
      </c>
      <c r="F29" s="1">
        <v>8</v>
      </c>
      <c r="G29" s="1" t="s">
        <v>18</v>
      </c>
      <c r="H29" s="1">
        <v>1</v>
      </c>
      <c r="I29" s="1" t="s">
        <v>19</v>
      </c>
      <c r="J29" s="1" t="s">
        <v>20</v>
      </c>
      <c r="K29" s="1" t="s">
        <v>17</v>
      </c>
      <c r="L29" s="1">
        <v>90.439998000000003</v>
      </c>
      <c r="M29" s="1">
        <v>90.44</v>
      </c>
      <c r="N29" s="2">
        <f t="shared" si="0"/>
        <v>2.2114109234616361E-8</v>
      </c>
      <c r="O29" s="4">
        <v>19.63</v>
      </c>
      <c r="P29" s="5">
        <v>7.7800010330975056E-5</v>
      </c>
    </row>
    <row r="30" spans="1:16">
      <c r="A30" s="1" t="s">
        <v>48</v>
      </c>
      <c r="B30" s="1">
        <v>6</v>
      </c>
      <c r="C30" s="1">
        <v>3</v>
      </c>
      <c r="D30" s="1" t="s">
        <v>18</v>
      </c>
      <c r="E30" s="1">
        <v>16</v>
      </c>
      <c r="F30" s="1">
        <v>2</v>
      </c>
      <c r="G30" s="1" t="s">
        <v>18</v>
      </c>
      <c r="H30" s="1">
        <v>2</v>
      </c>
      <c r="I30" s="1" t="s">
        <v>19</v>
      </c>
      <c r="J30" s="1" t="s">
        <v>20</v>
      </c>
      <c r="K30" s="1" t="s">
        <v>17</v>
      </c>
      <c r="L30" s="1">
        <v>82.039997999999997</v>
      </c>
      <c r="M30" s="1">
        <v>82.04</v>
      </c>
      <c r="N30" s="2">
        <f t="shared" si="0"/>
        <v>2.4378352729376472E-8</v>
      </c>
      <c r="O30" s="4">
        <v>19.010000000000002</v>
      </c>
      <c r="P30" s="5">
        <v>7.700000423938036E-5</v>
      </c>
    </row>
    <row r="31" spans="1:16">
      <c r="A31" s="1" t="s">
        <v>49</v>
      </c>
      <c r="B31" s="1">
        <v>14</v>
      </c>
      <c r="C31" s="1">
        <v>4</v>
      </c>
      <c r="D31" s="1" t="s">
        <v>18</v>
      </c>
      <c r="E31" s="1">
        <v>5</v>
      </c>
      <c r="F31" s="1">
        <v>1</v>
      </c>
      <c r="G31" s="1" t="s">
        <v>18</v>
      </c>
      <c r="H31" s="1">
        <v>0</v>
      </c>
      <c r="I31" s="1" t="s">
        <v>19</v>
      </c>
      <c r="J31" s="1" t="s">
        <v>20</v>
      </c>
      <c r="K31" s="1" t="s">
        <v>18</v>
      </c>
      <c r="L31" s="1">
        <v>11.2</v>
      </c>
      <c r="M31" s="1">
        <v>11.2</v>
      </c>
      <c r="N31" s="2">
        <f t="shared" si="0"/>
        <v>0</v>
      </c>
      <c r="O31" s="4">
        <v>18.96</v>
      </c>
      <c r="P31" s="5">
        <v>7.7200005762279034E-5</v>
      </c>
    </row>
    <row r="32" spans="1:16">
      <c r="A32" s="1" t="s">
        <v>50</v>
      </c>
      <c r="B32" s="1">
        <v>5</v>
      </c>
      <c r="C32" s="1">
        <v>2</v>
      </c>
      <c r="D32" s="1" t="s">
        <v>18</v>
      </c>
      <c r="E32" s="1">
        <v>5</v>
      </c>
      <c r="F32" s="1">
        <v>2</v>
      </c>
      <c r="G32" s="1" t="s">
        <v>18</v>
      </c>
      <c r="H32" s="1">
        <v>1</v>
      </c>
      <c r="I32" s="1" t="s">
        <v>19</v>
      </c>
      <c r="J32" s="1" t="s">
        <v>20</v>
      </c>
      <c r="K32" s="1" t="s">
        <v>17</v>
      </c>
      <c r="L32" s="1">
        <v>39.199998999999998</v>
      </c>
      <c r="M32" s="1">
        <v>39.200000000000003</v>
      </c>
      <c r="N32" s="2">
        <f t="shared" si="0"/>
        <v>2.5510204849257015E-8</v>
      </c>
      <c r="O32" s="4">
        <v>19.440000000000001</v>
      </c>
      <c r="P32" s="5">
        <v>7.8500015661120415E-5</v>
      </c>
    </row>
    <row r="33" spans="1:16">
      <c r="A33" s="1" t="s">
        <v>51</v>
      </c>
      <c r="B33" s="1">
        <v>6</v>
      </c>
      <c r="C33" s="1">
        <v>1</v>
      </c>
      <c r="D33" s="1" t="s">
        <v>18</v>
      </c>
      <c r="E33" s="1">
        <v>5</v>
      </c>
      <c r="F33" s="1">
        <v>0</v>
      </c>
      <c r="G33" s="1" t="s">
        <v>18</v>
      </c>
      <c r="H33" s="1">
        <v>2</v>
      </c>
      <c r="I33" s="1" t="s">
        <v>19</v>
      </c>
      <c r="J33" s="1" t="s">
        <v>20</v>
      </c>
      <c r="K33" s="1" t="s">
        <v>17</v>
      </c>
      <c r="L33" s="1">
        <v>72.799998000000002</v>
      </c>
      <c r="M33" s="1">
        <v>72.8</v>
      </c>
      <c r="N33" s="2">
        <f t="shared" si="0"/>
        <v>2.7472528157905793E-8</v>
      </c>
      <c r="O33" s="4">
        <v>18.920000000000002</v>
      </c>
      <c r="P33" s="5">
        <v>7.7800010330975056E-5</v>
      </c>
    </row>
    <row r="34" spans="1:16">
      <c r="A34" s="1" t="s">
        <v>52</v>
      </c>
      <c r="B34" s="1">
        <v>5</v>
      </c>
      <c r="C34" s="1">
        <v>3</v>
      </c>
      <c r="D34" s="1" t="s">
        <v>18</v>
      </c>
      <c r="E34" s="1">
        <v>12</v>
      </c>
      <c r="F34" s="1">
        <v>8</v>
      </c>
      <c r="G34" s="1" t="s">
        <v>18</v>
      </c>
      <c r="H34" s="1">
        <v>4</v>
      </c>
      <c r="I34" s="1" t="s">
        <v>19</v>
      </c>
      <c r="J34" s="1" t="s">
        <v>20</v>
      </c>
      <c r="K34" s="1" t="s">
        <v>17</v>
      </c>
      <c r="L34" s="1">
        <v>150.359996</v>
      </c>
      <c r="M34" s="1">
        <v>145.88</v>
      </c>
      <c r="N34" s="2">
        <f t="shared" ref="N34:N65" si="1">ABS(M34-L34)/L34</f>
        <v>2.9795132476593041E-2</v>
      </c>
      <c r="O34" s="4">
        <v>19.29</v>
      </c>
      <c r="P34" s="5">
        <v>7.9599965829402208E-5</v>
      </c>
    </row>
    <row r="35" spans="1:16">
      <c r="A35" s="1" t="s">
        <v>53</v>
      </c>
      <c r="B35" s="1">
        <v>8</v>
      </c>
      <c r="C35" s="1">
        <v>2</v>
      </c>
      <c r="D35" s="1" t="s">
        <v>18</v>
      </c>
      <c r="E35" s="1">
        <v>6</v>
      </c>
      <c r="F35" s="1">
        <v>0</v>
      </c>
      <c r="G35" s="1" t="s">
        <v>18</v>
      </c>
      <c r="H35" s="1">
        <v>1</v>
      </c>
      <c r="I35" s="1" t="s">
        <v>19</v>
      </c>
      <c r="J35" s="1" t="s">
        <v>20</v>
      </c>
      <c r="K35" s="1" t="s">
        <v>17</v>
      </c>
      <c r="L35" s="1">
        <v>47.039999000000002</v>
      </c>
      <c r="M35" s="1">
        <v>47.04</v>
      </c>
      <c r="N35" s="2">
        <f t="shared" si="1"/>
        <v>2.1258503799611959E-8</v>
      </c>
      <c r="O35" s="4">
        <v>19.02</v>
      </c>
      <c r="P35" s="5">
        <v>8.0699974205344915E-5</v>
      </c>
    </row>
    <row r="36" spans="1:16">
      <c r="A36" s="1" t="s">
        <v>54</v>
      </c>
      <c r="B36" s="1">
        <v>10</v>
      </c>
      <c r="C36" s="1">
        <v>4</v>
      </c>
      <c r="D36" s="1" t="s">
        <v>17</v>
      </c>
      <c r="E36" s="1">
        <v>6</v>
      </c>
      <c r="F36" s="1">
        <v>3</v>
      </c>
      <c r="G36" s="1" t="s">
        <v>18</v>
      </c>
      <c r="H36" s="1">
        <v>6</v>
      </c>
      <c r="I36" s="1" t="s">
        <v>19</v>
      </c>
      <c r="J36" s="1" t="s">
        <v>20</v>
      </c>
      <c r="K36" s="1" t="s">
        <v>18</v>
      </c>
      <c r="L36" s="1">
        <v>264.32000399999998</v>
      </c>
      <c r="M36" s="1">
        <v>260.70331299999998</v>
      </c>
      <c r="N36" s="2">
        <f t="shared" si="1"/>
        <v>1.3683001457581709E-2</v>
      </c>
      <c r="O36" s="4">
        <v>19.489999999999998</v>
      </c>
      <c r="P36" s="5">
        <v>8.9999986812472343E-5</v>
      </c>
    </row>
    <row r="37" spans="1:16">
      <c r="A37" s="1" t="s">
        <v>55</v>
      </c>
      <c r="B37" s="1">
        <v>6</v>
      </c>
      <c r="C37" s="1">
        <v>4</v>
      </c>
      <c r="D37" s="1" t="s">
        <v>17</v>
      </c>
      <c r="E37" s="1">
        <v>12</v>
      </c>
      <c r="F37" s="1">
        <v>0</v>
      </c>
      <c r="G37" s="1" t="s">
        <v>18</v>
      </c>
      <c r="H37" s="1">
        <v>3</v>
      </c>
      <c r="I37" s="1" t="s">
        <v>19</v>
      </c>
      <c r="J37" s="1" t="s">
        <v>20</v>
      </c>
      <c r="K37" s="1" t="s">
        <v>18</v>
      </c>
      <c r="L37" s="1">
        <v>63.56</v>
      </c>
      <c r="M37" s="1">
        <v>61.902214000000001</v>
      </c>
      <c r="N37" s="2">
        <f t="shared" si="1"/>
        <v>2.6082221522970444E-2</v>
      </c>
      <c r="O37" s="4">
        <v>19.71</v>
      </c>
      <c r="P37" s="5">
        <v>7.9400022514164448E-5</v>
      </c>
    </row>
    <row r="38" spans="1:16">
      <c r="A38" s="1" t="s">
        <v>56</v>
      </c>
      <c r="B38" s="1">
        <v>12</v>
      </c>
      <c r="C38" s="1">
        <v>6</v>
      </c>
      <c r="D38" s="1" t="s">
        <v>18</v>
      </c>
      <c r="E38" s="1">
        <v>10</v>
      </c>
      <c r="F38" s="1">
        <v>3</v>
      </c>
      <c r="G38" s="1" t="s">
        <v>18</v>
      </c>
      <c r="H38" s="1">
        <v>0</v>
      </c>
      <c r="I38" s="1" t="s">
        <v>19</v>
      </c>
      <c r="J38" s="1" t="s">
        <v>20</v>
      </c>
      <c r="K38" s="1" t="s">
        <v>17</v>
      </c>
      <c r="L38" s="1">
        <v>21</v>
      </c>
      <c r="M38" s="1">
        <v>21</v>
      </c>
      <c r="N38" s="2">
        <f t="shared" si="1"/>
        <v>0</v>
      </c>
      <c r="O38" s="4">
        <v>19.13</v>
      </c>
      <c r="P38" s="5">
        <v>7.7200005762279034E-5</v>
      </c>
    </row>
    <row r="39" spans="1:16">
      <c r="A39" s="1" t="s">
        <v>57</v>
      </c>
      <c r="B39" s="1">
        <v>9</v>
      </c>
      <c r="C39" s="1">
        <v>3</v>
      </c>
      <c r="D39" s="1" t="s">
        <v>18</v>
      </c>
      <c r="E39" s="1">
        <v>16</v>
      </c>
      <c r="F39" s="1">
        <v>3</v>
      </c>
      <c r="G39" s="1" t="s">
        <v>18</v>
      </c>
      <c r="H39" s="1">
        <v>1</v>
      </c>
      <c r="I39" s="1" t="s">
        <v>19</v>
      </c>
      <c r="J39" s="1" t="s">
        <v>20</v>
      </c>
      <c r="K39" s="1" t="s">
        <v>17</v>
      </c>
      <c r="L39" s="1">
        <v>76.439998000000003</v>
      </c>
      <c r="M39" s="1">
        <v>76.44</v>
      </c>
      <c r="N39" s="2">
        <f t="shared" si="1"/>
        <v>2.6164312497110288E-8</v>
      </c>
      <c r="O39" s="4">
        <v>19.18</v>
      </c>
      <c r="P39" s="5">
        <v>7.6900003477931023E-5</v>
      </c>
    </row>
    <row r="40" spans="1:16">
      <c r="A40" s="1" t="s">
        <v>58</v>
      </c>
      <c r="B40" s="1">
        <v>8</v>
      </c>
      <c r="C40" s="1">
        <v>4</v>
      </c>
      <c r="D40" s="1" t="s">
        <v>17</v>
      </c>
      <c r="E40" s="1">
        <v>12</v>
      </c>
      <c r="F40" s="1">
        <v>3</v>
      </c>
      <c r="G40" s="1" t="s">
        <v>18</v>
      </c>
      <c r="H40" s="1">
        <v>1</v>
      </c>
      <c r="I40" s="1" t="s">
        <v>19</v>
      </c>
      <c r="J40" s="1" t="s">
        <v>20</v>
      </c>
      <c r="K40" s="1" t="s">
        <v>18</v>
      </c>
      <c r="L40" s="1">
        <v>102.760001</v>
      </c>
      <c r="M40" s="1">
        <v>100.445126</v>
      </c>
      <c r="N40" s="2">
        <f t="shared" si="1"/>
        <v>2.2527004451858661E-2</v>
      </c>
      <c r="O40" s="4">
        <v>19.510000000000002</v>
      </c>
      <c r="P40" s="5">
        <v>7.7500008046627045E-5</v>
      </c>
    </row>
    <row r="41" spans="1:16">
      <c r="A41" s="1" t="s">
        <v>59</v>
      </c>
      <c r="B41" s="1">
        <v>4</v>
      </c>
      <c r="C41" s="1">
        <v>1</v>
      </c>
      <c r="D41" s="1" t="s">
        <v>17</v>
      </c>
      <c r="E41" s="1">
        <v>9</v>
      </c>
      <c r="F41" s="1">
        <v>0</v>
      </c>
      <c r="G41" s="1" t="s">
        <v>18</v>
      </c>
      <c r="H41" s="1">
        <v>1</v>
      </c>
      <c r="I41" s="1" t="s">
        <v>19</v>
      </c>
      <c r="J41" s="1" t="s">
        <v>20</v>
      </c>
      <c r="K41" s="1" t="s">
        <v>18</v>
      </c>
      <c r="L41" s="1">
        <v>37.799999999999997</v>
      </c>
      <c r="M41" s="1">
        <v>40.410181000000001</v>
      </c>
      <c r="N41" s="2">
        <f t="shared" si="1"/>
        <v>6.9052407407407521E-2</v>
      </c>
      <c r="O41" s="4">
        <v>19.28</v>
      </c>
      <c r="P41" s="5">
        <v>7.6700001955032349E-5</v>
      </c>
    </row>
    <row r="42" spans="1:16">
      <c r="A42" s="1" t="s">
        <v>60</v>
      </c>
      <c r="B42" s="1">
        <v>14</v>
      </c>
      <c r="C42" s="1">
        <v>1</v>
      </c>
      <c r="D42" s="1" t="s">
        <v>18</v>
      </c>
      <c r="E42" s="1">
        <v>6</v>
      </c>
      <c r="F42" s="1">
        <v>1</v>
      </c>
      <c r="G42" s="1" t="s">
        <v>18</v>
      </c>
      <c r="H42" s="1">
        <v>6</v>
      </c>
      <c r="I42" s="1" t="s">
        <v>19</v>
      </c>
      <c r="J42" s="1" t="s">
        <v>20</v>
      </c>
      <c r="K42" s="1" t="s">
        <v>17</v>
      </c>
      <c r="L42" s="1">
        <v>248.63999200000001</v>
      </c>
      <c r="M42" s="1">
        <v>248.64</v>
      </c>
      <c r="N42" s="2">
        <f t="shared" si="1"/>
        <v>3.2175033129030755E-8</v>
      </c>
      <c r="O42" s="4">
        <v>19.510000000000002</v>
      </c>
      <c r="P42" s="5">
        <v>7.5899995863437653E-5</v>
      </c>
    </row>
    <row r="43" spans="1:16">
      <c r="A43" s="1" t="s">
        <v>61</v>
      </c>
      <c r="B43" s="1">
        <v>9</v>
      </c>
      <c r="C43" s="1">
        <v>6</v>
      </c>
      <c r="D43" s="1" t="s">
        <v>17</v>
      </c>
      <c r="E43" s="1">
        <v>16</v>
      </c>
      <c r="F43" s="1">
        <v>1</v>
      </c>
      <c r="G43" s="1" t="s">
        <v>18</v>
      </c>
      <c r="H43" s="1">
        <v>2</v>
      </c>
      <c r="I43" s="1" t="s">
        <v>19</v>
      </c>
      <c r="J43" s="1" t="s">
        <v>20</v>
      </c>
      <c r="K43" s="1" t="s">
        <v>17</v>
      </c>
      <c r="L43" s="1">
        <v>100.799998</v>
      </c>
      <c r="M43" s="1">
        <v>104.01661</v>
      </c>
      <c r="N43" s="2">
        <f t="shared" si="1"/>
        <v>3.1910833966484781E-2</v>
      </c>
      <c r="O43" s="4">
        <v>19.61</v>
      </c>
      <c r="P43" s="5">
        <v>8.019997039809823E-5</v>
      </c>
    </row>
    <row r="44" spans="1:16">
      <c r="A44" s="1" t="s">
        <v>62</v>
      </c>
      <c r="B44" s="1">
        <v>6</v>
      </c>
      <c r="C44" s="1">
        <v>4</v>
      </c>
      <c r="D44" s="1" t="s">
        <v>18</v>
      </c>
      <c r="E44" s="1">
        <v>5</v>
      </c>
      <c r="F44" s="1">
        <v>0</v>
      </c>
      <c r="G44" s="1" t="s">
        <v>18</v>
      </c>
      <c r="H44" s="1">
        <v>6</v>
      </c>
      <c r="I44" s="1" t="s">
        <v>19</v>
      </c>
      <c r="J44" s="1" t="s">
        <v>20</v>
      </c>
      <c r="K44" s="1" t="s">
        <v>17</v>
      </c>
      <c r="L44" s="1">
        <v>85.399996999999999</v>
      </c>
      <c r="M44" s="1">
        <v>85.4</v>
      </c>
      <c r="N44" s="2">
        <f t="shared" si="1"/>
        <v>3.512880693235367E-8</v>
      </c>
      <c r="O44" s="4">
        <v>19.329999999999998</v>
      </c>
      <c r="P44" s="5">
        <v>8.3499995525926352E-5</v>
      </c>
    </row>
    <row r="45" spans="1:16">
      <c r="A45" s="1" t="s">
        <v>63</v>
      </c>
      <c r="B45" s="1">
        <v>5</v>
      </c>
      <c r="C45" s="1">
        <v>2</v>
      </c>
      <c r="D45" s="1" t="s">
        <v>17</v>
      </c>
      <c r="E45" s="1">
        <v>5</v>
      </c>
      <c r="F45" s="1">
        <v>4</v>
      </c>
      <c r="G45" s="1" t="s">
        <v>18</v>
      </c>
      <c r="H45" s="1">
        <v>6</v>
      </c>
      <c r="I45" s="1" t="s">
        <v>19</v>
      </c>
      <c r="J45" s="1" t="s">
        <v>20</v>
      </c>
      <c r="K45" s="1" t="s">
        <v>17</v>
      </c>
      <c r="L45" s="1">
        <v>143.639996</v>
      </c>
      <c r="M45" s="1">
        <v>140.370181</v>
      </c>
      <c r="N45" s="2">
        <f t="shared" si="1"/>
        <v>2.2763959141296509E-2</v>
      </c>
      <c r="O45" s="4">
        <v>19.5</v>
      </c>
      <c r="P45" s="5">
        <v>7.800001185387373E-5</v>
      </c>
    </row>
    <row r="46" spans="1:16">
      <c r="A46" s="1" t="s">
        <v>64</v>
      </c>
      <c r="B46" s="1">
        <v>14</v>
      </c>
      <c r="C46" s="1">
        <v>3</v>
      </c>
      <c r="D46" s="1" t="s">
        <v>18</v>
      </c>
      <c r="E46" s="1">
        <v>12</v>
      </c>
      <c r="F46" s="1">
        <v>2</v>
      </c>
      <c r="G46" s="1" t="s">
        <v>18</v>
      </c>
      <c r="H46" s="1">
        <v>6</v>
      </c>
      <c r="I46" s="1" t="s">
        <v>19</v>
      </c>
      <c r="J46" s="1" t="s">
        <v>20</v>
      </c>
      <c r="K46" s="1" t="s">
        <v>17</v>
      </c>
      <c r="L46" s="1">
        <v>503.99998499999998</v>
      </c>
      <c r="M46" s="1">
        <v>497.28</v>
      </c>
      <c r="N46" s="2">
        <f t="shared" si="1"/>
        <v>1.3333303968253111E-2</v>
      </c>
      <c r="O46" s="4">
        <v>19.239999999999998</v>
      </c>
      <c r="P46" s="5">
        <v>7.6800002716481686E-5</v>
      </c>
    </row>
    <row r="47" spans="1:16">
      <c r="A47" s="1" t="s">
        <v>65</v>
      </c>
      <c r="B47" s="1">
        <v>12</v>
      </c>
      <c r="C47" s="1">
        <v>0</v>
      </c>
      <c r="D47" s="1" t="s">
        <v>18</v>
      </c>
      <c r="E47" s="1">
        <v>9</v>
      </c>
      <c r="F47" s="1">
        <v>1</v>
      </c>
      <c r="G47" s="1" t="s">
        <v>18</v>
      </c>
      <c r="H47" s="1">
        <v>6</v>
      </c>
      <c r="I47" s="1" t="s">
        <v>19</v>
      </c>
      <c r="J47" s="1" t="s">
        <v>20</v>
      </c>
      <c r="K47" s="1" t="s">
        <v>18</v>
      </c>
      <c r="L47" s="1">
        <v>292.04000600000001</v>
      </c>
      <c r="M47" s="1">
        <v>292.04000000000002</v>
      </c>
      <c r="N47" s="2">
        <f t="shared" si="1"/>
        <v>2.0545130330025594E-8</v>
      </c>
      <c r="O47" s="4">
        <v>19.22</v>
      </c>
      <c r="P47" s="5">
        <v>7.599999662488699E-5</v>
      </c>
    </row>
    <row r="48" spans="1:16">
      <c r="A48" s="1" t="s">
        <v>66</v>
      </c>
      <c r="B48" s="1">
        <v>9</v>
      </c>
      <c r="C48" s="1">
        <v>1</v>
      </c>
      <c r="D48" s="1" t="s">
        <v>18</v>
      </c>
      <c r="E48" s="1">
        <v>12</v>
      </c>
      <c r="F48" s="1">
        <v>1</v>
      </c>
      <c r="G48" s="1" t="s">
        <v>18</v>
      </c>
      <c r="H48" s="1">
        <v>3</v>
      </c>
      <c r="I48" s="1" t="s">
        <v>19</v>
      </c>
      <c r="J48" s="1" t="s">
        <v>20</v>
      </c>
      <c r="K48" s="1" t="s">
        <v>17</v>
      </c>
      <c r="L48" s="1">
        <v>194.03999400000001</v>
      </c>
      <c r="M48" s="1">
        <v>194.04</v>
      </c>
      <c r="N48" s="2">
        <f t="shared" si="1"/>
        <v>3.0921460370955568E-8</v>
      </c>
      <c r="O48" s="4">
        <v>19.899999999999999</v>
      </c>
      <c r="P48" s="5">
        <v>7.8700017184019089E-5</v>
      </c>
    </row>
    <row r="49" spans="1:16">
      <c r="A49" s="1" t="s">
        <v>67</v>
      </c>
      <c r="B49" s="1">
        <v>9</v>
      </c>
      <c r="C49" s="1">
        <v>2</v>
      </c>
      <c r="D49" s="1" t="s">
        <v>18</v>
      </c>
      <c r="E49" s="1">
        <v>10</v>
      </c>
      <c r="F49" s="1">
        <v>0</v>
      </c>
      <c r="G49" s="1" t="s">
        <v>18</v>
      </c>
      <c r="H49" s="1">
        <v>2</v>
      </c>
      <c r="I49" s="1" t="s">
        <v>19</v>
      </c>
      <c r="J49" s="1" t="s">
        <v>20</v>
      </c>
      <c r="K49" s="1" t="s">
        <v>17</v>
      </c>
      <c r="L49" s="1">
        <v>104.43999700000001</v>
      </c>
      <c r="M49" s="1">
        <v>104.44</v>
      </c>
      <c r="N49" s="2">
        <f t="shared" si="1"/>
        <v>2.8724627332435945E-8</v>
      </c>
      <c r="O49" s="4">
        <v>19.3</v>
      </c>
      <c r="P49" s="5">
        <v>7.7900011092424393E-5</v>
      </c>
    </row>
    <row r="50" spans="1:16">
      <c r="A50" s="1" t="s">
        <v>68</v>
      </c>
      <c r="B50" s="1">
        <v>9</v>
      </c>
      <c r="C50" s="1">
        <v>2</v>
      </c>
      <c r="D50" s="1" t="s">
        <v>17</v>
      </c>
      <c r="E50" s="1">
        <v>10</v>
      </c>
      <c r="F50" s="1">
        <v>0</v>
      </c>
      <c r="G50" s="1" t="s">
        <v>18</v>
      </c>
      <c r="H50" s="1">
        <v>3</v>
      </c>
      <c r="I50" s="1" t="s">
        <v>19</v>
      </c>
      <c r="J50" s="1" t="s">
        <v>20</v>
      </c>
      <c r="K50" s="1" t="s">
        <v>18</v>
      </c>
      <c r="L50" s="1">
        <v>185.64000200000001</v>
      </c>
      <c r="M50" s="1">
        <v>184.36204900000001</v>
      </c>
      <c r="N50" s="2">
        <f t="shared" si="1"/>
        <v>6.8840389260499818E-3</v>
      </c>
      <c r="O50" s="4">
        <v>19.41</v>
      </c>
      <c r="P50" s="5">
        <v>1.1439999798312781E-4</v>
      </c>
    </row>
    <row r="51" spans="1:16">
      <c r="A51" s="1" t="s">
        <v>69</v>
      </c>
      <c r="B51" s="1">
        <v>8</v>
      </c>
      <c r="C51" s="1">
        <v>0</v>
      </c>
      <c r="D51" s="1" t="s">
        <v>18</v>
      </c>
      <c r="E51" s="1">
        <v>5</v>
      </c>
      <c r="F51" s="1">
        <v>0</v>
      </c>
      <c r="G51" s="1" t="s">
        <v>18</v>
      </c>
      <c r="H51" s="1">
        <v>0</v>
      </c>
      <c r="I51" s="1" t="s">
        <v>19</v>
      </c>
      <c r="J51" s="1" t="s">
        <v>20</v>
      </c>
      <c r="K51" s="1" t="s">
        <v>18</v>
      </c>
      <c r="L51" s="1">
        <v>11.2</v>
      </c>
      <c r="M51" s="1">
        <v>11.2</v>
      </c>
      <c r="N51" s="2">
        <f t="shared" si="1"/>
        <v>0</v>
      </c>
      <c r="O51" s="4">
        <v>19.010000000000002</v>
      </c>
      <c r="P51" s="5">
        <v>8.8300032075494528E-5</v>
      </c>
    </row>
    <row r="52" spans="1:16">
      <c r="A52" s="1" t="s">
        <v>70</v>
      </c>
      <c r="B52" s="1">
        <v>8</v>
      </c>
      <c r="C52" s="1">
        <v>0</v>
      </c>
      <c r="D52" s="1" t="s">
        <v>17</v>
      </c>
      <c r="E52" s="1">
        <v>6</v>
      </c>
      <c r="F52" s="1">
        <v>0</v>
      </c>
      <c r="G52" s="1" t="s">
        <v>18</v>
      </c>
      <c r="H52" s="1">
        <v>1</v>
      </c>
      <c r="I52" s="1" t="s">
        <v>19</v>
      </c>
      <c r="J52" s="1" t="s">
        <v>20</v>
      </c>
      <c r="K52" s="1" t="s">
        <v>17</v>
      </c>
      <c r="L52" s="1">
        <v>86.519998999999999</v>
      </c>
      <c r="M52" s="1">
        <v>86.066389999999998</v>
      </c>
      <c r="N52" s="2">
        <f t="shared" si="1"/>
        <v>5.2428225293899991E-3</v>
      </c>
      <c r="O52" s="4">
        <v>19.350000000000001</v>
      </c>
      <c r="P52" s="5">
        <v>7.9299963545054197E-5</v>
      </c>
    </row>
    <row r="53" spans="1:16">
      <c r="A53" s="1" t="s">
        <v>71</v>
      </c>
      <c r="B53" s="1">
        <v>8</v>
      </c>
      <c r="C53" s="1">
        <v>3</v>
      </c>
      <c r="D53" s="1" t="s">
        <v>17</v>
      </c>
      <c r="E53" s="1">
        <v>16</v>
      </c>
      <c r="F53" s="1">
        <v>4</v>
      </c>
      <c r="G53" s="1" t="s">
        <v>18</v>
      </c>
      <c r="H53" s="1">
        <v>2</v>
      </c>
      <c r="I53" s="1" t="s">
        <v>19</v>
      </c>
      <c r="J53" s="1" t="s">
        <v>20</v>
      </c>
      <c r="K53" s="1" t="s">
        <v>18</v>
      </c>
      <c r="L53" s="1">
        <v>162.680002</v>
      </c>
      <c r="M53" s="1">
        <v>161.94693899999999</v>
      </c>
      <c r="N53" s="2">
        <f t="shared" si="1"/>
        <v>4.5061654228404522E-3</v>
      </c>
      <c r="O53" s="4">
        <v>19.7</v>
      </c>
      <c r="P53" s="5">
        <v>7.8399956692010164E-5</v>
      </c>
    </row>
    <row r="54" spans="1:16">
      <c r="A54" s="1" t="s">
        <v>72</v>
      </c>
      <c r="B54" s="1">
        <v>8</v>
      </c>
      <c r="C54" s="1">
        <v>2</v>
      </c>
      <c r="D54" s="1" t="s">
        <v>17</v>
      </c>
      <c r="E54" s="1">
        <v>9</v>
      </c>
      <c r="F54" s="1">
        <v>3</v>
      </c>
      <c r="G54" s="1" t="s">
        <v>18</v>
      </c>
      <c r="H54" s="1">
        <v>1</v>
      </c>
      <c r="I54" s="1" t="s">
        <v>19</v>
      </c>
      <c r="J54" s="1" t="s">
        <v>20</v>
      </c>
      <c r="K54" s="1" t="s">
        <v>18</v>
      </c>
      <c r="L54" s="1">
        <v>109.760001</v>
      </c>
      <c r="M54" s="1">
        <v>109.026939</v>
      </c>
      <c r="N54" s="2">
        <f t="shared" si="1"/>
        <v>6.6787718050403799E-3</v>
      </c>
      <c r="O54" s="4">
        <v>19.47</v>
      </c>
      <c r="P54" s="5">
        <v>7.4699986726045609E-5</v>
      </c>
    </row>
    <row r="55" spans="1:16">
      <c r="A55" s="1" t="s">
        <v>73</v>
      </c>
      <c r="B55" s="1">
        <v>12</v>
      </c>
      <c r="C55" s="1">
        <v>2</v>
      </c>
      <c r="D55" s="1" t="s">
        <v>18</v>
      </c>
      <c r="E55" s="1">
        <v>9</v>
      </c>
      <c r="F55" s="1">
        <v>2</v>
      </c>
      <c r="G55" s="1" t="s">
        <v>18</v>
      </c>
      <c r="H55" s="1">
        <v>6</v>
      </c>
      <c r="I55" s="1" t="s">
        <v>19</v>
      </c>
      <c r="J55" s="1" t="s">
        <v>20</v>
      </c>
      <c r="K55" s="1" t="s">
        <v>18</v>
      </c>
      <c r="L55" s="1">
        <v>327.60000600000001</v>
      </c>
      <c r="M55" s="1">
        <v>327.60000000000002</v>
      </c>
      <c r="N55" s="2">
        <f t="shared" si="1"/>
        <v>1.831501793333745E-8</v>
      </c>
      <c r="O55" s="4">
        <v>18.75</v>
      </c>
      <c r="P55" s="5">
        <v>7.3799979873001575E-5</v>
      </c>
    </row>
    <row r="56" spans="1:16">
      <c r="A56" s="1" t="s">
        <v>74</v>
      </c>
      <c r="B56" s="1">
        <v>4</v>
      </c>
      <c r="C56" s="1">
        <v>0</v>
      </c>
      <c r="D56" s="1" t="s">
        <v>17</v>
      </c>
      <c r="E56" s="1">
        <v>8</v>
      </c>
      <c r="F56" s="1">
        <v>3</v>
      </c>
      <c r="G56" s="1" t="s">
        <v>18</v>
      </c>
      <c r="H56" s="1">
        <v>0</v>
      </c>
      <c r="I56" s="1" t="s">
        <v>19</v>
      </c>
      <c r="J56" s="1" t="s">
        <v>20</v>
      </c>
      <c r="K56" s="1" t="s">
        <v>17</v>
      </c>
      <c r="L56" s="1">
        <v>24.08</v>
      </c>
      <c r="M56" s="1">
        <v>31.631993999999999</v>
      </c>
      <c r="N56" s="2">
        <f t="shared" si="1"/>
        <v>0.31362101328903658</v>
      </c>
      <c r="O56" s="4">
        <v>19.3</v>
      </c>
      <c r="P56" s="5">
        <v>7.5499992817640305E-5</v>
      </c>
    </row>
    <row r="57" spans="1:16">
      <c r="A57" s="1" t="s">
        <v>75</v>
      </c>
      <c r="B57" s="1">
        <v>10</v>
      </c>
      <c r="C57" s="1">
        <v>0</v>
      </c>
      <c r="D57" s="1" t="s">
        <v>17</v>
      </c>
      <c r="E57" s="1">
        <v>12</v>
      </c>
      <c r="F57" s="1">
        <v>4</v>
      </c>
      <c r="G57" s="1" t="s">
        <v>18</v>
      </c>
      <c r="H57" s="1">
        <v>6</v>
      </c>
      <c r="I57" s="1" t="s">
        <v>19</v>
      </c>
      <c r="J57" s="1" t="s">
        <v>20</v>
      </c>
      <c r="K57" s="1" t="s">
        <v>18</v>
      </c>
      <c r="L57" s="1">
        <v>350.28000500000002</v>
      </c>
      <c r="M57" s="1">
        <v>350.02386200000001</v>
      </c>
      <c r="N57" s="2">
        <f t="shared" si="1"/>
        <v>7.3125213070614366E-4</v>
      </c>
      <c r="O57" s="4">
        <v>19.850000000000001</v>
      </c>
      <c r="P57" s="5">
        <v>7.5099989771842957E-5</v>
      </c>
    </row>
    <row r="58" spans="1:16">
      <c r="A58" s="1" t="s">
        <v>76</v>
      </c>
      <c r="B58" s="1">
        <v>5</v>
      </c>
      <c r="C58" s="1">
        <v>0</v>
      </c>
      <c r="D58" s="1" t="s">
        <v>18</v>
      </c>
      <c r="E58" s="1">
        <v>6</v>
      </c>
      <c r="F58" s="1">
        <v>1</v>
      </c>
      <c r="G58" s="1" t="s">
        <v>18</v>
      </c>
      <c r="H58" s="1">
        <v>2</v>
      </c>
      <c r="I58" s="1" t="s">
        <v>19</v>
      </c>
      <c r="J58" s="1" t="s">
        <v>20</v>
      </c>
      <c r="K58" s="1" t="s">
        <v>18</v>
      </c>
      <c r="L58" s="1">
        <v>65.240001000000007</v>
      </c>
      <c r="M58" s="1">
        <v>65.239999999999995</v>
      </c>
      <c r="N58" s="2">
        <f t="shared" si="1"/>
        <v>1.5328019564041658E-8</v>
      </c>
      <c r="O58" s="4">
        <v>19.34</v>
      </c>
      <c r="P58" s="5">
        <v>7.5699994340538979E-5</v>
      </c>
    </row>
    <row r="59" spans="1:16">
      <c r="A59" s="1" t="s">
        <v>77</v>
      </c>
      <c r="B59" s="1">
        <v>8</v>
      </c>
      <c r="C59" s="1">
        <v>1</v>
      </c>
      <c r="D59" s="1" t="s">
        <v>18</v>
      </c>
      <c r="E59" s="1">
        <v>16</v>
      </c>
      <c r="F59" s="1">
        <v>0</v>
      </c>
      <c r="G59" s="1" t="s">
        <v>18</v>
      </c>
      <c r="H59" s="1">
        <v>2</v>
      </c>
      <c r="I59" s="1" t="s">
        <v>19</v>
      </c>
      <c r="J59" s="1" t="s">
        <v>20</v>
      </c>
      <c r="K59" s="1" t="s">
        <v>18</v>
      </c>
      <c r="L59" s="1">
        <v>97.720000999999996</v>
      </c>
      <c r="M59" s="1">
        <v>97.72</v>
      </c>
      <c r="N59" s="2">
        <f t="shared" si="1"/>
        <v>1.0233319558349602E-8</v>
      </c>
      <c r="O59" s="4">
        <v>19.559999999999999</v>
      </c>
      <c r="P59" s="5">
        <v>7.6299998909235001E-5</v>
      </c>
    </row>
    <row r="60" spans="1:16">
      <c r="A60" s="1" t="s">
        <v>78</v>
      </c>
      <c r="B60" s="1">
        <v>6</v>
      </c>
      <c r="C60" s="1">
        <v>1</v>
      </c>
      <c r="D60" s="1" t="s">
        <v>17</v>
      </c>
      <c r="E60" s="1">
        <v>9</v>
      </c>
      <c r="F60" s="1">
        <v>2</v>
      </c>
      <c r="G60" s="1" t="s">
        <v>18</v>
      </c>
      <c r="H60" s="1">
        <v>2</v>
      </c>
      <c r="I60" s="1" t="s">
        <v>19</v>
      </c>
      <c r="J60" s="1" t="s">
        <v>20</v>
      </c>
      <c r="K60" s="1" t="s">
        <v>17</v>
      </c>
      <c r="L60" s="1">
        <v>127.119997</v>
      </c>
      <c r="M60" s="1">
        <v>125.62946599999999</v>
      </c>
      <c r="N60" s="2">
        <f t="shared" si="1"/>
        <v>1.1725385739271251E-2</v>
      </c>
      <c r="O60" s="4">
        <v>19.66</v>
      </c>
      <c r="P60" s="5">
        <v>7.4199982918798923E-5</v>
      </c>
    </row>
    <row r="61" spans="1:16">
      <c r="A61" s="1" t="s">
        <v>79</v>
      </c>
      <c r="B61" s="1">
        <v>9</v>
      </c>
      <c r="C61" s="1">
        <v>0</v>
      </c>
      <c r="D61" s="1" t="s">
        <v>17</v>
      </c>
      <c r="E61" s="1">
        <v>10</v>
      </c>
      <c r="F61" s="1">
        <v>6</v>
      </c>
      <c r="G61" s="1" t="s">
        <v>18</v>
      </c>
      <c r="H61" s="1">
        <v>0</v>
      </c>
      <c r="I61" s="1" t="s">
        <v>19</v>
      </c>
      <c r="J61" s="1" t="s">
        <v>20</v>
      </c>
      <c r="K61" s="1" t="s">
        <v>18</v>
      </c>
      <c r="L61" s="1">
        <v>28.84</v>
      </c>
      <c r="M61" s="1">
        <v>36.588917000000002</v>
      </c>
      <c r="N61" s="2">
        <f t="shared" si="1"/>
        <v>0.26868644244105416</v>
      </c>
      <c r="O61" s="4">
        <v>19.95</v>
      </c>
      <c r="P61" s="5">
        <v>7.4799987487494946E-5</v>
      </c>
    </row>
    <row r="62" spans="1:16">
      <c r="A62" s="1" t="s">
        <v>80</v>
      </c>
      <c r="B62" s="1">
        <v>12</v>
      </c>
      <c r="C62" s="1">
        <v>1</v>
      </c>
      <c r="D62" s="1" t="s">
        <v>18</v>
      </c>
      <c r="E62" s="1">
        <v>8</v>
      </c>
      <c r="F62" s="1">
        <v>6</v>
      </c>
      <c r="G62" s="1" t="s">
        <v>18</v>
      </c>
      <c r="H62" s="1">
        <v>3</v>
      </c>
      <c r="I62" s="1" t="s">
        <v>19</v>
      </c>
      <c r="J62" s="1" t="s">
        <v>20</v>
      </c>
      <c r="K62" s="1" t="s">
        <v>18</v>
      </c>
      <c r="L62" s="1">
        <v>60.480001000000001</v>
      </c>
      <c r="M62" s="1">
        <v>60.48</v>
      </c>
      <c r="N62" s="2">
        <f t="shared" si="1"/>
        <v>1.6534391336744026E-8</v>
      </c>
      <c r="O62" s="4">
        <v>19.73</v>
      </c>
      <c r="P62" s="5">
        <v>7.4000039603561163E-5</v>
      </c>
    </row>
    <row r="63" spans="1:16">
      <c r="A63" s="1" t="s">
        <v>81</v>
      </c>
      <c r="B63" s="1">
        <v>5</v>
      </c>
      <c r="C63" s="1">
        <v>1</v>
      </c>
      <c r="D63" s="1" t="s">
        <v>18</v>
      </c>
      <c r="E63" s="1">
        <v>12</v>
      </c>
      <c r="F63" s="1">
        <v>6</v>
      </c>
      <c r="G63" s="1" t="s">
        <v>18</v>
      </c>
      <c r="H63" s="1">
        <v>2</v>
      </c>
      <c r="I63" s="1" t="s">
        <v>19</v>
      </c>
      <c r="J63" s="1" t="s">
        <v>20</v>
      </c>
      <c r="K63" s="1" t="s">
        <v>17</v>
      </c>
      <c r="L63" s="1">
        <v>78.679997999999998</v>
      </c>
      <c r="M63" s="1">
        <v>78.680000000000007</v>
      </c>
      <c r="N63" s="2">
        <f t="shared" si="1"/>
        <v>2.5419421199798965E-8</v>
      </c>
      <c r="O63" s="4">
        <v>19.12</v>
      </c>
      <c r="P63" s="5">
        <v>7.4500043410807848E-5</v>
      </c>
    </row>
    <row r="64" spans="1:16">
      <c r="A64" s="1" t="s">
        <v>82</v>
      </c>
      <c r="B64" s="1">
        <v>14</v>
      </c>
      <c r="C64" s="1">
        <v>0</v>
      </c>
      <c r="D64" s="1" t="s">
        <v>18</v>
      </c>
      <c r="E64" s="1">
        <v>6</v>
      </c>
      <c r="F64" s="1">
        <v>2</v>
      </c>
      <c r="G64" s="1" t="s">
        <v>18</v>
      </c>
      <c r="H64" s="1">
        <v>0</v>
      </c>
      <c r="I64" s="1" t="s">
        <v>19</v>
      </c>
      <c r="J64" s="1" t="s">
        <v>20</v>
      </c>
      <c r="K64" s="1" t="s">
        <v>18</v>
      </c>
      <c r="L64" s="1">
        <v>10.64</v>
      </c>
      <c r="M64" s="1">
        <v>10.64</v>
      </c>
      <c r="N64" s="2">
        <f t="shared" si="1"/>
        <v>0</v>
      </c>
      <c r="O64" s="4">
        <v>18.899999999999999</v>
      </c>
      <c r="P64" s="5">
        <v>7.3699979111552238E-5</v>
      </c>
    </row>
    <row r="65" spans="1:16">
      <c r="A65" s="1" t="s">
        <v>83</v>
      </c>
      <c r="B65" s="1">
        <v>14</v>
      </c>
      <c r="C65" s="1">
        <v>3</v>
      </c>
      <c r="D65" s="1" t="s">
        <v>17</v>
      </c>
      <c r="E65" s="1">
        <v>16</v>
      </c>
      <c r="F65" s="1">
        <v>8</v>
      </c>
      <c r="G65" s="1" t="s">
        <v>18</v>
      </c>
      <c r="H65" s="1">
        <v>3</v>
      </c>
      <c r="I65" s="1" t="s">
        <v>19</v>
      </c>
      <c r="J65" s="1" t="s">
        <v>20</v>
      </c>
      <c r="K65" s="1" t="s">
        <v>17</v>
      </c>
      <c r="L65" s="1">
        <v>321.15999299999999</v>
      </c>
      <c r="M65" s="1">
        <v>318.40007100000003</v>
      </c>
      <c r="N65" s="2">
        <f t="shared" si="1"/>
        <v>8.593604621233009E-3</v>
      </c>
      <c r="O65" s="4">
        <v>19.420000000000002</v>
      </c>
      <c r="P65" s="5">
        <v>7.4599985964596272E-5</v>
      </c>
    </row>
    <row r="66" spans="1:16">
      <c r="A66" s="1" t="s">
        <v>84</v>
      </c>
      <c r="B66" s="1">
        <v>10</v>
      </c>
      <c r="C66" s="1">
        <v>6</v>
      </c>
      <c r="D66" s="1" t="s">
        <v>17</v>
      </c>
      <c r="E66" s="1">
        <v>9</v>
      </c>
      <c r="F66" s="1">
        <v>1</v>
      </c>
      <c r="G66" s="1" t="s">
        <v>18</v>
      </c>
      <c r="H66" s="1">
        <v>6</v>
      </c>
      <c r="I66" s="1" t="s">
        <v>19</v>
      </c>
      <c r="J66" s="1" t="s">
        <v>20</v>
      </c>
      <c r="K66" s="1" t="s">
        <v>18</v>
      </c>
      <c r="L66" s="1">
        <v>227.36000300000001</v>
      </c>
      <c r="M66" s="1">
        <v>229.27534700000001</v>
      </c>
      <c r="N66" s="2">
        <f t="shared" ref="N66:N97" si="2">ABS(M66-L66)/L66</f>
        <v>8.4242785658302649E-3</v>
      </c>
      <c r="O66" s="4">
        <v>19.13</v>
      </c>
      <c r="P66" s="5">
        <v>7.3800038080662489E-5</v>
      </c>
    </row>
    <row r="67" spans="1:16">
      <c r="A67" s="1" t="s">
        <v>85</v>
      </c>
      <c r="B67" s="1">
        <v>6</v>
      </c>
      <c r="C67" s="1">
        <v>2</v>
      </c>
      <c r="D67" s="1" t="s">
        <v>18</v>
      </c>
      <c r="E67" s="1">
        <v>9</v>
      </c>
      <c r="F67" s="1">
        <v>6</v>
      </c>
      <c r="G67" s="1" t="s">
        <v>18</v>
      </c>
      <c r="H67" s="1">
        <v>3</v>
      </c>
      <c r="I67" s="1" t="s">
        <v>19</v>
      </c>
      <c r="J67" s="1" t="s">
        <v>20</v>
      </c>
      <c r="K67" s="1" t="s">
        <v>18</v>
      </c>
      <c r="L67" s="1">
        <v>97.160002000000006</v>
      </c>
      <c r="M67" s="1">
        <v>97.16</v>
      </c>
      <c r="N67" s="2">
        <f t="shared" si="2"/>
        <v>2.0584602387732969E-8</v>
      </c>
      <c r="O67" s="4">
        <v>18.96</v>
      </c>
      <c r="P67" s="5">
        <v>7.2600028943270445E-5</v>
      </c>
    </row>
    <row r="68" spans="1:16">
      <c r="A68" s="1" t="s">
        <v>86</v>
      </c>
      <c r="B68" s="1">
        <v>4</v>
      </c>
      <c r="C68" s="1">
        <v>3</v>
      </c>
      <c r="D68" s="1" t="s">
        <v>18</v>
      </c>
      <c r="E68" s="1">
        <v>6</v>
      </c>
      <c r="F68" s="1">
        <v>2</v>
      </c>
      <c r="G68" s="1" t="s">
        <v>18</v>
      </c>
      <c r="H68" s="1">
        <v>1</v>
      </c>
      <c r="I68" s="1" t="s">
        <v>19</v>
      </c>
      <c r="J68" s="1" t="s">
        <v>20</v>
      </c>
      <c r="K68" s="1" t="s">
        <v>18</v>
      </c>
      <c r="L68" s="1">
        <v>23.52</v>
      </c>
      <c r="M68" s="1">
        <v>23.52</v>
      </c>
      <c r="N68" s="2">
        <f t="shared" si="2"/>
        <v>0</v>
      </c>
      <c r="O68" s="4">
        <v>18.989999999999998</v>
      </c>
      <c r="P68" s="5">
        <v>7.2800030466169119E-5</v>
      </c>
    </row>
    <row r="69" spans="1:16">
      <c r="A69" s="1" t="s">
        <v>87</v>
      </c>
      <c r="B69" s="1">
        <v>5</v>
      </c>
      <c r="C69" s="1">
        <v>4</v>
      </c>
      <c r="D69" s="1" t="s">
        <v>17</v>
      </c>
      <c r="E69" s="1">
        <v>6</v>
      </c>
      <c r="F69" s="1">
        <v>4</v>
      </c>
      <c r="G69" s="1" t="s">
        <v>18</v>
      </c>
      <c r="H69" s="1">
        <v>0</v>
      </c>
      <c r="I69" s="1" t="s">
        <v>19</v>
      </c>
      <c r="J69" s="1" t="s">
        <v>20</v>
      </c>
      <c r="K69" s="1" t="s">
        <v>17</v>
      </c>
      <c r="L69" s="1">
        <v>28.56</v>
      </c>
      <c r="M69" s="1">
        <v>39.570729999999998</v>
      </c>
      <c r="N69" s="2">
        <f t="shared" si="2"/>
        <v>0.3855297619047619</v>
      </c>
      <c r="O69" s="4">
        <v>19.43</v>
      </c>
      <c r="P69" s="5">
        <v>7.2999973781406879E-5</v>
      </c>
    </row>
    <row r="70" spans="1:16">
      <c r="A70" s="1" t="s">
        <v>88</v>
      </c>
      <c r="B70" s="1">
        <v>10</v>
      </c>
      <c r="C70" s="1">
        <v>2</v>
      </c>
      <c r="D70" s="1" t="s">
        <v>18</v>
      </c>
      <c r="E70" s="1">
        <v>5</v>
      </c>
      <c r="F70" s="1">
        <v>1</v>
      </c>
      <c r="G70" s="1" t="s">
        <v>18</v>
      </c>
      <c r="H70" s="1">
        <v>3</v>
      </c>
      <c r="I70" s="1" t="s">
        <v>19</v>
      </c>
      <c r="J70" s="1" t="s">
        <v>20</v>
      </c>
      <c r="K70" s="1" t="s">
        <v>17</v>
      </c>
      <c r="L70" s="1">
        <v>106.399997</v>
      </c>
      <c r="M70" s="1">
        <v>106.4</v>
      </c>
      <c r="N70" s="2">
        <f t="shared" si="2"/>
        <v>2.8195489579164018E-8</v>
      </c>
      <c r="O70" s="4">
        <v>18.989999999999998</v>
      </c>
      <c r="P70" s="5">
        <v>7.4300041887909174E-5</v>
      </c>
    </row>
    <row r="71" spans="1:16">
      <c r="A71" s="1" t="s">
        <v>89</v>
      </c>
      <c r="B71" s="1">
        <v>12</v>
      </c>
      <c r="C71" s="1">
        <v>4</v>
      </c>
      <c r="D71" s="1" t="s">
        <v>18</v>
      </c>
      <c r="E71" s="1">
        <v>16</v>
      </c>
      <c r="F71" s="1">
        <v>2</v>
      </c>
      <c r="G71" s="1" t="s">
        <v>18</v>
      </c>
      <c r="H71" s="1">
        <v>4</v>
      </c>
      <c r="I71" s="1" t="s">
        <v>19</v>
      </c>
      <c r="J71" s="1" t="s">
        <v>20</v>
      </c>
      <c r="K71" s="1" t="s">
        <v>18</v>
      </c>
      <c r="L71" s="1">
        <v>251.44000399999999</v>
      </c>
      <c r="M71" s="1">
        <v>251.44</v>
      </c>
      <c r="N71" s="2">
        <f t="shared" si="2"/>
        <v>1.5908367508222641E-8</v>
      </c>
      <c r="O71" s="4">
        <v>19.48</v>
      </c>
      <c r="P71" s="5">
        <v>7.4599985964596272E-5</v>
      </c>
    </row>
    <row r="72" spans="1:16">
      <c r="A72" s="1" t="s">
        <v>90</v>
      </c>
      <c r="B72" s="1">
        <v>10</v>
      </c>
      <c r="C72" s="1">
        <v>2</v>
      </c>
      <c r="D72" s="1" t="s">
        <v>17</v>
      </c>
      <c r="E72" s="1">
        <v>6</v>
      </c>
      <c r="F72" s="1">
        <v>0</v>
      </c>
      <c r="G72" s="1" t="s">
        <v>18</v>
      </c>
      <c r="H72" s="1">
        <v>0</v>
      </c>
      <c r="I72" s="1" t="s">
        <v>19</v>
      </c>
      <c r="J72" s="1" t="s">
        <v>20</v>
      </c>
      <c r="K72" s="1" t="s">
        <v>17</v>
      </c>
      <c r="L72" s="1">
        <v>64.12</v>
      </c>
      <c r="M72" s="1">
        <v>59.020235999999997</v>
      </c>
      <c r="N72" s="2">
        <f t="shared" si="2"/>
        <v>7.9534684965689439E-2</v>
      </c>
      <c r="O72" s="4">
        <v>19.600000000000001</v>
      </c>
      <c r="P72" s="5">
        <v>7.3200033511966467E-5</v>
      </c>
    </row>
    <row r="73" spans="1:16">
      <c r="A73" s="1" t="s">
        <v>91</v>
      </c>
      <c r="B73" s="1">
        <v>10</v>
      </c>
      <c r="C73" s="1">
        <v>3</v>
      </c>
      <c r="D73" s="1" t="s">
        <v>17</v>
      </c>
      <c r="E73" s="1">
        <v>5</v>
      </c>
      <c r="F73" s="1">
        <v>4</v>
      </c>
      <c r="G73" s="1" t="s">
        <v>18</v>
      </c>
      <c r="H73" s="1">
        <v>1</v>
      </c>
      <c r="I73" s="1" t="s">
        <v>19</v>
      </c>
      <c r="J73" s="1" t="s">
        <v>20</v>
      </c>
      <c r="K73" s="1" t="s">
        <v>17</v>
      </c>
      <c r="L73" s="1">
        <v>57.119999</v>
      </c>
      <c r="M73" s="1">
        <v>54.788916999999998</v>
      </c>
      <c r="N73" s="2">
        <f t="shared" si="2"/>
        <v>4.0810259818106827E-2</v>
      </c>
      <c r="O73" s="4">
        <v>19.239999999999998</v>
      </c>
      <c r="P73" s="5">
        <v>7.2799972258508205E-5</v>
      </c>
    </row>
    <row r="74" spans="1:16">
      <c r="A74" s="1" t="s">
        <v>92</v>
      </c>
      <c r="B74" s="1">
        <v>10</v>
      </c>
      <c r="C74" s="1">
        <v>1</v>
      </c>
      <c r="D74" s="1" t="s">
        <v>17</v>
      </c>
      <c r="E74" s="1">
        <v>8</v>
      </c>
      <c r="F74" s="1">
        <v>2</v>
      </c>
      <c r="G74" s="1" t="s">
        <v>18</v>
      </c>
      <c r="H74" s="1">
        <v>0</v>
      </c>
      <c r="I74" s="1" t="s">
        <v>19</v>
      </c>
      <c r="J74" s="1" t="s">
        <v>20</v>
      </c>
      <c r="K74" s="1" t="s">
        <v>18</v>
      </c>
      <c r="L74" s="1">
        <v>69.72</v>
      </c>
      <c r="M74" s="1">
        <v>63.765126000000002</v>
      </c>
      <c r="N74" s="2">
        <f t="shared" si="2"/>
        <v>8.5411273666092899E-2</v>
      </c>
      <c r="O74" s="4">
        <v>19.29</v>
      </c>
      <c r="P74" s="5">
        <v>7.2899973019957542E-5</v>
      </c>
    </row>
    <row r="75" spans="1:16">
      <c r="A75" s="1" t="s">
        <v>93</v>
      </c>
      <c r="B75" s="1">
        <v>14</v>
      </c>
      <c r="C75" s="1">
        <v>2</v>
      </c>
      <c r="D75" s="1" t="s">
        <v>17</v>
      </c>
      <c r="E75" s="1">
        <v>9</v>
      </c>
      <c r="F75" s="1">
        <v>6</v>
      </c>
      <c r="G75" s="1" t="s">
        <v>18</v>
      </c>
      <c r="H75" s="1">
        <v>4</v>
      </c>
      <c r="I75" s="1" t="s">
        <v>19</v>
      </c>
      <c r="J75" s="1" t="s">
        <v>20</v>
      </c>
      <c r="K75" s="1" t="s">
        <v>18</v>
      </c>
      <c r="L75" s="1">
        <v>158.76000199999999</v>
      </c>
      <c r="M75" s="1">
        <v>157.36765299999999</v>
      </c>
      <c r="N75" s="2">
        <f t="shared" si="2"/>
        <v>8.7701498013334368E-3</v>
      </c>
      <c r="O75" s="4">
        <v>19.28</v>
      </c>
      <c r="P75" s="5">
        <v>7.2000024374574423E-5</v>
      </c>
    </row>
    <row r="76" spans="1:16">
      <c r="A76" s="1" t="s">
        <v>94</v>
      </c>
      <c r="B76" s="1">
        <v>8</v>
      </c>
      <c r="C76" s="1">
        <v>6</v>
      </c>
      <c r="D76" s="1" t="s">
        <v>18</v>
      </c>
      <c r="E76" s="1">
        <v>8</v>
      </c>
      <c r="F76" s="1">
        <v>2</v>
      </c>
      <c r="G76" s="1" t="s">
        <v>18</v>
      </c>
      <c r="H76" s="1">
        <v>6</v>
      </c>
      <c r="I76" s="1" t="s">
        <v>19</v>
      </c>
      <c r="J76" s="1" t="s">
        <v>20</v>
      </c>
      <c r="K76" s="1" t="s">
        <v>18</v>
      </c>
      <c r="L76" s="1">
        <v>148.960003</v>
      </c>
      <c r="M76" s="1">
        <v>148.96</v>
      </c>
      <c r="N76" s="2">
        <f t="shared" si="2"/>
        <v>2.0139634344836367E-8</v>
      </c>
      <c r="O76" s="4">
        <v>19.079999999999998</v>
      </c>
      <c r="P76" s="5">
        <v>7.1500020567327738E-5</v>
      </c>
    </row>
    <row r="77" spans="1:16">
      <c r="A77" s="1" t="s">
        <v>95</v>
      </c>
      <c r="B77" s="1">
        <v>4</v>
      </c>
      <c r="C77" s="1">
        <v>0</v>
      </c>
      <c r="D77" s="1" t="s">
        <v>18</v>
      </c>
      <c r="E77" s="1">
        <v>9</v>
      </c>
      <c r="F77" s="1">
        <v>6</v>
      </c>
      <c r="G77" s="1" t="s">
        <v>18</v>
      </c>
      <c r="H77" s="1">
        <v>2</v>
      </c>
      <c r="I77" s="1" t="s">
        <v>19</v>
      </c>
      <c r="J77" s="1" t="s">
        <v>20</v>
      </c>
      <c r="K77" s="1" t="s">
        <v>17</v>
      </c>
      <c r="L77" s="1">
        <v>48.719999000000001</v>
      </c>
      <c r="M77" s="1">
        <v>48.72</v>
      </c>
      <c r="N77" s="2">
        <f t="shared" si="2"/>
        <v>2.0525451929406704E-8</v>
      </c>
      <c r="O77" s="4">
        <v>19.28</v>
      </c>
      <c r="P77" s="5">
        <v>7.1699963882565498E-5</v>
      </c>
    </row>
    <row r="78" spans="1:16">
      <c r="A78" s="1" t="s">
        <v>96</v>
      </c>
      <c r="B78" s="1">
        <v>12</v>
      </c>
      <c r="C78" s="1">
        <v>0</v>
      </c>
      <c r="D78" s="1" t="s">
        <v>17</v>
      </c>
      <c r="E78" s="1">
        <v>5</v>
      </c>
      <c r="F78" s="1">
        <v>1</v>
      </c>
      <c r="G78" s="1" t="s">
        <v>18</v>
      </c>
      <c r="H78" s="1">
        <v>6</v>
      </c>
      <c r="I78" s="1" t="s">
        <v>19</v>
      </c>
      <c r="J78" s="1" t="s">
        <v>20</v>
      </c>
      <c r="K78" s="1" t="s">
        <v>17</v>
      </c>
      <c r="L78" s="1">
        <v>191.51999499999999</v>
      </c>
      <c r="M78" s="1">
        <v>189.188917</v>
      </c>
      <c r="N78" s="2">
        <f t="shared" si="2"/>
        <v>1.2171460217508834E-2</v>
      </c>
      <c r="O78" s="4">
        <v>19.239999999999998</v>
      </c>
      <c r="P78" s="5">
        <v>7.1800022851675749E-5</v>
      </c>
    </row>
    <row r="79" spans="1:16">
      <c r="A79" s="1" t="s">
        <v>97</v>
      </c>
      <c r="B79" s="1">
        <v>5</v>
      </c>
      <c r="C79" s="1">
        <v>0</v>
      </c>
      <c r="D79" s="1" t="s">
        <v>17</v>
      </c>
      <c r="E79" s="1">
        <v>8</v>
      </c>
      <c r="F79" s="1">
        <v>6</v>
      </c>
      <c r="G79" s="1" t="s">
        <v>18</v>
      </c>
      <c r="H79" s="1">
        <v>2</v>
      </c>
      <c r="I79" s="1" t="s">
        <v>19</v>
      </c>
      <c r="J79" s="1" t="s">
        <v>20</v>
      </c>
      <c r="K79" s="1" t="s">
        <v>17</v>
      </c>
      <c r="L79" s="1">
        <v>44.519998999999999</v>
      </c>
      <c r="M79" s="1">
        <v>40.311444000000002</v>
      </c>
      <c r="N79" s="2">
        <f t="shared" si="2"/>
        <v>9.4531785591459624E-2</v>
      </c>
      <c r="O79" s="4">
        <v>19.260000000000002</v>
      </c>
      <c r="P79" s="5">
        <v>7.2699971497058868E-5</v>
      </c>
    </row>
    <row r="80" spans="1:16">
      <c r="A80" s="1" t="s">
        <v>98</v>
      </c>
      <c r="B80" s="1">
        <v>10</v>
      </c>
      <c r="C80" s="1">
        <v>4</v>
      </c>
      <c r="D80" s="1" t="s">
        <v>18</v>
      </c>
      <c r="E80" s="1">
        <v>9</v>
      </c>
      <c r="F80" s="1">
        <v>3</v>
      </c>
      <c r="G80" s="1" t="s">
        <v>18</v>
      </c>
      <c r="H80" s="1">
        <v>0</v>
      </c>
      <c r="I80" s="1" t="s">
        <v>19</v>
      </c>
      <c r="J80" s="1" t="s">
        <v>20</v>
      </c>
      <c r="K80" s="1" t="s">
        <v>18</v>
      </c>
      <c r="L80" s="1">
        <v>20.16</v>
      </c>
      <c r="M80" s="1">
        <v>20.16</v>
      </c>
      <c r="N80" s="2">
        <f t="shared" si="2"/>
        <v>0</v>
      </c>
      <c r="O80" s="4">
        <v>19.47</v>
      </c>
      <c r="P80" s="5">
        <v>7.3800038080662489E-5</v>
      </c>
    </row>
    <row r="81" spans="1:16">
      <c r="A81" s="1" t="s">
        <v>99</v>
      </c>
      <c r="B81" s="1">
        <v>9</v>
      </c>
      <c r="C81" s="1">
        <v>3</v>
      </c>
      <c r="D81" s="1" t="s">
        <v>17</v>
      </c>
      <c r="E81" s="1">
        <v>8</v>
      </c>
      <c r="F81" s="1">
        <v>4</v>
      </c>
      <c r="G81" s="1" t="s">
        <v>18</v>
      </c>
      <c r="H81" s="1">
        <v>3</v>
      </c>
      <c r="I81" s="1" t="s">
        <v>19</v>
      </c>
      <c r="J81" s="1" t="s">
        <v>20</v>
      </c>
      <c r="K81" s="1" t="s">
        <v>17</v>
      </c>
      <c r="L81" s="1">
        <v>198.23999599999999</v>
      </c>
      <c r="M81" s="1">
        <v>197.04512600000001</v>
      </c>
      <c r="N81" s="2">
        <f t="shared" si="2"/>
        <v>6.0273911627801912E-3</v>
      </c>
      <c r="O81" s="4">
        <v>19.07</v>
      </c>
      <c r="P81" s="5">
        <v>7.3000031989067793E-5</v>
      </c>
    </row>
    <row r="82" spans="1:16">
      <c r="A82" s="1" t="s">
        <v>100</v>
      </c>
      <c r="B82" s="1">
        <v>14</v>
      </c>
      <c r="C82" s="1">
        <v>0</v>
      </c>
      <c r="D82" s="1" t="s">
        <v>17</v>
      </c>
      <c r="E82" s="1">
        <v>10</v>
      </c>
      <c r="F82" s="1">
        <v>1</v>
      </c>
      <c r="G82" s="1" t="s">
        <v>18</v>
      </c>
      <c r="H82" s="1">
        <v>0</v>
      </c>
      <c r="I82" s="1" t="s">
        <v>19</v>
      </c>
      <c r="J82" s="1" t="s">
        <v>20</v>
      </c>
      <c r="K82" s="1" t="s">
        <v>18</v>
      </c>
      <c r="L82" s="1">
        <v>91.559999000000005</v>
      </c>
      <c r="M82" s="1">
        <v>84.682598999999996</v>
      </c>
      <c r="N82" s="2">
        <f t="shared" si="2"/>
        <v>7.5113587539466967E-2</v>
      </c>
      <c r="O82" s="4">
        <v>19.78</v>
      </c>
      <c r="P82" s="5">
        <v>7.329997606575489E-5</v>
      </c>
    </row>
    <row r="83" spans="1:16">
      <c r="A83" s="1" t="s">
        <v>101</v>
      </c>
      <c r="B83" s="1">
        <v>8</v>
      </c>
      <c r="C83" s="1">
        <v>1</v>
      </c>
      <c r="D83" s="1" t="s">
        <v>17</v>
      </c>
      <c r="E83" s="1">
        <v>16</v>
      </c>
      <c r="F83" s="1">
        <v>4</v>
      </c>
      <c r="G83" s="1" t="s">
        <v>18</v>
      </c>
      <c r="H83" s="1">
        <v>2</v>
      </c>
      <c r="I83" s="1" t="s">
        <v>19</v>
      </c>
      <c r="J83" s="1" t="s">
        <v>20</v>
      </c>
      <c r="K83" s="1" t="s">
        <v>17</v>
      </c>
      <c r="L83" s="1">
        <v>176.11999599999999</v>
      </c>
      <c r="M83" s="1">
        <v>175.38693900000001</v>
      </c>
      <c r="N83" s="2">
        <f t="shared" si="2"/>
        <v>4.1622587817908762E-3</v>
      </c>
      <c r="O83" s="4">
        <v>19.989999999999998</v>
      </c>
      <c r="P83" s="5">
        <v>7.8500015661120415E-5</v>
      </c>
    </row>
    <row r="84" spans="1:16">
      <c r="A84" s="1" t="s">
        <v>102</v>
      </c>
      <c r="B84" s="1">
        <v>10</v>
      </c>
      <c r="C84" s="1">
        <v>1</v>
      </c>
      <c r="D84" s="1" t="s">
        <v>18</v>
      </c>
      <c r="E84" s="1">
        <v>10</v>
      </c>
      <c r="F84" s="1">
        <v>1</v>
      </c>
      <c r="G84" s="1" t="s">
        <v>18</v>
      </c>
      <c r="H84" s="1">
        <v>2</v>
      </c>
      <c r="I84" s="1" t="s">
        <v>19</v>
      </c>
      <c r="J84" s="1" t="s">
        <v>20</v>
      </c>
      <c r="K84" s="1" t="s">
        <v>17</v>
      </c>
      <c r="L84" s="1">
        <v>145.599996</v>
      </c>
      <c r="M84" s="1">
        <v>145.6</v>
      </c>
      <c r="N84" s="2">
        <f t="shared" si="2"/>
        <v>2.7472528157905793E-8</v>
      </c>
      <c r="O84" s="4">
        <v>19.39</v>
      </c>
      <c r="P84" s="5">
        <v>7.5499992817640305E-5</v>
      </c>
    </row>
    <row r="85" spans="1:16">
      <c r="A85" s="1" t="s">
        <v>103</v>
      </c>
      <c r="B85" s="1">
        <v>6</v>
      </c>
      <c r="C85" s="1">
        <v>0</v>
      </c>
      <c r="D85" s="1" t="s">
        <v>17</v>
      </c>
      <c r="E85" s="1">
        <v>8</v>
      </c>
      <c r="F85" s="1">
        <v>0</v>
      </c>
      <c r="G85" s="1" t="s">
        <v>18</v>
      </c>
      <c r="H85" s="1">
        <v>6</v>
      </c>
      <c r="I85" s="1" t="s">
        <v>19</v>
      </c>
      <c r="J85" s="1" t="s">
        <v>20</v>
      </c>
      <c r="K85" s="1" t="s">
        <v>18</v>
      </c>
      <c r="L85" s="1">
        <v>257.32000399999998</v>
      </c>
      <c r="M85" s="1">
        <v>255.829466</v>
      </c>
      <c r="N85" s="2">
        <f t="shared" si="2"/>
        <v>5.7925461558751825E-3</v>
      </c>
      <c r="O85" s="4">
        <v>19.399999999999999</v>
      </c>
      <c r="P85" s="5">
        <v>7.4099982157349586E-5</v>
      </c>
    </row>
    <row r="86" spans="1:16">
      <c r="A86" s="1" t="s">
        <v>104</v>
      </c>
      <c r="B86" s="1">
        <v>10</v>
      </c>
      <c r="C86" s="1">
        <v>3</v>
      </c>
      <c r="D86" s="1" t="s">
        <v>18</v>
      </c>
      <c r="E86" s="1">
        <v>12</v>
      </c>
      <c r="F86" s="1">
        <v>3</v>
      </c>
      <c r="G86" s="1" t="s">
        <v>18</v>
      </c>
      <c r="H86" s="1">
        <v>6</v>
      </c>
      <c r="I86" s="1" t="s">
        <v>19</v>
      </c>
      <c r="J86" s="1" t="s">
        <v>20</v>
      </c>
      <c r="K86" s="1" t="s">
        <v>18</v>
      </c>
      <c r="L86" s="1">
        <v>365.68000699999999</v>
      </c>
      <c r="M86" s="1">
        <v>365.68</v>
      </c>
      <c r="N86" s="2">
        <f t="shared" si="2"/>
        <v>1.914241918707549E-8</v>
      </c>
      <c r="O86" s="4">
        <v>19.600000000000001</v>
      </c>
      <c r="P86" s="5">
        <v>7.6600001193583012E-5</v>
      </c>
    </row>
    <row r="87" spans="1:16">
      <c r="A87" s="1" t="s">
        <v>105</v>
      </c>
      <c r="B87" s="1">
        <v>8</v>
      </c>
      <c r="C87" s="1">
        <v>4</v>
      </c>
      <c r="D87" s="1" t="s">
        <v>18</v>
      </c>
      <c r="E87" s="1">
        <v>12</v>
      </c>
      <c r="F87" s="1">
        <v>4</v>
      </c>
      <c r="G87" s="1" t="s">
        <v>18</v>
      </c>
      <c r="H87" s="1">
        <v>1</v>
      </c>
      <c r="I87" s="1" t="s">
        <v>19</v>
      </c>
      <c r="J87" s="1" t="s">
        <v>20</v>
      </c>
      <c r="K87" s="1" t="s">
        <v>18</v>
      </c>
      <c r="L87" s="1">
        <v>59.360000999999997</v>
      </c>
      <c r="M87" s="1">
        <v>59.36</v>
      </c>
      <c r="N87" s="2">
        <f t="shared" si="2"/>
        <v>1.6846360859650975E-8</v>
      </c>
      <c r="O87" s="4">
        <v>19.29</v>
      </c>
      <c r="P87" s="5">
        <v>7.2899973019957542E-5</v>
      </c>
    </row>
    <row r="88" spans="1:16">
      <c r="A88" s="1" t="s">
        <v>106</v>
      </c>
      <c r="B88" s="1">
        <v>12</v>
      </c>
      <c r="C88" s="1">
        <v>1</v>
      </c>
      <c r="D88" s="1" t="s">
        <v>17</v>
      </c>
      <c r="E88" s="1">
        <v>8</v>
      </c>
      <c r="F88" s="1">
        <v>3</v>
      </c>
      <c r="G88" s="1" t="s">
        <v>18</v>
      </c>
      <c r="H88" s="1">
        <v>6</v>
      </c>
      <c r="I88" s="1" t="s">
        <v>19</v>
      </c>
      <c r="J88" s="1" t="s">
        <v>20</v>
      </c>
      <c r="K88" s="1" t="s">
        <v>17</v>
      </c>
      <c r="L88" s="1">
        <v>294.27999199999999</v>
      </c>
      <c r="M88" s="1">
        <v>289.34638999999999</v>
      </c>
      <c r="N88" s="2">
        <f t="shared" si="2"/>
        <v>1.6764992979882942E-2</v>
      </c>
      <c r="O88" s="4">
        <v>19.71</v>
      </c>
      <c r="P88" s="5">
        <v>7.429998368024826E-5</v>
      </c>
    </row>
    <row r="89" spans="1:16">
      <c r="A89" s="1" t="s">
        <v>107</v>
      </c>
      <c r="B89" s="1">
        <v>9</v>
      </c>
      <c r="C89" s="1">
        <v>4</v>
      </c>
      <c r="D89" s="1" t="s">
        <v>17</v>
      </c>
      <c r="E89" s="1">
        <v>12</v>
      </c>
      <c r="F89" s="1">
        <v>3</v>
      </c>
      <c r="G89" s="1" t="s">
        <v>18</v>
      </c>
      <c r="H89" s="1">
        <v>0</v>
      </c>
      <c r="I89" s="1" t="s">
        <v>19</v>
      </c>
      <c r="J89" s="1" t="s">
        <v>20</v>
      </c>
      <c r="K89" s="1" t="s">
        <v>17</v>
      </c>
      <c r="L89" s="1">
        <v>82.04</v>
      </c>
      <c r="M89" s="1">
        <v>76.743861999999993</v>
      </c>
      <c r="N89" s="2">
        <f t="shared" si="2"/>
        <v>6.4555558264261487E-2</v>
      </c>
      <c r="O89" s="4">
        <v>19.649999999999999</v>
      </c>
      <c r="P89" s="5">
        <v>7.329997606575489E-5</v>
      </c>
    </row>
    <row r="90" spans="1:16">
      <c r="A90" s="1" t="s">
        <v>108</v>
      </c>
      <c r="B90" s="1">
        <v>14</v>
      </c>
      <c r="C90" s="1">
        <v>1</v>
      </c>
      <c r="D90" s="1" t="s">
        <v>17</v>
      </c>
      <c r="E90" s="1">
        <v>6</v>
      </c>
      <c r="F90" s="1">
        <v>2</v>
      </c>
      <c r="G90" s="1" t="s">
        <v>18</v>
      </c>
      <c r="H90" s="1">
        <v>0</v>
      </c>
      <c r="I90" s="1" t="s">
        <v>19</v>
      </c>
      <c r="J90" s="1" t="s">
        <v>20</v>
      </c>
      <c r="K90" s="1" t="s">
        <v>17</v>
      </c>
      <c r="L90" s="1">
        <v>32.479999999999997</v>
      </c>
      <c r="M90" s="1">
        <v>42.847653000000001</v>
      </c>
      <c r="N90" s="2">
        <f t="shared" si="2"/>
        <v>0.31920113916256176</v>
      </c>
      <c r="O90" s="4">
        <v>19.170000000000002</v>
      </c>
      <c r="P90" s="5">
        <v>7.3200033511966467E-5</v>
      </c>
    </row>
    <row r="91" spans="1:16">
      <c r="A91" s="1" t="s">
        <v>109</v>
      </c>
      <c r="B91" s="1">
        <v>5</v>
      </c>
      <c r="C91" s="1">
        <v>1</v>
      </c>
      <c r="D91" s="1" t="s">
        <v>17</v>
      </c>
      <c r="E91" s="1">
        <v>8</v>
      </c>
      <c r="F91" s="1">
        <v>2</v>
      </c>
      <c r="G91" s="1" t="s">
        <v>18</v>
      </c>
      <c r="H91" s="1">
        <v>1</v>
      </c>
      <c r="I91" s="1" t="s">
        <v>19</v>
      </c>
      <c r="J91" s="1" t="s">
        <v>20</v>
      </c>
      <c r="K91" s="1" t="s">
        <v>18</v>
      </c>
      <c r="L91" s="1">
        <v>67.48</v>
      </c>
      <c r="M91" s="1">
        <v>65.050730000000001</v>
      </c>
      <c r="N91" s="2">
        <f t="shared" si="2"/>
        <v>3.5999851807943128E-2</v>
      </c>
      <c r="O91" s="4">
        <v>19.100000000000001</v>
      </c>
      <c r="P91" s="5">
        <v>7.2900031227618456E-5</v>
      </c>
    </row>
    <row r="92" spans="1:16">
      <c r="A92" s="1" t="s">
        <v>110</v>
      </c>
      <c r="B92" s="1">
        <v>14</v>
      </c>
      <c r="C92" s="1">
        <v>2</v>
      </c>
      <c r="D92" s="1" t="s">
        <v>18</v>
      </c>
      <c r="E92" s="1">
        <v>16</v>
      </c>
      <c r="F92" s="1">
        <v>8</v>
      </c>
      <c r="G92" s="1" t="s">
        <v>18</v>
      </c>
      <c r="H92" s="1">
        <v>2</v>
      </c>
      <c r="I92" s="1" t="s">
        <v>19</v>
      </c>
      <c r="J92" s="1" t="s">
        <v>20</v>
      </c>
      <c r="K92" s="1" t="s">
        <v>18</v>
      </c>
      <c r="L92" s="1">
        <v>133.840002</v>
      </c>
      <c r="M92" s="1">
        <v>133.84</v>
      </c>
      <c r="N92" s="2">
        <f t="shared" si="2"/>
        <v>1.4943215519008178E-8</v>
      </c>
      <c r="O92" s="4">
        <v>19.600000000000001</v>
      </c>
      <c r="P92" s="5">
        <v>7.3700037319213152E-5</v>
      </c>
    </row>
    <row r="93" spans="1:16">
      <c r="A93" s="1" t="s">
        <v>111</v>
      </c>
      <c r="B93" s="1">
        <v>5</v>
      </c>
      <c r="C93" s="1">
        <v>3</v>
      </c>
      <c r="D93" s="1" t="s">
        <v>17</v>
      </c>
      <c r="E93" s="1">
        <v>10</v>
      </c>
      <c r="F93" s="1">
        <v>3</v>
      </c>
      <c r="G93" s="1" t="s">
        <v>18</v>
      </c>
      <c r="H93" s="1">
        <v>2</v>
      </c>
      <c r="I93" s="1" t="s">
        <v>19</v>
      </c>
      <c r="J93" s="1" t="s">
        <v>20</v>
      </c>
      <c r="K93" s="1" t="s">
        <v>18</v>
      </c>
      <c r="L93" s="1">
        <v>98.560001</v>
      </c>
      <c r="M93" s="1">
        <v>96.13073</v>
      </c>
      <c r="N93" s="2">
        <f t="shared" si="2"/>
        <v>2.4647635707714735E-2</v>
      </c>
      <c r="O93" s="4">
        <v>19.260000000000002</v>
      </c>
      <c r="P93" s="5">
        <v>7.2300026658922434E-5</v>
      </c>
    </row>
    <row r="94" spans="1:16">
      <c r="A94" s="1" t="s">
        <v>112</v>
      </c>
      <c r="B94" s="1">
        <v>9</v>
      </c>
      <c r="C94" s="1">
        <v>4</v>
      </c>
      <c r="D94" s="1" t="s">
        <v>18</v>
      </c>
      <c r="E94" s="1">
        <v>6</v>
      </c>
      <c r="F94" s="1">
        <v>4</v>
      </c>
      <c r="G94" s="1" t="s">
        <v>18</v>
      </c>
      <c r="H94" s="1">
        <v>1</v>
      </c>
      <c r="I94" s="1" t="s">
        <v>19</v>
      </c>
      <c r="J94" s="1" t="s">
        <v>20</v>
      </c>
      <c r="K94" s="1" t="s">
        <v>17</v>
      </c>
      <c r="L94" s="1">
        <v>47.039999000000002</v>
      </c>
      <c r="M94" s="1">
        <v>47.04</v>
      </c>
      <c r="N94" s="2">
        <f t="shared" si="2"/>
        <v>2.1258503799611959E-8</v>
      </c>
      <c r="O94" s="4">
        <v>19.350000000000001</v>
      </c>
      <c r="P94" s="5">
        <v>7.3500035796314478E-5</v>
      </c>
    </row>
    <row r="95" spans="1:16">
      <c r="A95" s="1" t="s">
        <v>113</v>
      </c>
      <c r="B95" s="1">
        <v>14</v>
      </c>
      <c r="C95" s="1">
        <v>4</v>
      </c>
      <c r="D95" s="1" t="s">
        <v>17</v>
      </c>
      <c r="E95" s="1">
        <v>10</v>
      </c>
      <c r="F95" s="1">
        <v>4</v>
      </c>
      <c r="G95" s="1" t="s">
        <v>18</v>
      </c>
      <c r="H95" s="1">
        <v>3</v>
      </c>
      <c r="I95" s="1" t="s">
        <v>19</v>
      </c>
      <c r="J95" s="1" t="s">
        <v>20</v>
      </c>
      <c r="K95" s="1" t="s">
        <v>17</v>
      </c>
      <c r="L95" s="1">
        <v>284.75999400000001</v>
      </c>
      <c r="M95" s="1">
        <v>284.70133499999997</v>
      </c>
      <c r="N95" s="2">
        <f t="shared" si="2"/>
        <v>2.0599452604298836E-4</v>
      </c>
      <c r="O95" s="4">
        <v>19.48</v>
      </c>
      <c r="P95" s="5">
        <v>7.5699994340538979E-5</v>
      </c>
    </row>
    <row r="96" spans="1:16">
      <c r="A96" s="1" t="s">
        <v>114</v>
      </c>
      <c r="B96" s="1">
        <v>10</v>
      </c>
      <c r="C96" s="1">
        <v>0</v>
      </c>
      <c r="D96" s="1" t="s">
        <v>18</v>
      </c>
      <c r="E96" s="1">
        <v>12</v>
      </c>
      <c r="F96" s="1">
        <v>0</v>
      </c>
      <c r="G96" s="1" t="s">
        <v>18</v>
      </c>
      <c r="H96" s="1">
        <v>6</v>
      </c>
      <c r="I96" s="1" t="s">
        <v>19</v>
      </c>
      <c r="J96" s="1" t="s">
        <v>20</v>
      </c>
      <c r="K96" s="1" t="s">
        <v>18</v>
      </c>
      <c r="L96" s="1">
        <v>365.68000699999999</v>
      </c>
      <c r="M96" s="1">
        <v>365.68</v>
      </c>
      <c r="N96" s="2">
        <f t="shared" si="2"/>
        <v>1.914241918707549E-8</v>
      </c>
      <c r="O96" s="4">
        <v>19.45</v>
      </c>
      <c r="P96" s="5">
        <v>7.5399992056190968E-5</v>
      </c>
    </row>
    <row r="97" spans="1:16">
      <c r="A97" s="1" t="s">
        <v>115</v>
      </c>
      <c r="B97" s="1">
        <v>6</v>
      </c>
      <c r="C97" s="1">
        <v>3</v>
      </c>
      <c r="D97" s="1" t="s">
        <v>17</v>
      </c>
      <c r="E97" s="1">
        <v>5</v>
      </c>
      <c r="F97" s="1">
        <v>1</v>
      </c>
      <c r="G97" s="1" t="s">
        <v>18</v>
      </c>
      <c r="H97" s="1">
        <v>3</v>
      </c>
      <c r="I97" s="1" t="s">
        <v>19</v>
      </c>
      <c r="J97" s="1" t="s">
        <v>20</v>
      </c>
      <c r="K97" s="1" t="s">
        <v>18</v>
      </c>
      <c r="L97" s="1">
        <v>105.560001</v>
      </c>
      <c r="M97" s="1">
        <v>101.74584</v>
      </c>
      <c r="N97" s="2">
        <f t="shared" si="2"/>
        <v>3.6132635125685521E-2</v>
      </c>
      <c r="O97" s="4">
        <v>19.5</v>
      </c>
      <c r="P97" s="5">
        <v>7.3300034273415804E-5</v>
      </c>
    </row>
    <row r="98" spans="1:16">
      <c r="A98" s="1" t="s">
        <v>116</v>
      </c>
      <c r="B98" s="1">
        <v>5</v>
      </c>
      <c r="C98" s="1">
        <v>4</v>
      </c>
      <c r="D98" s="1" t="s">
        <v>18</v>
      </c>
      <c r="E98" s="1">
        <v>10</v>
      </c>
      <c r="F98" s="1">
        <v>8</v>
      </c>
      <c r="G98" s="1" t="s">
        <v>18</v>
      </c>
      <c r="H98" s="1">
        <v>3</v>
      </c>
      <c r="I98" s="1" t="s">
        <v>19</v>
      </c>
      <c r="J98" s="1" t="s">
        <v>20</v>
      </c>
      <c r="K98" s="1" t="s">
        <v>18</v>
      </c>
      <c r="L98" s="1">
        <v>98.000001999999995</v>
      </c>
      <c r="M98" s="1">
        <v>98</v>
      </c>
      <c r="N98" s="2">
        <f t="shared" ref="N98:N129" si="3">ABS(M98-L98)/L98</f>
        <v>2.0408162797287346E-8</v>
      </c>
      <c r="O98" s="4">
        <v>19.03</v>
      </c>
      <c r="P98" s="5">
        <v>7.329997606575489E-5</v>
      </c>
    </row>
    <row r="99" spans="1:16">
      <c r="A99" s="1" t="s">
        <v>117</v>
      </c>
      <c r="B99" s="1">
        <v>6</v>
      </c>
      <c r="C99" s="1">
        <v>0</v>
      </c>
      <c r="D99" s="1" t="s">
        <v>18</v>
      </c>
      <c r="E99" s="1">
        <v>9</v>
      </c>
      <c r="F99" s="1">
        <v>4</v>
      </c>
      <c r="G99" s="1" t="s">
        <v>18</v>
      </c>
      <c r="H99" s="1">
        <v>3</v>
      </c>
      <c r="I99" s="1" t="s">
        <v>19</v>
      </c>
      <c r="J99" s="1" t="s">
        <v>20</v>
      </c>
      <c r="K99" s="1" t="s">
        <v>17</v>
      </c>
      <c r="L99" s="1">
        <v>114.239997</v>
      </c>
      <c r="M99" s="1">
        <v>109.76</v>
      </c>
      <c r="N99" s="2">
        <f t="shared" si="3"/>
        <v>3.9215661043828606E-2</v>
      </c>
      <c r="O99" s="4">
        <v>19.239999999999998</v>
      </c>
      <c r="P99" s="5">
        <v>7.3000031989067793E-5</v>
      </c>
    </row>
    <row r="100" spans="1:16">
      <c r="A100" s="1" t="s">
        <v>118</v>
      </c>
      <c r="B100" s="1">
        <v>9</v>
      </c>
      <c r="C100" s="1">
        <v>6</v>
      </c>
      <c r="D100" s="1" t="s">
        <v>18</v>
      </c>
      <c r="E100" s="1">
        <v>8</v>
      </c>
      <c r="F100" s="1">
        <v>4</v>
      </c>
      <c r="G100" s="1" t="s">
        <v>18</v>
      </c>
      <c r="H100" s="1">
        <v>6</v>
      </c>
      <c r="I100" s="1" t="s">
        <v>19</v>
      </c>
      <c r="J100" s="1" t="s">
        <v>20</v>
      </c>
      <c r="K100" s="1" t="s">
        <v>18</v>
      </c>
      <c r="L100" s="1">
        <v>255.640005</v>
      </c>
      <c r="M100" s="1">
        <v>255.64</v>
      </c>
      <c r="N100" s="2">
        <f t="shared" si="3"/>
        <v>1.9558754177766203E-8</v>
      </c>
      <c r="O100" s="4">
        <v>19.28</v>
      </c>
      <c r="P100" s="5">
        <v>7.2999973781406879E-5</v>
      </c>
    </row>
    <row r="101" spans="1:16">
      <c r="A101" s="1" t="s">
        <v>119</v>
      </c>
      <c r="B101" s="1">
        <v>9</v>
      </c>
      <c r="C101" s="1">
        <v>0</v>
      </c>
      <c r="D101" s="1" t="s">
        <v>18</v>
      </c>
      <c r="E101" s="1">
        <v>6</v>
      </c>
      <c r="F101" s="1">
        <v>2</v>
      </c>
      <c r="G101" s="1" t="s">
        <v>18</v>
      </c>
      <c r="H101" s="1">
        <v>3</v>
      </c>
      <c r="I101" s="1" t="s">
        <v>19</v>
      </c>
      <c r="J101" s="1" t="s">
        <v>20</v>
      </c>
      <c r="K101" s="1" t="s">
        <v>17</v>
      </c>
      <c r="L101" s="1">
        <v>86.799997000000005</v>
      </c>
      <c r="M101" s="1">
        <v>86.8</v>
      </c>
      <c r="N101" s="2">
        <f t="shared" si="3"/>
        <v>3.4562213088852155E-8</v>
      </c>
      <c r="O101" s="4">
        <v>19.45</v>
      </c>
      <c r="P101" s="5">
        <v>7.2500028181821108E-5</v>
      </c>
    </row>
    <row r="102" spans="1:16">
      <c r="N102" s="6">
        <f>AVERAGE(N2:N101)</f>
        <v>2.7831993597541328E-2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2"/>
  <sheetViews>
    <sheetView topLeftCell="E1" workbookViewId="0">
      <pane ySplit="1" topLeftCell="A78" activePane="bottomLeft" state="frozen"/>
      <selection pane="bottomLeft" activeCell="N103" sqref="N103"/>
    </sheetView>
  </sheetViews>
  <sheetFormatPr defaultRowHeight="14"/>
  <cols>
    <col min="1" max="1" width="6.6640625" customWidth="1"/>
    <col min="2" max="2" width="52" customWidth="1"/>
    <col min="3" max="3" width="13.5" customWidth="1"/>
    <col min="4" max="4" width="14.25" customWidth="1"/>
    <col min="5" max="5" width="18.9140625" customWidth="1"/>
    <col min="6" max="6" width="12.5" customWidth="1"/>
    <col min="7" max="7" width="9.5" customWidth="1"/>
    <col min="8" max="8" width="38.9140625" customWidth="1"/>
    <col min="9" max="9" width="39.25" customWidth="1"/>
    <col min="10" max="10" width="9.1640625" customWidth="1"/>
    <col min="11" max="11" width="14.5" customWidth="1"/>
    <col min="12" max="12" width="15" customWidth="1"/>
    <col min="13" max="13" width="12.5" customWidth="1"/>
    <col min="14" max="14" width="6" customWidth="1"/>
    <col min="15" max="15" width="9.9140625" customWidth="1"/>
  </cols>
  <sheetData>
    <row r="1" spans="1:16">
      <c r="A1" s="3" t="s">
        <v>0</v>
      </c>
      <c r="B1" s="3" t="s">
        <v>120</v>
      </c>
      <c r="C1" s="3" t="s">
        <v>4</v>
      </c>
      <c r="D1" s="3" t="s">
        <v>5</v>
      </c>
      <c r="E1" s="3" t="s">
        <v>6</v>
      </c>
      <c r="F1" s="3" t="s">
        <v>121</v>
      </c>
      <c r="G1" s="3" t="s">
        <v>122</v>
      </c>
      <c r="H1" s="3" t="s">
        <v>8</v>
      </c>
      <c r="I1" s="3" t="s">
        <v>9</v>
      </c>
      <c r="J1" s="3" t="s">
        <v>10</v>
      </c>
      <c r="K1" s="3" t="s">
        <v>123</v>
      </c>
      <c r="L1" s="3" t="s">
        <v>11</v>
      </c>
      <c r="M1" s="3" t="s">
        <v>124</v>
      </c>
      <c r="N1" s="3" t="s">
        <v>13</v>
      </c>
      <c r="O1" s="3" t="s">
        <v>14</v>
      </c>
      <c r="P1" s="3" t="s">
        <v>15</v>
      </c>
    </row>
    <row r="2" spans="1:16">
      <c r="A2" s="1" t="s">
        <v>16</v>
      </c>
      <c r="B2" s="1" t="s">
        <v>125</v>
      </c>
      <c r="C2" s="1">
        <v>16</v>
      </c>
      <c r="D2" s="1">
        <v>1</v>
      </c>
      <c r="E2" s="1" t="s">
        <v>18</v>
      </c>
      <c r="F2" s="1" t="s">
        <v>126</v>
      </c>
      <c r="G2" s="1">
        <v>6</v>
      </c>
      <c r="H2" s="1" t="s">
        <v>19</v>
      </c>
      <c r="I2" s="1" t="s">
        <v>20</v>
      </c>
      <c r="J2" s="1" t="s">
        <v>17</v>
      </c>
      <c r="K2" s="1" t="s">
        <v>127</v>
      </c>
      <c r="L2" s="1">
        <v>542.35999000000004</v>
      </c>
      <c r="M2" s="1">
        <v>550.86937699999999</v>
      </c>
      <c r="N2" s="2">
        <f t="shared" ref="N2:N33" si="0">ABS(M2-L2)/L2</f>
        <v>1.5689555197462016E-2</v>
      </c>
      <c r="O2" s="4">
        <v>19.670000000000002</v>
      </c>
      <c r="P2" s="5">
        <v>6.0110003687441349E-4</v>
      </c>
    </row>
    <row r="3" spans="1:16">
      <c r="A3" s="1" t="s">
        <v>21</v>
      </c>
      <c r="B3" s="1" t="s">
        <v>128</v>
      </c>
      <c r="C3" s="1">
        <v>6</v>
      </c>
      <c r="D3" s="1">
        <v>0</v>
      </c>
      <c r="E3" s="1" t="s">
        <v>18</v>
      </c>
      <c r="F3" s="1" t="s">
        <v>129</v>
      </c>
      <c r="G3" s="1">
        <v>9</v>
      </c>
      <c r="H3" s="1" t="s">
        <v>130</v>
      </c>
      <c r="I3" s="1" t="s">
        <v>131</v>
      </c>
      <c r="J3" s="1" t="s">
        <v>18</v>
      </c>
      <c r="K3" s="1" t="s">
        <v>132</v>
      </c>
      <c r="L3" s="1">
        <v>487.48</v>
      </c>
      <c r="M3" s="1">
        <v>510.57090299999999</v>
      </c>
      <c r="N3" s="2">
        <f t="shared" si="0"/>
        <v>4.7367898170181277E-2</v>
      </c>
      <c r="O3" s="4">
        <v>19.940000000000001</v>
      </c>
      <c r="P3" s="5">
        <v>7.5499998638406396E-4</v>
      </c>
    </row>
    <row r="4" spans="1:16">
      <c r="A4" s="1" t="s">
        <v>22</v>
      </c>
      <c r="B4" s="1" t="s">
        <v>133</v>
      </c>
      <c r="C4" s="1">
        <v>6</v>
      </c>
      <c r="D4" s="1">
        <v>3</v>
      </c>
      <c r="E4" s="1" t="s">
        <v>17</v>
      </c>
      <c r="F4" s="1" t="s">
        <v>134</v>
      </c>
      <c r="G4" s="1">
        <v>3</v>
      </c>
      <c r="H4" s="1" t="s">
        <v>19</v>
      </c>
      <c r="I4" s="1" t="s">
        <v>20</v>
      </c>
      <c r="J4" s="1" t="s">
        <v>17</v>
      </c>
      <c r="K4" s="1" t="s">
        <v>127</v>
      </c>
      <c r="L4" s="1">
        <v>454.71999199999999</v>
      </c>
      <c r="M4" s="1">
        <v>416.86744700000003</v>
      </c>
      <c r="N4" s="2">
        <f t="shared" si="0"/>
        <v>8.3243634909282729E-2</v>
      </c>
      <c r="O4" s="4">
        <v>19.86</v>
      </c>
      <c r="P4" s="5">
        <v>4.1879998752847308E-4</v>
      </c>
    </row>
    <row r="5" spans="1:16">
      <c r="A5" s="1" t="s">
        <v>23</v>
      </c>
      <c r="B5" s="1" t="s">
        <v>135</v>
      </c>
      <c r="C5" s="1">
        <v>5</v>
      </c>
      <c r="D5" s="1">
        <v>0</v>
      </c>
      <c r="E5" s="1" t="s">
        <v>17</v>
      </c>
      <c r="F5" s="1" t="s">
        <v>136</v>
      </c>
      <c r="G5" s="1">
        <v>9</v>
      </c>
      <c r="H5" s="1" t="s">
        <v>130</v>
      </c>
      <c r="I5" s="1" t="s">
        <v>131</v>
      </c>
      <c r="J5" s="1" t="s">
        <v>17</v>
      </c>
      <c r="K5" s="1" t="s">
        <v>132</v>
      </c>
      <c r="L5" s="1">
        <v>1149.959979</v>
      </c>
      <c r="M5" s="1">
        <v>1185.1033990000001</v>
      </c>
      <c r="N5" s="2">
        <f t="shared" si="0"/>
        <v>3.0560559186208085E-2</v>
      </c>
      <c r="O5" s="4">
        <v>19.600000000000001</v>
      </c>
      <c r="P5" s="5">
        <v>7.92000035289675E-4</v>
      </c>
    </row>
    <row r="6" spans="1:16">
      <c r="A6" s="1" t="s">
        <v>24</v>
      </c>
      <c r="B6" s="1" t="s">
        <v>137</v>
      </c>
      <c r="C6" s="1">
        <v>5</v>
      </c>
      <c r="D6" s="1">
        <v>0</v>
      </c>
      <c r="E6" s="1" t="s">
        <v>18</v>
      </c>
      <c r="F6" s="1" t="s">
        <v>126</v>
      </c>
      <c r="G6" s="1">
        <v>16</v>
      </c>
      <c r="H6" s="1" t="s">
        <v>19</v>
      </c>
      <c r="I6" s="1" t="s">
        <v>20</v>
      </c>
      <c r="J6" s="1" t="s">
        <v>18</v>
      </c>
      <c r="K6" s="1" t="s">
        <v>127</v>
      </c>
      <c r="L6" s="1">
        <v>3351.600011</v>
      </c>
      <c r="M6" s="1">
        <v>2406.5538569999999</v>
      </c>
      <c r="N6" s="2">
        <f t="shared" si="0"/>
        <v>0.2819686570289846</v>
      </c>
      <c r="O6" s="4">
        <v>22.14</v>
      </c>
      <c r="P6" s="5">
        <v>1.0301999864168469E-3</v>
      </c>
    </row>
    <row r="7" spans="1:16">
      <c r="A7" s="1" t="s">
        <v>25</v>
      </c>
      <c r="B7" s="1" t="s">
        <v>138</v>
      </c>
      <c r="C7" s="1">
        <v>10</v>
      </c>
      <c r="D7" s="1">
        <v>3</v>
      </c>
      <c r="E7" s="1" t="s">
        <v>17</v>
      </c>
      <c r="F7" s="1" t="s">
        <v>139</v>
      </c>
      <c r="G7" s="1">
        <v>5</v>
      </c>
      <c r="H7" s="1" t="s">
        <v>140</v>
      </c>
      <c r="I7" s="1" t="s">
        <v>141</v>
      </c>
      <c r="J7" s="1" t="s">
        <v>17</v>
      </c>
      <c r="K7" s="1" t="s">
        <v>132</v>
      </c>
      <c r="L7" s="1">
        <v>847.55999099999997</v>
      </c>
      <c r="M7" s="1">
        <v>671.48226999999997</v>
      </c>
      <c r="N7" s="2">
        <f t="shared" si="0"/>
        <v>0.20774661719491194</v>
      </c>
      <c r="O7" s="4">
        <v>19.52</v>
      </c>
      <c r="P7" s="5">
        <v>6.587000098079443E-4</v>
      </c>
    </row>
    <row r="8" spans="1:16">
      <c r="A8" s="1" t="s">
        <v>26</v>
      </c>
      <c r="B8" s="1" t="s">
        <v>142</v>
      </c>
      <c r="C8" s="1">
        <v>10</v>
      </c>
      <c r="D8" s="1">
        <v>0</v>
      </c>
      <c r="E8" s="1" t="s">
        <v>18</v>
      </c>
      <c r="F8" s="1" t="s">
        <v>143</v>
      </c>
      <c r="G8" s="1">
        <v>7</v>
      </c>
      <c r="H8" s="1" t="s">
        <v>19</v>
      </c>
      <c r="I8" s="1" t="s">
        <v>20</v>
      </c>
      <c r="J8" s="1" t="s">
        <v>17</v>
      </c>
      <c r="K8" s="1" t="s">
        <v>127</v>
      </c>
      <c r="L8" s="1">
        <v>886.75999400000001</v>
      </c>
      <c r="M8" s="1">
        <v>888.16702999999995</v>
      </c>
      <c r="N8" s="2">
        <f t="shared" si="0"/>
        <v>1.5867156947993171E-3</v>
      </c>
      <c r="O8" s="4">
        <v>19.809999999999999</v>
      </c>
      <c r="P8" s="5">
        <v>6.5080000786110759E-4</v>
      </c>
    </row>
    <row r="9" spans="1:16">
      <c r="A9" s="1" t="s">
        <v>27</v>
      </c>
      <c r="B9" s="1" t="s">
        <v>144</v>
      </c>
      <c r="C9" s="1">
        <v>5</v>
      </c>
      <c r="D9" s="1">
        <v>4</v>
      </c>
      <c r="E9" s="1" t="s">
        <v>17</v>
      </c>
      <c r="F9" s="1" t="s">
        <v>145</v>
      </c>
      <c r="G9" s="1">
        <v>8</v>
      </c>
      <c r="H9" s="1" t="s">
        <v>140</v>
      </c>
      <c r="I9" s="1" t="s">
        <v>141</v>
      </c>
      <c r="J9" s="1" t="s">
        <v>18</v>
      </c>
      <c r="K9" s="1" t="s">
        <v>132</v>
      </c>
      <c r="L9" s="1">
        <v>131.879999</v>
      </c>
      <c r="M9" s="1">
        <v>174.42492200000001</v>
      </c>
      <c r="N9" s="2">
        <f t="shared" si="0"/>
        <v>0.32260330089932754</v>
      </c>
      <c r="O9" s="4">
        <v>20.190000000000001</v>
      </c>
      <c r="P9" s="5">
        <v>6.0500000836327672E-4</v>
      </c>
    </row>
    <row r="10" spans="1:16">
      <c r="A10" s="1" t="s">
        <v>28</v>
      </c>
      <c r="B10" s="1" t="s">
        <v>146</v>
      </c>
      <c r="C10" s="1">
        <v>9</v>
      </c>
      <c r="D10" s="1">
        <v>8</v>
      </c>
      <c r="E10" s="1" t="s">
        <v>17</v>
      </c>
      <c r="F10" s="1" t="s">
        <v>147</v>
      </c>
      <c r="G10" s="1">
        <v>7</v>
      </c>
      <c r="H10" s="1" t="s">
        <v>19</v>
      </c>
      <c r="I10" s="1" t="s">
        <v>20</v>
      </c>
      <c r="J10" s="1" t="s">
        <v>18</v>
      </c>
      <c r="K10" s="1" t="s">
        <v>127</v>
      </c>
      <c r="L10" s="1">
        <v>844.76000599999998</v>
      </c>
      <c r="M10" s="1">
        <v>632.08027200000004</v>
      </c>
      <c r="N10" s="2">
        <f t="shared" si="0"/>
        <v>0.25176349790404251</v>
      </c>
      <c r="O10" s="4">
        <v>20.5</v>
      </c>
      <c r="P10" s="5">
        <v>6.7380000837147236E-4</v>
      </c>
    </row>
    <row r="11" spans="1:16">
      <c r="A11" s="1" t="s">
        <v>29</v>
      </c>
      <c r="B11" s="1" t="s">
        <v>148</v>
      </c>
      <c r="C11" s="1">
        <v>5</v>
      </c>
      <c r="D11" s="1">
        <v>3</v>
      </c>
      <c r="E11" s="1" t="s">
        <v>17</v>
      </c>
      <c r="F11" s="1" t="s">
        <v>149</v>
      </c>
      <c r="G11" s="1">
        <v>5</v>
      </c>
      <c r="H11" s="1" t="s">
        <v>140</v>
      </c>
      <c r="I11" s="1" t="s">
        <v>141</v>
      </c>
      <c r="J11" s="1" t="s">
        <v>18</v>
      </c>
      <c r="K11" s="1" t="s">
        <v>132</v>
      </c>
      <c r="L11" s="1">
        <v>298.48000200000001</v>
      </c>
      <c r="M11" s="1">
        <v>303.81707899999998</v>
      </c>
      <c r="N11" s="2">
        <f t="shared" si="0"/>
        <v>1.7880852868662086E-2</v>
      </c>
      <c r="O11" s="4">
        <v>20.03</v>
      </c>
      <c r="P11" s="5">
        <v>6.0529995243996382E-4</v>
      </c>
    </row>
    <row r="12" spans="1:16">
      <c r="A12" s="1" t="s">
        <v>30</v>
      </c>
      <c r="B12" s="1" t="s">
        <v>150</v>
      </c>
      <c r="C12" s="1">
        <v>9</v>
      </c>
      <c r="D12" s="1">
        <v>0</v>
      </c>
      <c r="E12" s="1" t="s">
        <v>17</v>
      </c>
      <c r="F12" s="1" t="s">
        <v>147</v>
      </c>
      <c r="G12" s="1">
        <v>8</v>
      </c>
      <c r="H12" s="1" t="s">
        <v>19</v>
      </c>
      <c r="I12" s="1" t="s">
        <v>20</v>
      </c>
      <c r="J12" s="1" t="s">
        <v>17</v>
      </c>
      <c r="K12" s="1" t="s">
        <v>127</v>
      </c>
      <c r="L12" s="1">
        <v>1958.5999629999999</v>
      </c>
      <c r="M12" s="1">
        <v>1896.4306750000001</v>
      </c>
      <c r="N12" s="2">
        <f t="shared" si="0"/>
        <v>3.1741697730237231E-2</v>
      </c>
      <c r="O12" s="4">
        <v>20.79</v>
      </c>
      <c r="P12" s="5">
        <v>6.579000037163496E-4</v>
      </c>
    </row>
    <row r="13" spans="1:16">
      <c r="A13" s="1" t="s">
        <v>31</v>
      </c>
      <c r="B13" s="1" t="s">
        <v>151</v>
      </c>
      <c r="C13" s="1">
        <v>6</v>
      </c>
      <c r="D13" s="1">
        <v>2</v>
      </c>
      <c r="E13" s="1" t="s">
        <v>17</v>
      </c>
      <c r="F13" s="1" t="s">
        <v>149</v>
      </c>
      <c r="G13" s="1">
        <v>6</v>
      </c>
      <c r="H13" s="1" t="s">
        <v>140</v>
      </c>
      <c r="I13" s="1" t="s">
        <v>141</v>
      </c>
      <c r="J13" s="1" t="s">
        <v>17</v>
      </c>
      <c r="K13" s="1" t="s">
        <v>132</v>
      </c>
      <c r="L13" s="1">
        <v>496.71999099999999</v>
      </c>
      <c r="M13" s="1">
        <v>665.12063499999999</v>
      </c>
      <c r="N13" s="2">
        <f t="shared" si="0"/>
        <v>0.33902530007092063</v>
      </c>
      <c r="O13" s="4">
        <v>20.13</v>
      </c>
      <c r="P13" s="5">
        <v>6.3359999330714345E-4</v>
      </c>
    </row>
    <row r="14" spans="1:16">
      <c r="A14" s="1" t="s">
        <v>32</v>
      </c>
      <c r="B14" s="1" t="s">
        <v>152</v>
      </c>
      <c r="C14" s="1">
        <v>9</v>
      </c>
      <c r="D14" s="1">
        <v>0</v>
      </c>
      <c r="E14" s="1" t="s">
        <v>17</v>
      </c>
      <c r="F14" s="1" t="s">
        <v>134</v>
      </c>
      <c r="G14" s="1">
        <v>4</v>
      </c>
      <c r="H14" s="1" t="s">
        <v>19</v>
      </c>
      <c r="I14" s="1" t="s">
        <v>20</v>
      </c>
      <c r="J14" s="1" t="s">
        <v>18</v>
      </c>
      <c r="K14" s="1" t="s">
        <v>127</v>
      </c>
      <c r="L14" s="1">
        <v>607.88000199999999</v>
      </c>
      <c r="M14" s="1">
        <v>592.37296500000002</v>
      </c>
      <c r="N14" s="2">
        <f t="shared" si="0"/>
        <v>2.5510029856188571E-2</v>
      </c>
      <c r="O14" s="4">
        <v>19.75</v>
      </c>
      <c r="P14" s="5">
        <v>4.140999517403543E-4</v>
      </c>
    </row>
    <row r="15" spans="1:16">
      <c r="A15" s="1" t="s">
        <v>33</v>
      </c>
      <c r="B15" s="1" t="s">
        <v>153</v>
      </c>
      <c r="C15" s="1">
        <v>10</v>
      </c>
      <c r="D15" s="1">
        <v>8</v>
      </c>
      <c r="E15" s="1" t="s">
        <v>18</v>
      </c>
      <c r="F15" s="1" t="s">
        <v>154</v>
      </c>
      <c r="G15" s="1">
        <v>16</v>
      </c>
      <c r="H15" s="1" t="s">
        <v>130</v>
      </c>
      <c r="I15" s="1" t="s">
        <v>131</v>
      </c>
      <c r="J15" s="1" t="s">
        <v>18</v>
      </c>
      <c r="K15" s="1" t="s">
        <v>132</v>
      </c>
      <c r="L15" s="1">
        <v>911.120003</v>
      </c>
      <c r="M15" s="1">
        <v>1008.566805</v>
      </c>
      <c r="N15" s="2">
        <f t="shared" si="0"/>
        <v>0.10695276327941627</v>
      </c>
      <c r="O15" s="4">
        <v>20.6</v>
      </c>
      <c r="P15" s="5">
        <v>8.1150000914931297E-4</v>
      </c>
    </row>
    <row r="16" spans="1:16">
      <c r="A16" s="1" t="s">
        <v>34</v>
      </c>
      <c r="B16" s="1" t="s">
        <v>155</v>
      </c>
      <c r="C16" s="1">
        <v>9</v>
      </c>
      <c r="D16" s="1">
        <v>2</v>
      </c>
      <c r="E16" s="1" t="s">
        <v>17</v>
      </c>
      <c r="F16" s="1" t="s">
        <v>156</v>
      </c>
      <c r="G16" s="1">
        <v>9</v>
      </c>
      <c r="H16" s="1" t="s">
        <v>19</v>
      </c>
      <c r="I16" s="1" t="s">
        <v>20</v>
      </c>
      <c r="J16" s="1" t="s">
        <v>17</v>
      </c>
      <c r="K16" s="1" t="s">
        <v>127</v>
      </c>
      <c r="L16" s="1">
        <v>1162.2799889999999</v>
      </c>
      <c r="M16" s="1">
        <v>1052.132752</v>
      </c>
      <c r="N16" s="2">
        <f t="shared" si="0"/>
        <v>9.4768246930559449E-2</v>
      </c>
      <c r="O16" s="4">
        <v>21.24</v>
      </c>
      <c r="P16" s="5">
        <v>8.3279999671503901E-4</v>
      </c>
    </row>
    <row r="17" spans="1:16">
      <c r="A17" s="1" t="s">
        <v>35</v>
      </c>
      <c r="B17" s="1" t="s">
        <v>157</v>
      </c>
      <c r="C17" s="1">
        <v>8</v>
      </c>
      <c r="D17" s="1">
        <v>4</v>
      </c>
      <c r="E17" s="1" t="s">
        <v>17</v>
      </c>
      <c r="F17" s="1" t="s">
        <v>158</v>
      </c>
      <c r="G17" s="1">
        <v>9</v>
      </c>
      <c r="H17" s="1" t="s">
        <v>130</v>
      </c>
      <c r="I17" s="1" t="s">
        <v>131</v>
      </c>
      <c r="J17" s="1" t="s">
        <v>17</v>
      </c>
      <c r="K17" s="1" t="s">
        <v>132</v>
      </c>
      <c r="L17" s="1">
        <v>2208.079956</v>
      </c>
      <c r="M17" s="1">
        <v>1497.0395109999999</v>
      </c>
      <c r="N17" s="2">
        <f t="shared" si="0"/>
        <v>0.32201752616244483</v>
      </c>
      <c r="O17" s="4">
        <v>21.14</v>
      </c>
      <c r="P17" s="5">
        <v>9.5859996508806944E-4</v>
      </c>
    </row>
    <row r="18" spans="1:16">
      <c r="A18" s="1" t="s">
        <v>36</v>
      </c>
      <c r="B18" s="1" t="s">
        <v>159</v>
      </c>
      <c r="C18" s="1">
        <v>12</v>
      </c>
      <c r="D18" s="1">
        <v>4</v>
      </c>
      <c r="E18" s="1" t="s">
        <v>17</v>
      </c>
      <c r="F18" s="1" t="s">
        <v>147</v>
      </c>
      <c r="G18" s="1">
        <v>6</v>
      </c>
      <c r="H18" s="1" t="s">
        <v>19</v>
      </c>
      <c r="I18" s="1" t="s">
        <v>20</v>
      </c>
      <c r="J18" s="1" t="s">
        <v>18</v>
      </c>
      <c r="K18" s="1" t="s">
        <v>127</v>
      </c>
      <c r="L18" s="1">
        <v>737.52000599999997</v>
      </c>
      <c r="M18" s="1">
        <v>736.16369899999995</v>
      </c>
      <c r="N18" s="2">
        <f t="shared" si="0"/>
        <v>1.839010452551731E-3</v>
      </c>
      <c r="O18" s="4">
        <v>20.48</v>
      </c>
      <c r="P18" s="5">
        <v>6.4280000515282154E-4</v>
      </c>
    </row>
    <row r="19" spans="1:16">
      <c r="A19" s="1" t="s">
        <v>37</v>
      </c>
      <c r="B19" s="1" t="s">
        <v>160</v>
      </c>
      <c r="C19" s="1">
        <v>6</v>
      </c>
      <c r="D19" s="1">
        <v>2</v>
      </c>
      <c r="E19" s="1" t="s">
        <v>18</v>
      </c>
      <c r="F19" s="1" t="s">
        <v>161</v>
      </c>
      <c r="G19" s="1">
        <v>3</v>
      </c>
      <c r="H19" s="1" t="s">
        <v>162</v>
      </c>
      <c r="I19" s="1" t="s">
        <v>163</v>
      </c>
      <c r="J19" s="1" t="s">
        <v>17</v>
      </c>
      <c r="K19" s="1" t="s">
        <v>132</v>
      </c>
      <c r="L19" s="1">
        <v>317.23999300000003</v>
      </c>
      <c r="M19" s="1">
        <v>309.14407399999999</v>
      </c>
      <c r="N19" s="2">
        <f t="shared" si="0"/>
        <v>2.5519856192910827E-2</v>
      </c>
      <c r="O19" s="4">
        <v>19.48</v>
      </c>
      <c r="P19" s="5">
        <v>4.0909997187554842E-4</v>
      </c>
    </row>
    <row r="20" spans="1:16">
      <c r="A20" s="1" t="s">
        <v>38</v>
      </c>
      <c r="B20" s="1" t="s">
        <v>164</v>
      </c>
      <c r="C20" s="1">
        <v>10</v>
      </c>
      <c r="D20" s="1">
        <v>1</v>
      </c>
      <c r="E20" s="1" t="s">
        <v>18</v>
      </c>
      <c r="F20" s="1" t="s">
        <v>165</v>
      </c>
      <c r="G20" s="1">
        <v>4</v>
      </c>
      <c r="H20" s="1" t="s">
        <v>19</v>
      </c>
      <c r="I20" s="1" t="s">
        <v>20</v>
      </c>
      <c r="J20" s="1" t="s">
        <v>17</v>
      </c>
      <c r="K20" s="1" t="s">
        <v>127</v>
      </c>
      <c r="L20" s="1">
        <v>395.07999799999999</v>
      </c>
      <c r="M20" s="1">
        <v>393.523145</v>
      </c>
      <c r="N20" s="2">
        <f t="shared" si="0"/>
        <v>3.9406019233603155E-3</v>
      </c>
      <c r="O20" s="4">
        <v>20.03</v>
      </c>
      <c r="P20" s="5">
        <v>5.454999627545476E-4</v>
      </c>
    </row>
    <row r="21" spans="1:16">
      <c r="A21" s="1" t="s">
        <v>39</v>
      </c>
      <c r="B21" s="1" t="s">
        <v>166</v>
      </c>
      <c r="C21" s="1">
        <v>10</v>
      </c>
      <c r="D21" s="1">
        <v>3</v>
      </c>
      <c r="E21" s="1" t="s">
        <v>18</v>
      </c>
      <c r="F21" s="1" t="s">
        <v>167</v>
      </c>
      <c r="G21" s="1">
        <v>5</v>
      </c>
      <c r="H21" s="1" t="s">
        <v>140</v>
      </c>
      <c r="I21" s="1" t="s">
        <v>141</v>
      </c>
      <c r="J21" s="1" t="s">
        <v>17</v>
      </c>
      <c r="K21" s="1" t="s">
        <v>132</v>
      </c>
      <c r="L21" s="1">
        <v>733.039987</v>
      </c>
      <c r="M21" s="1">
        <v>706.59109999999998</v>
      </c>
      <c r="N21" s="2">
        <f t="shared" si="0"/>
        <v>3.6081097169396316E-2</v>
      </c>
      <c r="O21" s="4">
        <v>20.68</v>
      </c>
      <c r="P21" s="5">
        <v>6.6499999957159162E-4</v>
      </c>
    </row>
    <row r="22" spans="1:16">
      <c r="A22" s="1" t="s">
        <v>40</v>
      </c>
      <c r="B22" s="1" t="s">
        <v>168</v>
      </c>
      <c r="C22" s="1">
        <v>16</v>
      </c>
      <c r="D22" s="1">
        <v>0</v>
      </c>
      <c r="E22" s="1" t="s">
        <v>17</v>
      </c>
      <c r="F22" s="1" t="s">
        <v>126</v>
      </c>
      <c r="G22" s="1">
        <v>8</v>
      </c>
      <c r="H22" s="1" t="s">
        <v>19</v>
      </c>
      <c r="I22" s="1" t="s">
        <v>20</v>
      </c>
      <c r="J22" s="1" t="s">
        <v>17</v>
      </c>
      <c r="K22" s="1" t="s">
        <v>127</v>
      </c>
      <c r="L22" s="1">
        <v>1497.719975</v>
      </c>
      <c r="M22" s="1">
        <v>1459.9204299999999</v>
      </c>
      <c r="N22" s="2">
        <f t="shared" si="0"/>
        <v>2.5238058936885101E-2</v>
      </c>
      <c r="O22" s="4">
        <v>20.77</v>
      </c>
      <c r="P22" s="5">
        <v>6.0210004448890686E-4</v>
      </c>
    </row>
    <row r="23" spans="1:16">
      <c r="A23" s="1" t="s">
        <v>41</v>
      </c>
      <c r="B23" s="1" t="s">
        <v>169</v>
      </c>
      <c r="C23" s="1">
        <v>10</v>
      </c>
      <c r="D23" s="1">
        <v>6</v>
      </c>
      <c r="E23" s="1" t="s">
        <v>17</v>
      </c>
      <c r="F23" s="1" t="s">
        <v>170</v>
      </c>
      <c r="G23" s="1">
        <v>9</v>
      </c>
      <c r="H23" s="1" t="s">
        <v>130</v>
      </c>
      <c r="I23" s="1" t="s">
        <v>131</v>
      </c>
      <c r="J23" s="1" t="s">
        <v>18</v>
      </c>
      <c r="K23" s="1" t="s">
        <v>132</v>
      </c>
      <c r="L23" s="1">
        <v>2179.2400229999998</v>
      </c>
      <c r="M23" s="1">
        <v>1294.036949</v>
      </c>
      <c r="N23" s="2">
        <f t="shared" si="0"/>
        <v>0.40619806201127201</v>
      </c>
      <c r="O23" s="4">
        <v>20.82</v>
      </c>
      <c r="P23" s="5">
        <v>7.8709999797865748E-4</v>
      </c>
    </row>
    <row r="24" spans="1:16">
      <c r="A24" s="1" t="s">
        <v>42</v>
      </c>
      <c r="B24" s="1" t="s">
        <v>171</v>
      </c>
      <c r="C24" s="1">
        <v>12</v>
      </c>
      <c r="D24" s="1">
        <v>1</v>
      </c>
      <c r="E24" s="1" t="s">
        <v>18</v>
      </c>
      <c r="F24" s="1" t="s">
        <v>134</v>
      </c>
      <c r="G24" s="1">
        <v>2</v>
      </c>
      <c r="H24" s="1" t="s">
        <v>19</v>
      </c>
      <c r="I24" s="1" t="s">
        <v>20</v>
      </c>
      <c r="J24" s="1" t="s">
        <v>17</v>
      </c>
      <c r="K24" s="1" t="s">
        <v>127</v>
      </c>
      <c r="L24" s="1">
        <v>235.199995</v>
      </c>
      <c r="M24" s="1">
        <v>236.55045899999999</v>
      </c>
      <c r="N24" s="2">
        <f t="shared" si="0"/>
        <v>5.7417688295443546E-3</v>
      </c>
      <c r="O24" s="4">
        <v>19.78</v>
      </c>
      <c r="P24" s="5">
        <v>2.1050003124400971E-4</v>
      </c>
    </row>
    <row r="25" spans="1:16">
      <c r="A25" s="1" t="s">
        <v>43</v>
      </c>
      <c r="B25" s="1" t="s">
        <v>172</v>
      </c>
      <c r="C25" s="1">
        <v>16</v>
      </c>
      <c r="D25" s="1">
        <v>2</v>
      </c>
      <c r="E25" s="1" t="s">
        <v>18</v>
      </c>
      <c r="F25" s="1" t="s">
        <v>149</v>
      </c>
      <c r="G25" s="1">
        <v>8</v>
      </c>
      <c r="H25" s="1" t="s">
        <v>140</v>
      </c>
      <c r="I25" s="1" t="s">
        <v>141</v>
      </c>
      <c r="J25" s="1" t="s">
        <v>18</v>
      </c>
      <c r="K25" s="1" t="s">
        <v>132</v>
      </c>
      <c r="L25" s="1">
        <v>1335.600007</v>
      </c>
      <c r="M25" s="1">
        <v>1338.27403</v>
      </c>
      <c r="N25" s="2">
        <f t="shared" si="0"/>
        <v>2.0021136462902351E-3</v>
      </c>
      <c r="O25" s="4">
        <v>20.81</v>
      </c>
      <c r="P25" s="5">
        <v>6.1429996276274323E-4</v>
      </c>
    </row>
    <row r="26" spans="1:16">
      <c r="A26" s="1" t="s">
        <v>44</v>
      </c>
      <c r="B26" s="1" t="s">
        <v>173</v>
      </c>
      <c r="C26" s="1">
        <v>16</v>
      </c>
      <c r="D26" s="1">
        <v>8</v>
      </c>
      <c r="E26" s="1" t="s">
        <v>17</v>
      </c>
      <c r="F26" s="1" t="s">
        <v>143</v>
      </c>
      <c r="G26" s="1">
        <v>7</v>
      </c>
      <c r="H26" s="1" t="s">
        <v>19</v>
      </c>
      <c r="I26" s="1" t="s">
        <v>20</v>
      </c>
      <c r="J26" s="1" t="s">
        <v>18</v>
      </c>
      <c r="K26" s="1" t="s">
        <v>127</v>
      </c>
      <c r="L26" s="1">
        <v>944.15999699999998</v>
      </c>
      <c r="M26" s="1">
        <v>974.25682099999995</v>
      </c>
      <c r="N26" s="2">
        <f t="shared" si="0"/>
        <v>3.1876826062987682E-2</v>
      </c>
      <c r="O26" s="4">
        <v>20.39</v>
      </c>
      <c r="P26" s="5">
        <v>6.3039996894076467E-4</v>
      </c>
    </row>
    <row r="27" spans="1:16">
      <c r="A27" s="1" t="s">
        <v>45</v>
      </c>
      <c r="B27" s="1" t="s">
        <v>174</v>
      </c>
      <c r="C27" s="1">
        <v>5</v>
      </c>
      <c r="D27" s="1">
        <v>0</v>
      </c>
      <c r="E27" s="1" t="s">
        <v>17</v>
      </c>
      <c r="F27" s="1" t="s">
        <v>175</v>
      </c>
      <c r="G27" s="1">
        <v>16</v>
      </c>
      <c r="H27" s="1" t="s">
        <v>130</v>
      </c>
      <c r="I27" s="1" t="s">
        <v>131</v>
      </c>
      <c r="J27" s="1" t="s">
        <v>18</v>
      </c>
      <c r="K27" s="1" t="s">
        <v>132</v>
      </c>
      <c r="L27" s="1">
        <v>886.19999499999994</v>
      </c>
      <c r="M27" s="1">
        <v>970.29176199999995</v>
      </c>
      <c r="N27" s="2">
        <f t="shared" si="0"/>
        <v>9.489028151032658E-2</v>
      </c>
      <c r="O27" s="4">
        <v>20.81</v>
      </c>
      <c r="P27" s="5">
        <v>7.418000022880733E-4</v>
      </c>
    </row>
    <row r="28" spans="1:16">
      <c r="A28" s="1" t="s">
        <v>46</v>
      </c>
      <c r="B28" s="1" t="s">
        <v>176</v>
      </c>
      <c r="C28" s="1">
        <v>5</v>
      </c>
      <c r="D28" s="1">
        <v>3</v>
      </c>
      <c r="E28" s="1" t="s">
        <v>17</v>
      </c>
      <c r="F28" s="1" t="s">
        <v>134</v>
      </c>
      <c r="G28" s="1">
        <v>8</v>
      </c>
      <c r="H28" s="1" t="s">
        <v>19</v>
      </c>
      <c r="I28" s="1" t="s">
        <v>20</v>
      </c>
      <c r="J28" s="1" t="s">
        <v>17</v>
      </c>
      <c r="K28" s="1" t="s">
        <v>127</v>
      </c>
      <c r="L28" s="1">
        <v>1252.999982</v>
      </c>
      <c r="M28" s="1">
        <v>1094.687733</v>
      </c>
      <c r="N28" s="2">
        <f t="shared" si="0"/>
        <v>0.12634656925318299</v>
      </c>
      <c r="O28" s="4">
        <v>20.77</v>
      </c>
      <c r="P28" s="5">
        <v>6.0540001140907407E-4</v>
      </c>
    </row>
    <row r="29" spans="1:16">
      <c r="A29" s="1" t="s">
        <v>47</v>
      </c>
      <c r="B29" s="1" t="s">
        <v>177</v>
      </c>
      <c r="C29" s="1">
        <v>12</v>
      </c>
      <c r="D29" s="1">
        <v>1</v>
      </c>
      <c r="E29" s="1" t="s">
        <v>17</v>
      </c>
      <c r="F29" s="1" t="s">
        <v>167</v>
      </c>
      <c r="G29" s="1">
        <v>5</v>
      </c>
      <c r="H29" s="1" t="s">
        <v>140</v>
      </c>
      <c r="I29" s="1" t="s">
        <v>141</v>
      </c>
      <c r="J29" s="1" t="s">
        <v>18</v>
      </c>
      <c r="K29" s="1" t="s">
        <v>132</v>
      </c>
      <c r="L29" s="1">
        <v>574.56000300000005</v>
      </c>
      <c r="M29" s="1">
        <v>562.52168600000005</v>
      </c>
      <c r="N29" s="2">
        <f t="shared" si="0"/>
        <v>2.0952236384613087E-2</v>
      </c>
      <c r="O29" s="4">
        <v>19.78</v>
      </c>
      <c r="P29" s="5">
        <v>6.0420000227168202E-4</v>
      </c>
    </row>
    <row r="30" spans="1:16">
      <c r="A30" s="1" t="s">
        <v>48</v>
      </c>
      <c r="B30" s="1" t="s">
        <v>178</v>
      </c>
      <c r="C30" s="1">
        <v>10</v>
      </c>
      <c r="D30" s="1">
        <v>3</v>
      </c>
      <c r="E30" s="1" t="s">
        <v>18</v>
      </c>
      <c r="F30" s="1" t="s">
        <v>143</v>
      </c>
      <c r="G30" s="1">
        <v>2</v>
      </c>
      <c r="H30" s="1" t="s">
        <v>19</v>
      </c>
      <c r="I30" s="1" t="s">
        <v>20</v>
      </c>
      <c r="J30" s="1" t="s">
        <v>18</v>
      </c>
      <c r="K30" s="1" t="s">
        <v>127</v>
      </c>
      <c r="L30" s="1">
        <v>143.63999999999999</v>
      </c>
      <c r="M30" s="1">
        <v>117.984787</v>
      </c>
      <c r="N30" s="2">
        <f t="shared" si="0"/>
        <v>0.17860772069061537</v>
      </c>
      <c r="O30" s="4">
        <v>19.18</v>
      </c>
      <c r="P30" s="5">
        <v>2.003000117838383E-4</v>
      </c>
    </row>
    <row r="31" spans="1:16">
      <c r="A31" s="1" t="s">
        <v>49</v>
      </c>
      <c r="B31" s="1" t="s">
        <v>179</v>
      </c>
      <c r="C31" s="1">
        <v>5</v>
      </c>
      <c r="D31" s="1">
        <v>0</v>
      </c>
      <c r="E31" s="1" t="s">
        <v>17</v>
      </c>
      <c r="F31" s="1" t="s">
        <v>167</v>
      </c>
      <c r="G31" s="1">
        <v>7</v>
      </c>
      <c r="H31" s="1" t="s">
        <v>140</v>
      </c>
      <c r="I31" s="1" t="s">
        <v>141</v>
      </c>
      <c r="J31" s="1" t="s">
        <v>18</v>
      </c>
      <c r="K31" s="1" t="s">
        <v>132</v>
      </c>
      <c r="L31" s="1">
        <v>1307.0400050000001</v>
      </c>
      <c r="M31" s="1">
        <v>788.159403</v>
      </c>
      <c r="N31" s="2">
        <f t="shared" si="0"/>
        <v>0.39698907456164667</v>
      </c>
      <c r="O31" s="4">
        <v>20.55</v>
      </c>
      <c r="P31" s="5">
        <v>5.9910002164542675E-4</v>
      </c>
    </row>
    <row r="32" spans="1:16">
      <c r="A32" s="1" t="s">
        <v>50</v>
      </c>
      <c r="B32" s="1" t="s">
        <v>180</v>
      </c>
      <c r="C32" s="1">
        <v>10</v>
      </c>
      <c r="D32" s="1">
        <v>3</v>
      </c>
      <c r="E32" s="1" t="s">
        <v>18</v>
      </c>
      <c r="F32" s="1" t="s">
        <v>143</v>
      </c>
      <c r="G32" s="1">
        <v>9</v>
      </c>
      <c r="H32" s="1" t="s">
        <v>19</v>
      </c>
      <c r="I32" s="1" t="s">
        <v>20</v>
      </c>
      <c r="J32" s="1" t="s">
        <v>18</v>
      </c>
      <c r="K32" s="1" t="s">
        <v>127</v>
      </c>
      <c r="L32" s="1">
        <v>1055.0399970000001</v>
      </c>
      <c r="M32" s="1">
        <v>1030.782649</v>
      </c>
      <c r="N32" s="2">
        <f t="shared" si="0"/>
        <v>2.299187525494362E-2</v>
      </c>
      <c r="O32" s="4">
        <v>20.85</v>
      </c>
      <c r="P32" s="5">
        <v>8.0149999121204019E-4</v>
      </c>
    </row>
    <row r="33" spans="1:16">
      <c r="A33" s="1" t="s">
        <v>51</v>
      </c>
      <c r="B33" s="1" t="s">
        <v>181</v>
      </c>
      <c r="C33" s="1">
        <v>5</v>
      </c>
      <c r="D33" s="1">
        <v>0</v>
      </c>
      <c r="E33" s="1" t="s">
        <v>17</v>
      </c>
      <c r="F33" s="1" t="s">
        <v>182</v>
      </c>
      <c r="G33" s="1">
        <v>3</v>
      </c>
      <c r="H33" s="1" t="s">
        <v>162</v>
      </c>
      <c r="I33" s="1" t="s">
        <v>163</v>
      </c>
      <c r="J33" s="1" t="s">
        <v>17</v>
      </c>
      <c r="K33" s="1" t="s">
        <v>132</v>
      </c>
      <c r="L33" s="1">
        <v>318.639994</v>
      </c>
      <c r="M33" s="1">
        <v>390.54444899999999</v>
      </c>
      <c r="N33" s="2">
        <f t="shared" si="0"/>
        <v>0.22566048315956214</v>
      </c>
      <c r="O33" s="4">
        <v>20.36</v>
      </c>
      <c r="P33" s="5">
        <v>4.0319998515769839E-4</v>
      </c>
    </row>
    <row r="34" spans="1:16">
      <c r="A34" s="1" t="s">
        <v>52</v>
      </c>
      <c r="B34" s="1" t="s">
        <v>183</v>
      </c>
      <c r="C34" s="1">
        <v>16</v>
      </c>
      <c r="D34" s="1">
        <v>6</v>
      </c>
      <c r="E34" s="1" t="s">
        <v>18</v>
      </c>
      <c r="F34" s="1" t="s">
        <v>147</v>
      </c>
      <c r="G34" s="1">
        <v>8</v>
      </c>
      <c r="H34" s="1" t="s">
        <v>19</v>
      </c>
      <c r="I34" s="1" t="s">
        <v>20</v>
      </c>
      <c r="J34" s="1" t="s">
        <v>18</v>
      </c>
      <c r="K34" s="1" t="s">
        <v>127</v>
      </c>
      <c r="L34" s="1">
        <v>1673.5600119999999</v>
      </c>
      <c r="M34" s="1">
        <v>1616.1187440000001</v>
      </c>
      <c r="N34" s="2">
        <f t="shared" ref="N34:N65" si="1">ABS(M34-L34)/L34</f>
        <v>3.4322801446094668E-2</v>
      </c>
      <c r="O34" s="4">
        <v>20.94</v>
      </c>
      <c r="P34" s="5">
        <v>7.1039999602362514E-4</v>
      </c>
    </row>
    <row r="35" spans="1:16">
      <c r="A35" s="1" t="s">
        <v>53</v>
      </c>
      <c r="B35" s="1" t="s">
        <v>172</v>
      </c>
      <c r="C35" s="1">
        <v>8</v>
      </c>
      <c r="D35" s="1">
        <v>1</v>
      </c>
      <c r="E35" s="1" t="s">
        <v>18</v>
      </c>
      <c r="F35" s="1" t="s">
        <v>167</v>
      </c>
      <c r="G35" s="1">
        <v>7</v>
      </c>
      <c r="H35" s="1" t="s">
        <v>140</v>
      </c>
      <c r="I35" s="1" t="s">
        <v>141</v>
      </c>
      <c r="J35" s="1" t="s">
        <v>17</v>
      </c>
      <c r="K35" s="1" t="s">
        <v>132</v>
      </c>
      <c r="L35" s="1">
        <v>1078.5599830000001</v>
      </c>
      <c r="M35" s="1">
        <v>1015.182692</v>
      </c>
      <c r="N35" s="2">
        <f t="shared" si="1"/>
        <v>5.8761025811208983E-2</v>
      </c>
      <c r="O35" s="4">
        <v>21.23</v>
      </c>
      <c r="P35" s="5">
        <v>6.8170001031830907E-4</v>
      </c>
    </row>
    <row r="36" spans="1:16">
      <c r="A36" s="1" t="s">
        <v>54</v>
      </c>
      <c r="B36" s="1" t="s">
        <v>184</v>
      </c>
      <c r="C36" s="1">
        <v>10</v>
      </c>
      <c r="D36" s="1">
        <v>3</v>
      </c>
      <c r="E36" s="1" t="s">
        <v>17</v>
      </c>
      <c r="F36" s="1" t="s">
        <v>126</v>
      </c>
      <c r="G36" s="1">
        <v>7</v>
      </c>
      <c r="H36" s="1" t="s">
        <v>19</v>
      </c>
      <c r="I36" s="1" t="s">
        <v>20</v>
      </c>
      <c r="J36" s="1" t="s">
        <v>18</v>
      </c>
      <c r="K36" s="1" t="s">
        <v>127</v>
      </c>
      <c r="L36" s="1">
        <v>764.40000299999997</v>
      </c>
      <c r="M36" s="1">
        <v>737.61665500000004</v>
      </c>
      <c r="N36" s="2">
        <f t="shared" si="1"/>
        <v>3.503839337373725E-2</v>
      </c>
      <c r="O36" s="4">
        <v>20.07</v>
      </c>
      <c r="P36" s="5">
        <v>5.9960002545267344E-4</v>
      </c>
    </row>
    <row r="37" spans="1:16">
      <c r="A37" s="1" t="s">
        <v>55</v>
      </c>
      <c r="B37" s="1" t="s">
        <v>185</v>
      </c>
      <c r="C37" s="1">
        <v>12</v>
      </c>
      <c r="D37" s="1">
        <v>6</v>
      </c>
      <c r="E37" s="1" t="s">
        <v>17</v>
      </c>
      <c r="F37" s="1" t="s">
        <v>186</v>
      </c>
      <c r="G37" s="1">
        <v>7</v>
      </c>
      <c r="H37" s="1" t="s">
        <v>140</v>
      </c>
      <c r="I37" s="1" t="s">
        <v>141</v>
      </c>
      <c r="J37" s="1" t="s">
        <v>18</v>
      </c>
      <c r="K37" s="1" t="s">
        <v>132</v>
      </c>
      <c r="L37" s="1">
        <v>380.52000299999997</v>
      </c>
      <c r="M37" s="1">
        <v>575.97145799999998</v>
      </c>
      <c r="N37" s="2">
        <f t="shared" si="1"/>
        <v>0.51364305019202894</v>
      </c>
      <c r="O37" s="4">
        <v>19.84</v>
      </c>
      <c r="P37" s="5">
        <v>5.9549999423325062E-4</v>
      </c>
    </row>
    <row r="38" spans="1:16">
      <c r="A38" s="1" t="s">
        <v>56</v>
      </c>
      <c r="B38" s="1" t="s">
        <v>187</v>
      </c>
      <c r="C38" s="1">
        <v>9</v>
      </c>
      <c r="D38" s="1">
        <v>6</v>
      </c>
      <c r="E38" s="1" t="s">
        <v>18</v>
      </c>
      <c r="F38" s="1" t="s">
        <v>147</v>
      </c>
      <c r="G38" s="1">
        <v>3</v>
      </c>
      <c r="H38" s="1" t="s">
        <v>19</v>
      </c>
      <c r="I38" s="1" t="s">
        <v>20</v>
      </c>
      <c r="J38" s="1" t="s">
        <v>17</v>
      </c>
      <c r="K38" s="1" t="s">
        <v>127</v>
      </c>
      <c r="L38" s="1">
        <v>263.75999400000001</v>
      </c>
      <c r="M38" s="1">
        <v>165.831174</v>
      </c>
      <c r="N38" s="2">
        <f t="shared" si="1"/>
        <v>0.3712800357434039</v>
      </c>
      <c r="O38" s="4">
        <v>19.64</v>
      </c>
      <c r="P38" s="5">
        <v>3.9900001138448721E-4</v>
      </c>
    </row>
    <row r="39" spans="1:16">
      <c r="A39" s="1" t="s">
        <v>57</v>
      </c>
      <c r="B39" s="1" t="s">
        <v>188</v>
      </c>
      <c r="C39" s="1">
        <v>10</v>
      </c>
      <c r="D39" s="1">
        <v>4</v>
      </c>
      <c r="E39" s="1" t="s">
        <v>17</v>
      </c>
      <c r="F39" s="1" t="s">
        <v>154</v>
      </c>
      <c r="G39" s="1">
        <v>16</v>
      </c>
      <c r="H39" s="1" t="s">
        <v>130</v>
      </c>
      <c r="I39" s="1" t="s">
        <v>131</v>
      </c>
      <c r="J39" s="1" t="s">
        <v>17</v>
      </c>
      <c r="K39" s="1" t="s">
        <v>132</v>
      </c>
      <c r="L39" s="1">
        <v>1214.639979</v>
      </c>
      <c r="M39" s="1">
        <v>1248.5686760000001</v>
      </c>
      <c r="N39" s="2">
        <f t="shared" si="1"/>
        <v>2.7933130463837677E-2</v>
      </c>
      <c r="O39" s="4">
        <v>21.37</v>
      </c>
      <c r="P39" s="5">
        <v>7.4200000381097198E-4</v>
      </c>
    </row>
    <row r="40" spans="1:16">
      <c r="A40" s="1" t="s">
        <v>58</v>
      </c>
      <c r="B40" s="1" t="s">
        <v>189</v>
      </c>
      <c r="C40" s="1">
        <v>10</v>
      </c>
      <c r="D40" s="1">
        <v>4</v>
      </c>
      <c r="E40" s="1" t="s">
        <v>17</v>
      </c>
      <c r="F40" s="1" t="s">
        <v>134</v>
      </c>
      <c r="G40" s="1">
        <v>8</v>
      </c>
      <c r="H40" s="1" t="s">
        <v>19</v>
      </c>
      <c r="I40" s="1" t="s">
        <v>20</v>
      </c>
      <c r="J40" s="1" t="s">
        <v>18</v>
      </c>
      <c r="K40" s="1" t="s">
        <v>127</v>
      </c>
      <c r="L40" s="1">
        <v>739.48000200000001</v>
      </c>
      <c r="M40" s="1">
        <v>659.251304</v>
      </c>
      <c r="N40" s="2">
        <f t="shared" si="1"/>
        <v>0.1084933977700725</v>
      </c>
      <c r="O40" s="4">
        <v>19.72</v>
      </c>
      <c r="P40" s="5">
        <v>5.8910000370815396E-4</v>
      </c>
    </row>
    <row r="41" spans="1:16">
      <c r="A41" s="1" t="s">
        <v>59</v>
      </c>
      <c r="B41" s="1" t="s">
        <v>190</v>
      </c>
      <c r="C41" s="1">
        <v>16</v>
      </c>
      <c r="D41" s="1">
        <v>8</v>
      </c>
      <c r="E41" s="1" t="s">
        <v>17</v>
      </c>
      <c r="F41" s="1" t="s">
        <v>134</v>
      </c>
      <c r="G41" s="1">
        <v>2</v>
      </c>
      <c r="H41" s="1" t="s">
        <v>19</v>
      </c>
      <c r="I41" s="1" t="s">
        <v>20</v>
      </c>
      <c r="J41" s="1" t="s">
        <v>17</v>
      </c>
      <c r="K41" s="1" t="s">
        <v>132</v>
      </c>
      <c r="L41" s="1">
        <v>347.75999200000001</v>
      </c>
      <c r="M41" s="1">
        <v>243.30594400000001</v>
      </c>
      <c r="N41" s="2">
        <f t="shared" si="1"/>
        <v>0.3003624637764542</v>
      </c>
      <c r="O41" s="4">
        <v>18.850000000000001</v>
      </c>
      <c r="P41" s="5">
        <v>2.049999893642962E-4</v>
      </c>
    </row>
    <row r="42" spans="1:16">
      <c r="A42" s="1" t="s">
        <v>60</v>
      </c>
      <c r="B42" s="1" t="s">
        <v>191</v>
      </c>
      <c r="C42" s="1">
        <v>10</v>
      </c>
      <c r="D42" s="1">
        <v>6</v>
      </c>
      <c r="E42" s="1" t="s">
        <v>17</v>
      </c>
      <c r="F42" s="1" t="s">
        <v>134</v>
      </c>
      <c r="G42" s="1">
        <v>16</v>
      </c>
      <c r="H42" s="1" t="s">
        <v>19</v>
      </c>
      <c r="I42" s="1" t="s">
        <v>20</v>
      </c>
      <c r="J42" s="1" t="s">
        <v>17</v>
      </c>
      <c r="K42" s="1" t="s">
        <v>127</v>
      </c>
      <c r="L42" s="1">
        <v>2165.2399770000002</v>
      </c>
      <c r="M42" s="1">
        <v>1549.705048</v>
      </c>
      <c r="N42" s="2">
        <f t="shared" si="1"/>
        <v>0.28428023477233261</v>
      </c>
      <c r="O42" s="4">
        <v>21.82</v>
      </c>
      <c r="P42" s="5">
        <v>7.990999729372561E-4</v>
      </c>
    </row>
    <row r="43" spans="1:16">
      <c r="A43" s="1" t="s">
        <v>61</v>
      </c>
      <c r="B43" s="1" t="s">
        <v>192</v>
      </c>
      <c r="C43" s="1">
        <v>12</v>
      </c>
      <c r="D43" s="1">
        <v>1</v>
      </c>
      <c r="E43" s="1" t="s">
        <v>18</v>
      </c>
      <c r="F43" s="1" t="s">
        <v>167</v>
      </c>
      <c r="G43" s="1">
        <v>5</v>
      </c>
      <c r="H43" s="1" t="s">
        <v>140</v>
      </c>
      <c r="I43" s="1" t="s">
        <v>141</v>
      </c>
      <c r="J43" s="1" t="s">
        <v>18</v>
      </c>
      <c r="K43" s="1" t="s">
        <v>132</v>
      </c>
      <c r="L43" s="1">
        <v>344.96000199999997</v>
      </c>
      <c r="M43" s="1">
        <v>386.36221999999998</v>
      </c>
      <c r="N43" s="2">
        <f t="shared" si="1"/>
        <v>0.12002034369190434</v>
      </c>
      <c r="O43" s="4">
        <v>20.09</v>
      </c>
      <c r="P43" s="5">
        <v>5.8309995802119374E-4</v>
      </c>
    </row>
    <row r="44" spans="1:16">
      <c r="A44" s="1" t="s">
        <v>62</v>
      </c>
      <c r="B44" s="1" t="s">
        <v>193</v>
      </c>
      <c r="C44" s="1">
        <v>8</v>
      </c>
      <c r="D44" s="1">
        <v>6</v>
      </c>
      <c r="E44" s="1" t="s">
        <v>18</v>
      </c>
      <c r="F44" s="1" t="s">
        <v>143</v>
      </c>
      <c r="G44" s="1">
        <v>5</v>
      </c>
      <c r="H44" s="1" t="s">
        <v>19</v>
      </c>
      <c r="I44" s="1" t="s">
        <v>20</v>
      </c>
      <c r="J44" s="1" t="s">
        <v>17</v>
      </c>
      <c r="K44" s="1" t="s">
        <v>127</v>
      </c>
      <c r="L44" s="1">
        <v>352.23999700000002</v>
      </c>
      <c r="M44" s="1">
        <v>333.08002900000002</v>
      </c>
      <c r="N44" s="2">
        <f t="shared" si="1"/>
        <v>5.4394640481444219E-2</v>
      </c>
      <c r="O44" s="4">
        <v>20.260000000000002</v>
      </c>
      <c r="P44" s="5">
        <v>6.0299999313428998E-4</v>
      </c>
    </row>
    <row r="45" spans="1:16">
      <c r="A45" s="1" t="s">
        <v>63</v>
      </c>
      <c r="B45" s="1" t="s">
        <v>194</v>
      </c>
      <c r="C45" s="1">
        <v>6</v>
      </c>
      <c r="D45" s="1">
        <v>2</v>
      </c>
      <c r="E45" s="1" t="s">
        <v>18</v>
      </c>
      <c r="F45" s="1" t="s">
        <v>195</v>
      </c>
      <c r="G45" s="1">
        <v>16</v>
      </c>
      <c r="H45" s="1" t="s">
        <v>130</v>
      </c>
      <c r="I45" s="1" t="s">
        <v>131</v>
      </c>
      <c r="J45" s="1" t="s">
        <v>18</v>
      </c>
      <c r="K45" s="1" t="s">
        <v>132</v>
      </c>
      <c r="L45" s="1">
        <v>2749.3200080000001</v>
      </c>
      <c r="M45" s="1">
        <v>1670.2400230000001</v>
      </c>
      <c r="N45" s="2">
        <f t="shared" si="1"/>
        <v>0.39248977269291385</v>
      </c>
      <c r="O45" s="4">
        <v>22.51</v>
      </c>
      <c r="P45" s="5">
        <v>8.6239998927339911E-4</v>
      </c>
    </row>
    <row r="46" spans="1:16">
      <c r="A46" s="1" t="s">
        <v>64</v>
      </c>
      <c r="B46" s="1" t="s">
        <v>196</v>
      </c>
      <c r="C46" s="1">
        <v>9</v>
      </c>
      <c r="D46" s="1">
        <v>2</v>
      </c>
      <c r="E46" s="1" t="s">
        <v>17</v>
      </c>
      <c r="F46" s="1" t="s">
        <v>147</v>
      </c>
      <c r="G46" s="1">
        <v>16</v>
      </c>
      <c r="H46" s="1" t="s">
        <v>19</v>
      </c>
      <c r="I46" s="1" t="s">
        <v>20</v>
      </c>
      <c r="J46" s="1" t="s">
        <v>18</v>
      </c>
      <c r="K46" s="1" t="s">
        <v>127</v>
      </c>
      <c r="L46" s="1">
        <v>3703.0000140000002</v>
      </c>
      <c r="M46" s="1">
        <v>2351.69193</v>
      </c>
      <c r="N46" s="2">
        <f t="shared" si="1"/>
        <v>0.36492251657874292</v>
      </c>
      <c r="O46" s="4">
        <v>22.5</v>
      </c>
      <c r="P46" s="5">
        <v>9.6829998074099422E-4</v>
      </c>
    </row>
    <row r="47" spans="1:16">
      <c r="A47" s="1" t="s">
        <v>65</v>
      </c>
      <c r="B47" s="1" t="s">
        <v>164</v>
      </c>
      <c r="C47" s="1">
        <v>16</v>
      </c>
      <c r="D47" s="1">
        <v>8</v>
      </c>
      <c r="E47" s="1" t="s">
        <v>18</v>
      </c>
      <c r="F47" s="1" t="s">
        <v>156</v>
      </c>
      <c r="G47" s="1">
        <v>2</v>
      </c>
      <c r="H47" s="1" t="s">
        <v>19</v>
      </c>
      <c r="I47" s="1" t="s">
        <v>20</v>
      </c>
      <c r="J47" s="1" t="s">
        <v>17</v>
      </c>
      <c r="K47" s="1" t="s">
        <v>132</v>
      </c>
      <c r="L47" s="1">
        <v>272.71999499999998</v>
      </c>
      <c r="M47" s="1">
        <v>197.747916</v>
      </c>
      <c r="N47" s="2">
        <f t="shared" si="1"/>
        <v>0.27490495883882654</v>
      </c>
      <c r="O47" s="4">
        <v>19.55</v>
      </c>
      <c r="P47" s="5">
        <v>2.2360001457855111E-4</v>
      </c>
    </row>
    <row r="48" spans="1:16">
      <c r="A48" s="1" t="s">
        <v>66</v>
      </c>
      <c r="B48" s="1" t="s">
        <v>197</v>
      </c>
      <c r="C48" s="1">
        <v>12</v>
      </c>
      <c r="D48" s="1">
        <v>3</v>
      </c>
      <c r="E48" s="1" t="s">
        <v>17</v>
      </c>
      <c r="F48" s="1" t="s">
        <v>134</v>
      </c>
      <c r="G48" s="1">
        <v>7</v>
      </c>
      <c r="H48" s="1" t="s">
        <v>19</v>
      </c>
      <c r="I48" s="1" t="s">
        <v>20</v>
      </c>
      <c r="J48" s="1" t="s">
        <v>17</v>
      </c>
      <c r="K48" s="1" t="s">
        <v>127</v>
      </c>
      <c r="L48" s="1">
        <v>894.039985</v>
      </c>
      <c r="M48" s="1">
        <v>862.16834200000005</v>
      </c>
      <c r="N48" s="2">
        <f t="shared" si="1"/>
        <v>3.5649012946551768E-2</v>
      </c>
      <c r="O48" s="4">
        <v>20.57</v>
      </c>
      <c r="P48" s="5">
        <v>6.03599997702986E-4</v>
      </c>
    </row>
    <row r="49" spans="1:16">
      <c r="A49" s="1" t="s">
        <v>67</v>
      </c>
      <c r="B49" s="1" t="s">
        <v>198</v>
      </c>
      <c r="C49" s="1">
        <v>5</v>
      </c>
      <c r="D49" s="1">
        <v>1</v>
      </c>
      <c r="E49" s="1" t="s">
        <v>17</v>
      </c>
      <c r="F49" s="1" t="s">
        <v>199</v>
      </c>
      <c r="G49" s="1">
        <v>3</v>
      </c>
      <c r="H49" s="1" t="s">
        <v>162</v>
      </c>
      <c r="I49" s="1" t="s">
        <v>163</v>
      </c>
      <c r="J49" s="1" t="s">
        <v>17</v>
      </c>
      <c r="K49" s="1" t="s">
        <v>132</v>
      </c>
      <c r="L49" s="1">
        <v>188.159999</v>
      </c>
      <c r="M49" s="1">
        <v>173.06027700000001</v>
      </c>
      <c r="N49" s="2">
        <f t="shared" si="1"/>
        <v>8.024937330064498E-2</v>
      </c>
      <c r="O49" s="4">
        <v>19.739999999999998</v>
      </c>
      <c r="P49" s="5">
        <v>4.0770001942291861E-4</v>
      </c>
    </row>
    <row r="50" spans="1:16">
      <c r="A50" s="1" t="s">
        <v>68</v>
      </c>
      <c r="B50" s="1" t="s">
        <v>200</v>
      </c>
      <c r="C50" s="1">
        <v>12</v>
      </c>
      <c r="D50" s="1">
        <v>1</v>
      </c>
      <c r="E50" s="1" t="s">
        <v>17</v>
      </c>
      <c r="F50" s="1" t="s">
        <v>126</v>
      </c>
      <c r="G50" s="1">
        <v>2</v>
      </c>
      <c r="H50" s="1" t="s">
        <v>19</v>
      </c>
      <c r="I50" s="1" t="s">
        <v>20</v>
      </c>
      <c r="J50" s="1" t="s">
        <v>18</v>
      </c>
      <c r="K50" s="1" t="s">
        <v>127</v>
      </c>
      <c r="L50" s="1">
        <v>364.56000399999999</v>
      </c>
      <c r="M50" s="1">
        <v>318.003804</v>
      </c>
      <c r="N50" s="2">
        <f t="shared" si="1"/>
        <v>0.12770517744453391</v>
      </c>
      <c r="O50" s="4">
        <v>19.3</v>
      </c>
      <c r="P50" s="5">
        <v>2.0780001068487761E-4</v>
      </c>
    </row>
    <row r="51" spans="1:16">
      <c r="A51" s="1" t="s">
        <v>69</v>
      </c>
      <c r="B51" s="1" t="s">
        <v>201</v>
      </c>
      <c r="C51" s="1">
        <v>6</v>
      </c>
      <c r="D51" s="1">
        <v>3</v>
      </c>
      <c r="E51" s="1" t="s">
        <v>17</v>
      </c>
      <c r="F51" s="1" t="s">
        <v>149</v>
      </c>
      <c r="G51" s="1">
        <v>8</v>
      </c>
      <c r="H51" s="1" t="s">
        <v>140</v>
      </c>
      <c r="I51" s="1" t="s">
        <v>141</v>
      </c>
      <c r="J51" s="1" t="s">
        <v>17</v>
      </c>
      <c r="K51" s="1" t="s">
        <v>132</v>
      </c>
      <c r="L51" s="1">
        <v>417.75999200000001</v>
      </c>
      <c r="M51" s="1">
        <v>281.89767999999998</v>
      </c>
      <c r="N51" s="2">
        <f t="shared" si="1"/>
        <v>0.32521618776744909</v>
      </c>
      <c r="O51" s="4">
        <v>20.12</v>
      </c>
      <c r="P51" s="5">
        <v>5.6810001842677593E-4</v>
      </c>
    </row>
    <row r="52" spans="1:16">
      <c r="A52" s="1" t="s">
        <v>70</v>
      </c>
      <c r="B52" s="1" t="s">
        <v>202</v>
      </c>
      <c r="C52" s="1">
        <v>5</v>
      </c>
      <c r="D52" s="1">
        <v>4</v>
      </c>
      <c r="E52" s="1" t="s">
        <v>18</v>
      </c>
      <c r="F52" s="1" t="s">
        <v>156</v>
      </c>
      <c r="G52" s="1">
        <v>16</v>
      </c>
      <c r="H52" s="1" t="s">
        <v>19</v>
      </c>
      <c r="I52" s="1" t="s">
        <v>20</v>
      </c>
      <c r="J52" s="1" t="s">
        <v>18</v>
      </c>
      <c r="K52" s="1" t="s">
        <v>127</v>
      </c>
      <c r="L52" s="1">
        <v>1725.0799930000001</v>
      </c>
      <c r="M52" s="1">
        <v>184.53702899999999</v>
      </c>
      <c r="N52" s="2">
        <f t="shared" si="1"/>
        <v>0.89302697280774734</v>
      </c>
      <c r="O52" s="4">
        <v>22.02</v>
      </c>
      <c r="P52" s="5">
        <v>7.6639995677396655E-4</v>
      </c>
    </row>
    <row r="53" spans="1:16">
      <c r="A53" s="1" t="s">
        <v>71</v>
      </c>
      <c r="B53" s="1" t="s">
        <v>203</v>
      </c>
      <c r="C53" s="1">
        <v>5</v>
      </c>
      <c r="D53" s="1">
        <v>3</v>
      </c>
      <c r="E53" s="1" t="s">
        <v>17</v>
      </c>
      <c r="F53" s="1" t="s">
        <v>204</v>
      </c>
      <c r="G53" s="1">
        <v>5</v>
      </c>
      <c r="H53" s="1" t="s">
        <v>140</v>
      </c>
      <c r="I53" s="1" t="s">
        <v>141</v>
      </c>
      <c r="J53" s="1" t="s">
        <v>18</v>
      </c>
      <c r="K53" s="1" t="s">
        <v>132</v>
      </c>
      <c r="L53" s="1">
        <v>929.60001</v>
      </c>
      <c r="M53" s="1">
        <v>702.31641200000001</v>
      </c>
      <c r="N53" s="2">
        <f t="shared" si="1"/>
        <v>0.24449612258502448</v>
      </c>
      <c r="O53" s="4">
        <v>20.079999999999998</v>
      </c>
      <c r="P53" s="5">
        <v>5.7640002341940999E-4</v>
      </c>
    </row>
    <row r="54" spans="1:16">
      <c r="A54" s="1" t="s">
        <v>72</v>
      </c>
      <c r="B54" s="1" t="s">
        <v>205</v>
      </c>
      <c r="C54" s="1">
        <v>6</v>
      </c>
      <c r="D54" s="1">
        <v>4</v>
      </c>
      <c r="E54" s="1" t="s">
        <v>17</v>
      </c>
      <c r="F54" s="1" t="s">
        <v>126</v>
      </c>
      <c r="G54" s="1">
        <v>7</v>
      </c>
      <c r="H54" s="1" t="s">
        <v>19</v>
      </c>
      <c r="I54" s="1" t="s">
        <v>20</v>
      </c>
      <c r="J54" s="1" t="s">
        <v>18</v>
      </c>
      <c r="K54" s="1" t="s">
        <v>127</v>
      </c>
      <c r="L54" s="1">
        <v>507.92000200000001</v>
      </c>
      <c r="M54" s="1">
        <v>350.53495900000001</v>
      </c>
      <c r="N54" s="2">
        <f t="shared" si="1"/>
        <v>0.30986187269703153</v>
      </c>
      <c r="O54" s="4">
        <v>19.87</v>
      </c>
      <c r="P54" s="5">
        <v>5.5170000996440649E-4</v>
      </c>
    </row>
    <row r="55" spans="1:16">
      <c r="A55" s="1" t="s">
        <v>73</v>
      </c>
      <c r="B55" s="1" t="s">
        <v>206</v>
      </c>
      <c r="C55" s="1">
        <v>16</v>
      </c>
      <c r="D55" s="1">
        <v>6</v>
      </c>
      <c r="E55" s="1" t="s">
        <v>18</v>
      </c>
      <c r="F55" s="1" t="s">
        <v>145</v>
      </c>
      <c r="G55" s="1">
        <v>5</v>
      </c>
      <c r="H55" s="1" t="s">
        <v>140</v>
      </c>
      <c r="I55" s="1" t="s">
        <v>141</v>
      </c>
      <c r="J55" s="1" t="s">
        <v>17</v>
      </c>
      <c r="K55" s="1" t="s">
        <v>132</v>
      </c>
      <c r="L55" s="1">
        <v>261.51999899999998</v>
      </c>
      <c r="M55" s="1">
        <v>270.11365999999998</v>
      </c>
      <c r="N55" s="2">
        <f t="shared" si="1"/>
        <v>3.2860435274015116E-2</v>
      </c>
      <c r="O55" s="4">
        <v>20.43</v>
      </c>
      <c r="P55" s="5">
        <v>5.8110000099986792E-4</v>
      </c>
    </row>
    <row r="56" spans="1:16">
      <c r="A56" s="1" t="s">
        <v>74</v>
      </c>
      <c r="B56" s="1" t="s">
        <v>207</v>
      </c>
      <c r="C56" s="1">
        <v>5</v>
      </c>
      <c r="D56" s="1">
        <v>0</v>
      </c>
      <c r="E56" s="1" t="s">
        <v>18</v>
      </c>
      <c r="F56" s="1" t="s">
        <v>156</v>
      </c>
      <c r="G56" s="1">
        <v>7</v>
      </c>
      <c r="H56" s="1" t="s">
        <v>19</v>
      </c>
      <c r="I56" s="1" t="s">
        <v>20</v>
      </c>
      <c r="J56" s="1" t="s">
        <v>17</v>
      </c>
      <c r="K56" s="1" t="s">
        <v>127</v>
      </c>
      <c r="L56" s="1">
        <v>1273.1599880000001</v>
      </c>
      <c r="M56" s="1">
        <v>891.61107700000002</v>
      </c>
      <c r="N56" s="2">
        <f t="shared" si="1"/>
        <v>0.2996865394736235</v>
      </c>
      <c r="O56" s="4">
        <v>20.64</v>
      </c>
      <c r="P56" s="5">
        <v>6.2629999592900276E-4</v>
      </c>
    </row>
    <row r="57" spans="1:16">
      <c r="A57" s="1" t="s">
        <v>75</v>
      </c>
      <c r="B57" s="1" t="s">
        <v>208</v>
      </c>
      <c r="C57" s="1">
        <v>8</v>
      </c>
      <c r="D57" s="1">
        <v>1</v>
      </c>
      <c r="E57" s="1" t="s">
        <v>17</v>
      </c>
      <c r="F57" s="1" t="s">
        <v>182</v>
      </c>
      <c r="G57" s="1">
        <v>4</v>
      </c>
      <c r="H57" s="1" t="s">
        <v>162</v>
      </c>
      <c r="I57" s="1" t="s">
        <v>163</v>
      </c>
      <c r="J57" s="1" t="s">
        <v>18</v>
      </c>
      <c r="K57" s="1" t="s">
        <v>132</v>
      </c>
      <c r="L57" s="1">
        <v>486.92000200000001</v>
      </c>
      <c r="M57" s="1">
        <v>460.556173</v>
      </c>
      <c r="N57" s="2">
        <f t="shared" si="1"/>
        <v>5.4144066564757815E-2</v>
      </c>
      <c r="O57" s="4">
        <v>19.71</v>
      </c>
      <c r="P57" s="5">
        <v>4.1320000309497118E-4</v>
      </c>
    </row>
    <row r="58" spans="1:16">
      <c r="A58" s="1" t="s">
        <v>76</v>
      </c>
      <c r="B58" s="1" t="s">
        <v>209</v>
      </c>
      <c r="C58" s="1">
        <v>5</v>
      </c>
      <c r="D58" s="1">
        <v>2</v>
      </c>
      <c r="E58" s="1" t="s">
        <v>17</v>
      </c>
      <c r="F58" s="1" t="s">
        <v>126</v>
      </c>
      <c r="G58" s="1">
        <v>2</v>
      </c>
      <c r="H58" s="1" t="s">
        <v>19</v>
      </c>
      <c r="I58" s="1" t="s">
        <v>20</v>
      </c>
      <c r="J58" s="1" t="s">
        <v>18</v>
      </c>
      <c r="K58" s="1" t="s">
        <v>127</v>
      </c>
      <c r="L58" s="1">
        <v>176.680002</v>
      </c>
      <c r="M58" s="1">
        <v>178.39653999999999</v>
      </c>
      <c r="N58" s="2">
        <f t="shared" si="1"/>
        <v>9.7155194734488727E-3</v>
      </c>
      <c r="O58" s="4">
        <v>19.75</v>
      </c>
      <c r="P58" s="5">
        <v>1.973999897018075E-4</v>
      </c>
    </row>
    <row r="59" spans="1:16">
      <c r="A59" s="1" t="s">
        <v>77</v>
      </c>
      <c r="B59" s="1" t="s">
        <v>210</v>
      </c>
      <c r="C59" s="1">
        <v>12</v>
      </c>
      <c r="D59" s="1">
        <v>4</v>
      </c>
      <c r="E59" s="1" t="s">
        <v>17</v>
      </c>
      <c r="F59" s="1" t="s">
        <v>211</v>
      </c>
      <c r="G59" s="1">
        <v>4</v>
      </c>
      <c r="H59" s="1" t="s">
        <v>162</v>
      </c>
      <c r="I59" s="1" t="s">
        <v>163</v>
      </c>
      <c r="J59" s="1" t="s">
        <v>17</v>
      </c>
      <c r="K59" s="1" t="s">
        <v>132</v>
      </c>
      <c r="L59" s="1">
        <v>394.79999199999997</v>
      </c>
      <c r="M59" s="1">
        <v>382.00134000000003</v>
      </c>
      <c r="N59" s="2">
        <f t="shared" si="1"/>
        <v>3.2418065499859351E-2</v>
      </c>
      <c r="O59" s="4">
        <v>19.61</v>
      </c>
      <c r="P59" s="5">
        <v>3.8920005317777401E-4</v>
      </c>
    </row>
    <row r="60" spans="1:16">
      <c r="A60" s="1" t="s">
        <v>78</v>
      </c>
      <c r="B60" s="1" t="s">
        <v>212</v>
      </c>
      <c r="C60" s="1">
        <v>10</v>
      </c>
      <c r="D60" s="1">
        <v>8</v>
      </c>
      <c r="E60" s="1" t="s">
        <v>18</v>
      </c>
      <c r="F60" s="1" t="s">
        <v>126</v>
      </c>
      <c r="G60" s="1">
        <v>3</v>
      </c>
      <c r="H60" s="1" t="s">
        <v>19</v>
      </c>
      <c r="I60" s="1" t="s">
        <v>20</v>
      </c>
      <c r="J60" s="1" t="s">
        <v>18</v>
      </c>
      <c r="K60" s="1" t="s">
        <v>127</v>
      </c>
      <c r="L60" s="1">
        <v>530.32000500000004</v>
      </c>
      <c r="M60" s="1">
        <v>468.87746600000003</v>
      </c>
      <c r="N60" s="2">
        <f t="shared" si="1"/>
        <v>0.11585936495079042</v>
      </c>
      <c r="O60" s="4">
        <v>19.75</v>
      </c>
      <c r="P60" s="5">
        <v>4.1849998524412507E-4</v>
      </c>
    </row>
    <row r="61" spans="1:16">
      <c r="A61" s="1" t="s">
        <v>79</v>
      </c>
      <c r="B61" s="1" t="s">
        <v>213</v>
      </c>
      <c r="C61" s="1">
        <v>12</v>
      </c>
      <c r="D61" s="1">
        <v>0</v>
      </c>
      <c r="E61" s="1" t="s">
        <v>17</v>
      </c>
      <c r="F61" s="1" t="s">
        <v>165</v>
      </c>
      <c r="G61" s="1">
        <v>2</v>
      </c>
      <c r="H61" s="1" t="s">
        <v>19</v>
      </c>
      <c r="I61" s="1" t="s">
        <v>20</v>
      </c>
      <c r="J61" s="1" t="s">
        <v>18</v>
      </c>
      <c r="K61" s="1" t="s">
        <v>132</v>
      </c>
      <c r="L61" s="1">
        <v>110.04</v>
      </c>
      <c r="M61" s="1">
        <v>108.288433</v>
      </c>
      <c r="N61" s="2">
        <f t="shared" si="1"/>
        <v>1.5917548164303966E-2</v>
      </c>
      <c r="O61" s="4">
        <v>19.329999999999998</v>
      </c>
      <c r="P61" s="5">
        <v>2.3050000891089439E-4</v>
      </c>
    </row>
    <row r="62" spans="1:16">
      <c r="A62" s="1" t="s">
        <v>80</v>
      </c>
      <c r="B62" s="1" t="s">
        <v>214</v>
      </c>
      <c r="C62" s="1">
        <v>5</v>
      </c>
      <c r="D62" s="1">
        <v>0</v>
      </c>
      <c r="E62" s="1" t="s">
        <v>17</v>
      </c>
      <c r="F62" s="1" t="s">
        <v>126</v>
      </c>
      <c r="G62" s="1">
        <v>6</v>
      </c>
      <c r="H62" s="1" t="s">
        <v>19</v>
      </c>
      <c r="I62" s="1" t="s">
        <v>20</v>
      </c>
      <c r="J62" s="1" t="s">
        <v>18</v>
      </c>
      <c r="K62" s="1" t="s">
        <v>127</v>
      </c>
      <c r="L62" s="1">
        <v>576.80000299999995</v>
      </c>
      <c r="M62" s="1">
        <v>572.69364599999994</v>
      </c>
      <c r="N62" s="2">
        <f t="shared" si="1"/>
        <v>7.1192041932080282E-3</v>
      </c>
      <c r="O62" s="4">
        <v>19.850000000000001</v>
      </c>
      <c r="P62" s="5">
        <v>5.8170000556856394E-4</v>
      </c>
    </row>
    <row r="63" spans="1:16">
      <c r="A63" s="1" t="s">
        <v>81</v>
      </c>
      <c r="B63" s="1" t="s">
        <v>215</v>
      </c>
      <c r="C63" s="1">
        <v>16</v>
      </c>
      <c r="D63" s="1">
        <v>2</v>
      </c>
      <c r="E63" s="1" t="s">
        <v>18</v>
      </c>
      <c r="F63" s="1" t="s">
        <v>145</v>
      </c>
      <c r="G63" s="1">
        <v>6</v>
      </c>
      <c r="H63" s="1" t="s">
        <v>140</v>
      </c>
      <c r="I63" s="1" t="s">
        <v>141</v>
      </c>
      <c r="J63" s="1" t="s">
        <v>18</v>
      </c>
      <c r="K63" s="1" t="s">
        <v>132</v>
      </c>
      <c r="L63" s="1">
        <v>796.59999600000003</v>
      </c>
      <c r="M63" s="1">
        <v>813.66494999999998</v>
      </c>
      <c r="N63" s="2">
        <f t="shared" si="1"/>
        <v>2.1422237114849224E-2</v>
      </c>
      <c r="O63" s="4">
        <v>20.98</v>
      </c>
      <c r="P63" s="5">
        <v>6.3920003594830632E-4</v>
      </c>
    </row>
    <row r="64" spans="1:16">
      <c r="A64" s="1" t="s">
        <v>82</v>
      </c>
      <c r="B64" s="1" t="s">
        <v>216</v>
      </c>
      <c r="C64" s="1">
        <v>9</v>
      </c>
      <c r="D64" s="1">
        <v>1</v>
      </c>
      <c r="E64" s="1" t="s">
        <v>18</v>
      </c>
      <c r="F64" s="1" t="s">
        <v>134</v>
      </c>
      <c r="G64" s="1">
        <v>7</v>
      </c>
      <c r="H64" s="1" t="s">
        <v>19</v>
      </c>
      <c r="I64" s="1" t="s">
        <v>20</v>
      </c>
      <c r="J64" s="1" t="s">
        <v>18</v>
      </c>
      <c r="K64" s="1" t="s">
        <v>127</v>
      </c>
      <c r="L64" s="1">
        <v>768.60000300000002</v>
      </c>
      <c r="M64" s="1">
        <v>766.17906500000004</v>
      </c>
      <c r="N64" s="2">
        <f t="shared" si="1"/>
        <v>3.1498022255406865E-3</v>
      </c>
      <c r="O64" s="4">
        <v>20.48</v>
      </c>
      <c r="P64" s="5">
        <v>6.0239998856559396E-4</v>
      </c>
    </row>
    <row r="65" spans="1:16">
      <c r="A65" s="1" t="s">
        <v>83</v>
      </c>
      <c r="B65" s="1" t="s">
        <v>217</v>
      </c>
      <c r="C65" s="1">
        <v>12</v>
      </c>
      <c r="D65" s="1">
        <v>1</v>
      </c>
      <c r="E65" s="1" t="s">
        <v>17</v>
      </c>
      <c r="F65" s="1" t="s">
        <v>175</v>
      </c>
      <c r="G65" s="1">
        <v>12</v>
      </c>
      <c r="H65" s="1" t="s">
        <v>130</v>
      </c>
      <c r="I65" s="1" t="s">
        <v>131</v>
      </c>
      <c r="J65" s="1" t="s">
        <v>18</v>
      </c>
      <c r="K65" s="1" t="s">
        <v>132</v>
      </c>
      <c r="L65" s="1">
        <v>1868.9999909999999</v>
      </c>
      <c r="M65" s="1">
        <v>1950.9662350000001</v>
      </c>
      <c r="N65" s="2">
        <f t="shared" si="1"/>
        <v>4.38556684829862E-2</v>
      </c>
      <c r="O65" s="4">
        <v>21.72</v>
      </c>
      <c r="P65" s="5">
        <v>8.8220002362504601E-4</v>
      </c>
    </row>
    <row r="66" spans="1:16">
      <c r="A66" s="1" t="s">
        <v>84</v>
      </c>
      <c r="B66" s="1" t="s">
        <v>218</v>
      </c>
      <c r="C66" s="1">
        <v>5</v>
      </c>
      <c r="D66" s="1">
        <v>0</v>
      </c>
      <c r="E66" s="1" t="s">
        <v>18</v>
      </c>
      <c r="F66" s="1" t="s">
        <v>156</v>
      </c>
      <c r="G66" s="1">
        <v>5</v>
      </c>
      <c r="H66" s="1" t="s">
        <v>19</v>
      </c>
      <c r="I66" s="1" t="s">
        <v>20</v>
      </c>
      <c r="J66" s="1" t="s">
        <v>18</v>
      </c>
      <c r="K66" s="1" t="s">
        <v>127</v>
      </c>
      <c r="L66" s="1">
        <v>367.08</v>
      </c>
      <c r="M66" s="1">
        <v>364.19154400000002</v>
      </c>
      <c r="N66" s="2">
        <f t="shared" ref="N66:N97" si="2">ABS(M66-L66)/L66</f>
        <v>7.8687370600413059E-3</v>
      </c>
      <c r="O66" s="4">
        <v>19.88</v>
      </c>
      <c r="P66" s="5">
        <v>8.2710001152008772E-4</v>
      </c>
    </row>
    <row r="67" spans="1:16">
      <c r="A67" s="1" t="s">
        <v>85</v>
      </c>
      <c r="B67" s="1" t="s">
        <v>219</v>
      </c>
      <c r="C67" s="1">
        <v>8</v>
      </c>
      <c r="D67" s="1">
        <v>6</v>
      </c>
      <c r="E67" s="1" t="s">
        <v>18</v>
      </c>
      <c r="F67" s="1" t="s">
        <v>161</v>
      </c>
      <c r="G67" s="1">
        <v>3</v>
      </c>
      <c r="H67" s="1" t="s">
        <v>162</v>
      </c>
      <c r="I67" s="1" t="s">
        <v>163</v>
      </c>
      <c r="J67" s="1" t="s">
        <v>17</v>
      </c>
      <c r="K67" s="1" t="s">
        <v>132</v>
      </c>
      <c r="L67" s="1">
        <v>215.87999500000001</v>
      </c>
      <c r="M67" s="1">
        <v>146.932063</v>
      </c>
      <c r="N67" s="2">
        <f t="shared" si="2"/>
        <v>0.31938083007645063</v>
      </c>
      <c r="O67" s="4">
        <v>19.82</v>
      </c>
      <c r="P67" s="5">
        <v>4.1579996468499297E-4</v>
      </c>
    </row>
    <row r="68" spans="1:16">
      <c r="A68" s="1" t="s">
        <v>86</v>
      </c>
      <c r="B68" s="1" t="s">
        <v>220</v>
      </c>
      <c r="C68" s="1">
        <v>5</v>
      </c>
      <c r="D68" s="1">
        <v>2</v>
      </c>
      <c r="E68" s="1" t="s">
        <v>17</v>
      </c>
      <c r="F68" s="1" t="s">
        <v>156</v>
      </c>
      <c r="G68" s="1">
        <v>6</v>
      </c>
      <c r="H68" s="1" t="s">
        <v>19</v>
      </c>
      <c r="I68" s="1" t="s">
        <v>20</v>
      </c>
      <c r="J68" s="1" t="s">
        <v>18</v>
      </c>
      <c r="K68" s="1" t="s">
        <v>127</v>
      </c>
      <c r="L68" s="1">
        <v>369.6</v>
      </c>
      <c r="M68" s="1">
        <v>375.26840800000002</v>
      </c>
      <c r="N68" s="2">
        <f t="shared" si="2"/>
        <v>1.5336601731601729E-2</v>
      </c>
      <c r="O68" s="4">
        <v>19.989999999999998</v>
      </c>
      <c r="P68" s="5">
        <v>5.9650000184774399E-4</v>
      </c>
    </row>
    <row r="69" spans="1:16">
      <c r="A69" s="1" t="s">
        <v>87</v>
      </c>
      <c r="B69" s="1" t="s">
        <v>221</v>
      </c>
      <c r="C69" s="1">
        <v>9</v>
      </c>
      <c r="D69" s="1">
        <v>0</v>
      </c>
      <c r="E69" s="1" t="s">
        <v>18</v>
      </c>
      <c r="F69" s="1" t="s">
        <v>139</v>
      </c>
      <c r="G69" s="1">
        <v>6</v>
      </c>
      <c r="H69" s="1" t="s">
        <v>140</v>
      </c>
      <c r="I69" s="1" t="s">
        <v>141</v>
      </c>
      <c r="J69" s="1" t="s">
        <v>17</v>
      </c>
      <c r="K69" s="1" t="s">
        <v>132</v>
      </c>
      <c r="L69" s="1">
        <v>843.07999199999995</v>
      </c>
      <c r="M69" s="1">
        <v>738.84094700000003</v>
      </c>
      <c r="N69" s="2">
        <f t="shared" si="2"/>
        <v>0.12364075294055837</v>
      </c>
      <c r="O69" s="4">
        <v>20.76</v>
      </c>
      <c r="P69" s="5">
        <v>6.6070002503693104E-4</v>
      </c>
    </row>
    <row r="70" spans="1:16">
      <c r="A70" s="1" t="s">
        <v>88</v>
      </c>
      <c r="B70" s="1" t="s">
        <v>222</v>
      </c>
      <c r="C70" s="1">
        <v>12</v>
      </c>
      <c r="D70" s="1">
        <v>4</v>
      </c>
      <c r="E70" s="1" t="s">
        <v>17</v>
      </c>
      <c r="F70" s="1" t="s">
        <v>134</v>
      </c>
      <c r="G70" s="1">
        <v>6</v>
      </c>
      <c r="H70" s="1" t="s">
        <v>19</v>
      </c>
      <c r="I70" s="1" t="s">
        <v>20</v>
      </c>
      <c r="J70" s="1" t="s">
        <v>18</v>
      </c>
      <c r="K70" s="1" t="s">
        <v>127</v>
      </c>
      <c r="L70" s="1">
        <v>1062.040004</v>
      </c>
      <c r="M70" s="1">
        <v>1030.5459310000001</v>
      </c>
      <c r="N70" s="2">
        <f t="shared" si="2"/>
        <v>2.9654318934675312E-2</v>
      </c>
      <c r="O70" s="4">
        <v>20.78</v>
      </c>
      <c r="P70" s="5">
        <v>6.5090000862255692E-4</v>
      </c>
    </row>
    <row r="71" spans="1:16">
      <c r="A71" s="1" t="s">
        <v>89</v>
      </c>
      <c r="B71" s="1" t="s">
        <v>223</v>
      </c>
      <c r="C71" s="1">
        <v>12</v>
      </c>
      <c r="D71" s="1">
        <v>1</v>
      </c>
      <c r="E71" s="1" t="s">
        <v>17</v>
      </c>
      <c r="F71" s="1" t="s">
        <v>165</v>
      </c>
      <c r="G71" s="1">
        <v>2</v>
      </c>
      <c r="H71" s="1" t="s">
        <v>19</v>
      </c>
      <c r="I71" s="1" t="s">
        <v>20</v>
      </c>
      <c r="J71" s="1" t="s">
        <v>17</v>
      </c>
      <c r="K71" s="1" t="s">
        <v>132</v>
      </c>
      <c r="L71" s="1">
        <v>155.39999900000001</v>
      </c>
      <c r="M71" s="1">
        <v>158.53800699999999</v>
      </c>
      <c r="N71" s="2">
        <f t="shared" si="2"/>
        <v>2.0193101803044317E-2</v>
      </c>
      <c r="O71" s="4">
        <v>19.61</v>
      </c>
      <c r="P71" s="5">
        <v>2.2960000205785039E-4</v>
      </c>
    </row>
    <row r="72" spans="1:16">
      <c r="A72" s="1" t="s">
        <v>90</v>
      </c>
      <c r="B72" s="1" t="s">
        <v>224</v>
      </c>
      <c r="C72" s="1">
        <v>5</v>
      </c>
      <c r="D72" s="1">
        <v>1</v>
      </c>
      <c r="E72" s="1" t="s">
        <v>18</v>
      </c>
      <c r="F72" s="1" t="s">
        <v>165</v>
      </c>
      <c r="G72" s="1">
        <v>16</v>
      </c>
      <c r="H72" s="1" t="s">
        <v>19</v>
      </c>
      <c r="I72" s="1" t="s">
        <v>20</v>
      </c>
      <c r="J72" s="1" t="s">
        <v>18</v>
      </c>
      <c r="K72" s="1" t="s">
        <v>127</v>
      </c>
      <c r="L72" s="1">
        <v>1087.2399949999999</v>
      </c>
      <c r="M72" s="1">
        <v>1057.404178</v>
      </c>
      <c r="N72" s="2">
        <f t="shared" si="2"/>
        <v>2.7441794946110227E-2</v>
      </c>
      <c r="O72" s="4">
        <v>22.05</v>
      </c>
      <c r="P72" s="5">
        <v>8.1340002361685038E-4</v>
      </c>
    </row>
    <row r="73" spans="1:16">
      <c r="A73" s="1" t="s">
        <v>91</v>
      </c>
      <c r="B73" s="1" t="s">
        <v>225</v>
      </c>
      <c r="C73" s="1">
        <v>12</v>
      </c>
      <c r="D73" s="1">
        <v>8</v>
      </c>
      <c r="E73" s="1" t="s">
        <v>17</v>
      </c>
      <c r="F73" s="1" t="s">
        <v>167</v>
      </c>
      <c r="G73" s="1">
        <v>6</v>
      </c>
      <c r="H73" s="1" t="s">
        <v>140</v>
      </c>
      <c r="I73" s="1" t="s">
        <v>141</v>
      </c>
      <c r="J73" s="1" t="s">
        <v>17</v>
      </c>
      <c r="K73" s="1" t="s">
        <v>132</v>
      </c>
      <c r="L73" s="1">
        <v>1277.9199799999999</v>
      </c>
      <c r="M73" s="1">
        <v>508.07088199999998</v>
      </c>
      <c r="N73" s="2">
        <f t="shared" si="2"/>
        <v>0.60242355550306048</v>
      </c>
      <c r="O73" s="4">
        <v>20.75</v>
      </c>
      <c r="P73" s="5">
        <v>6.2300002900883555E-4</v>
      </c>
    </row>
    <row r="74" spans="1:16">
      <c r="A74" s="1" t="s">
        <v>92</v>
      </c>
      <c r="B74" s="1" t="s">
        <v>226</v>
      </c>
      <c r="C74" s="1">
        <v>5</v>
      </c>
      <c r="D74" s="1">
        <v>0</v>
      </c>
      <c r="E74" s="1" t="s">
        <v>18</v>
      </c>
      <c r="F74" s="1" t="s">
        <v>134</v>
      </c>
      <c r="G74" s="1">
        <v>7</v>
      </c>
      <c r="H74" s="1" t="s">
        <v>19</v>
      </c>
      <c r="I74" s="1" t="s">
        <v>20</v>
      </c>
      <c r="J74" s="1" t="s">
        <v>18</v>
      </c>
      <c r="K74" s="1" t="s">
        <v>127</v>
      </c>
      <c r="L74" s="1">
        <v>604.240003</v>
      </c>
      <c r="M74" s="1">
        <v>602.60849800000005</v>
      </c>
      <c r="N74" s="2">
        <f t="shared" si="2"/>
        <v>2.7000943199716409E-3</v>
      </c>
      <c r="O74" s="4">
        <v>20.010000000000002</v>
      </c>
      <c r="P74" s="5">
        <v>5.8709998847916722E-4</v>
      </c>
    </row>
    <row r="75" spans="1:16">
      <c r="A75" s="1" t="s">
        <v>93</v>
      </c>
      <c r="B75" s="1" t="s">
        <v>157</v>
      </c>
      <c r="C75" s="1">
        <v>9</v>
      </c>
      <c r="D75" s="1">
        <v>1</v>
      </c>
      <c r="E75" s="1" t="s">
        <v>17</v>
      </c>
      <c r="F75" s="1" t="s">
        <v>170</v>
      </c>
      <c r="G75" s="1">
        <v>12</v>
      </c>
      <c r="H75" s="1" t="s">
        <v>130</v>
      </c>
      <c r="I75" s="1" t="s">
        <v>131</v>
      </c>
      <c r="J75" s="1" t="s">
        <v>18</v>
      </c>
      <c r="K75" s="1" t="s">
        <v>132</v>
      </c>
      <c r="L75" s="1">
        <v>3542.8400360000001</v>
      </c>
      <c r="M75" s="1">
        <v>3481.0352309999998</v>
      </c>
      <c r="N75" s="2">
        <f t="shared" si="2"/>
        <v>1.7444988871069711E-2</v>
      </c>
      <c r="O75" s="4">
        <v>21.33</v>
      </c>
      <c r="P75" s="5">
        <v>8.3319999976083636E-4</v>
      </c>
    </row>
    <row r="76" spans="1:16">
      <c r="A76" s="1" t="s">
        <v>94</v>
      </c>
      <c r="B76" s="1" t="s">
        <v>227</v>
      </c>
      <c r="C76" s="1">
        <v>12</v>
      </c>
      <c r="D76" s="1">
        <v>2</v>
      </c>
      <c r="E76" s="1" t="s">
        <v>18</v>
      </c>
      <c r="F76" s="1" t="s">
        <v>147</v>
      </c>
      <c r="G76" s="1">
        <v>4</v>
      </c>
      <c r="H76" s="1" t="s">
        <v>19</v>
      </c>
      <c r="I76" s="1" t="s">
        <v>20</v>
      </c>
      <c r="J76" s="1" t="s">
        <v>18</v>
      </c>
      <c r="K76" s="1" t="s">
        <v>127</v>
      </c>
      <c r="L76" s="1">
        <v>1046.92001</v>
      </c>
      <c r="M76" s="1">
        <v>908.09653400000002</v>
      </c>
      <c r="N76" s="2">
        <f t="shared" si="2"/>
        <v>0.13260179829784705</v>
      </c>
      <c r="O76" s="4">
        <v>20.18</v>
      </c>
      <c r="P76" s="5">
        <v>4.2150000808760518E-4</v>
      </c>
    </row>
    <row r="77" spans="1:16">
      <c r="A77" s="1" t="s">
        <v>95</v>
      </c>
      <c r="B77" s="1" t="s">
        <v>228</v>
      </c>
      <c r="C77" s="1">
        <v>10</v>
      </c>
      <c r="D77" s="1">
        <v>0</v>
      </c>
      <c r="E77" s="1" t="s">
        <v>18</v>
      </c>
      <c r="F77" s="1" t="s">
        <v>182</v>
      </c>
      <c r="G77" s="1">
        <v>3</v>
      </c>
      <c r="H77" s="1" t="s">
        <v>162</v>
      </c>
      <c r="I77" s="1" t="s">
        <v>163</v>
      </c>
      <c r="J77" s="1" t="s">
        <v>18</v>
      </c>
      <c r="K77" s="1" t="s">
        <v>132</v>
      </c>
      <c r="L77" s="1">
        <v>333.76000199999999</v>
      </c>
      <c r="M77" s="1">
        <v>355.559685</v>
      </c>
      <c r="N77" s="2">
        <f t="shared" si="2"/>
        <v>6.5315444838713821E-2</v>
      </c>
      <c r="O77" s="4">
        <v>19.39</v>
      </c>
      <c r="P77" s="5">
        <v>4.9069995293393731E-4</v>
      </c>
    </row>
    <row r="78" spans="1:16">
      <c r="A78" s="1" t="s">
        <v>96</v>
      </c>
      <c r="B78" s="1" t="s">
        <v>229</v>
      </c>
      <c r="C78" s="1">
        <v>8</v>
      </c>
      <c r="D78" s="1">
        <v>6</v>
      </c>
      <c r="E78" s="1" t="s">
        <v>18</v>
      </c>
      <c r="F78" s="1" t="s">
        <v>147</v>
      </c>
      <c r="G78" s="1">
        <v>16</v>
      </c>
      <c r="H78" s="1" t="s">
        <v>19</v>
      </c>
      <c r="I78" s="1" t="s">
        <v>20</v>
      </c>
      <c r="J78" s="1" t="s">
        <v>17</v>
      </c>
      <c r="K78" s="1" t="s">
        <v>127</v>
      </c>
      <c r="L78" s="1">
        <v>3209.0799510000002</v>
      </c>
      <c r="M78" s="1">
        <v>1397.6332050000001</v>
      </c>
      <c r="N78" s="2">
        <f t="shared" si="2"/>
        <v>0.56447541777060573</v>
      </c>
      <c r="O78" s="4">
        <v>22.71</v>
      </c>
      <c r="P78" s="5">
        <v>8.4379996405914426E-4</v>
      </c>
    </row>
    <row r="79" spans="1:16">
      <c r="A79" s="1" t="s">
        <v>97</v>
      </c>
      <c r="B79" s="1" t="s">
        <v>230</v>
      </c>
      <c r="C79" s="1">
        <v>8</v>
      </c>
      <c r="D79" s="1">
        <v>6</v>
      </c>
      <c r="E79" s="1" t="s">
        <v>18</v>
      </c>
      <c r="F79" s="1" t="s">
        <v>175</v>
      </c>
      <c r="G79" s="1">
        <v>16</v>
      </c>
      <c r="H79" s="1" t="s">
        <v>130</v>
      </c>
      <c r="I79" s="1" t="s">
        <v>131</v>
      </c>
      <c r="J79" s="1" t="s">
        <v>18</v>
      </c>
      <c r="K79" s="1" t="s">
        <v>132</v>
      </c>
      <c r="L79" s="1">
        <v>478.23999600000002</v>
      </c>
      <c r="M79" s="1">
        <v>594.21570299999996</v>
      </c>
      <c r="N79" s="2">
        <f t="shared" si="2"/>
        <v>0.24250524416615279</v>
      </c>
      <c r="O79" s="4">
        <v>22.27</v>
      </c>
      <c r="P79" s="5">
        <v>8.7170000188052654E-4</v>
      </c>
    </row>
    <row r="80" spans="1:16">
      <c r="A80" s="1" t="s">
        <v>98</v>
      </c>
      <c r="B80" s="1" t="s">
        <v>231</v>
      </c>
      <c r="C80" s="1">
        <v>9</v>
      </c>
      <c r="D80" s="1">
        <v>6</v>
      </c>
      <c r="E80" s="1" t="s">
        <v>18</v>
      </c>
      <c r="F80" s="1" t="s">
        <v>126</v>
      </c>
      <c r="G80" s="1">
        <v>6</v>
      </c>
      <c r="H80" s="1" t="s">
        <v>19</v>
      </c>
      <c r="I80" s="1" t="s">
        <v>20</v>
      </c>
      <c r="J80" s="1" t="s">
        <v>17</v>
      </c>
      <c r="K80" s="1" t="s">
        <v>127</v>
      </c>
      <c r="L80" s="1">
        <v>850.91998599999999</v>
      </c>
      <c r="M80" s="1">
        <v>525.10064899999998</v>
      </c>
      <c r="N80" s="2">
        <f t="shared" si="2"/>
        <v>0.38290243778573091</v>
      </c>
      <c r="O80" s="4">
        <v>19.75</v>
      </c>
      <c r="P80" s="5">
        <v>8.5150002269074321E-4</v>
      </c>
    </row>
    <row r="81" spans="1:16">
      <c r="A81" s="1" t="s">
        <v>99</v>
      </c>
      <c r="B81" s="1" t="s">
        <v>232</v>
      </c>
      <c r="C81" s="1">
        <v>16</v>
      </c>
      <c r="D81" s="1">
        <v>4</v>
      </c>
      <c r="E81" s="1" t="s">
        <v>17</v>
      </c>
      <c r="F81" s="1" t="s">
        <v>145</v>
      </c>
      <c r="G81" s="1">
        <v>6</v>
      </c>
      <c r="H81" s="1" t="s">
        <v>140</v>
      </c>
      <c r="I81" s="1" t="s">
        <v>141</v>
      </c>
      <c r="J81" s="1" t="s">
        <v>18</v>
      </c>
      <c r="K81" s="1" t="s">
        <v>132</v>
      </c>
      <c r="L81" s="1">
        <v>804.71999600000004</v>
      </c>
      <c r="M81" s="1">
        <v>832.42579499999999</v>
      </c>
      <c r="N81" s="2">
        <f t="shared" si="2"/>
        <v>3.4429117131072204E-2</v>
      </c>
      <c r="O81" s="4">
        <v>21.04</v>
      </c>
      <c r="P81" s="5">
        <v>6.834000232629478E-4</v>
      </c>
    </row>
    <row r="82" spans="1:16">
      <c r="A82" s="1" t="s">
        <v>100</v>
      </c>
      <c r="B82" s="1" t="s">
        <v>233</v>
      </c>
      <c r="C82" s="1">
        <v>8</v>
      </c>
      <c r="D82" s="1">
        <v>6</v>
      </c>
      <c r="E82" s="1" t="s">
        <v>17</v>
      </c>
      <c r="F82" s="1" t="s">
        <v>147</v>
      </c>
      <c r="G82" s="1">
        <v>8</v>
      </c>
      <c r="H82" s="1" t="s">
        <v>19</v>
      </c>
      <c r="I82" s="1" t="s">
        <v>20</v>
      </c>
      <c r="J82" s="1" t="s">
        <v>17</v>
      </c>
      <c r="K82" s="1" t="s">
        <v>127</v>
      </c>
      <c r="L82" s="1">
        <v>1325.239975</v>
      </c>
      <c r="M82" s="1">
        <v>779.88840000000005</v>
      </c>
      <c r="N82" s="2">
        <f t="shared" si="2"/>
        <v>0.41151156416029477</v>
      </c>
      <c r="O82" s="4">
        <v>20.54</v>
      </c>
      <c r="P82" s="5">
        <v>5.8540003374218941E-4</v>
      </c>
    </row>
    <row r="83" spans="1:16">
      <c r="A83" s="1" t="s">
        <v>101</v>
      </c>
      <c r="B83" s="1" t="s">
        <v>234</v>
      </c>
      <c r="C83" s="1">
        <v>16</v>
      </c>
      <c r="D83" s="1">
        <v>2</v>
      </c>
      <c r="E83" s="1" t="s">
        <v>17</v>
      </c>
      <c r="F83" s="1" t="s">
        <v>235</v>
      </c>
      <c r="G83" s="1">
        <v>4</v>
      </c>
      <c r="H83" s="1" t="s">
        <v>162</v>
      </c>
      <c r="I83" s="1" t="s">
        <v>163</v>
      </c>
      <c r="J83" s="1" t="s">
        <v>17</v>
      </c>
      <c r="K83" s="1" t="s">
        <v>132</v>
      </c>
      <c r="L83" s="1">
        <v>667.79998999999998</v>
      </c>
      <c r="M83" s="1">
        <v>657.12826800000005</v>
      </c>
      <c r="N83" s="2">
        <f t="shared" si="2"/>
        <v>1.5980416531602423E-2</v>
      </c>
      <c r="O83" s="4">
        <v>20.399999999999999</v>
      </c>
      <c r="P83" s="5">
        <v>4.5069999760016799E-4</v>
      </c>
    </row>
    <row r="84" spans="1:16">
      <c r="A84" s="1" t="s">
        <v>102</v>
      </c>
      <c r="B84" s="1" t="s">
        <v>236</v>
      </c>
      <c r="C84" s="1">
        <v>10</v>
      </c>
      <c r="D84" s="1">
        <v>0</v>
      </c>
      <c r="E84" s="1" t="s">
        <v>18</v>
      </c>
      <c r="F84" s="1" t="s">
        <v>126</v>
      </c>
      <c r="G84" s="1">
        <v>16</v>
      </c>
      <c r="H84" s="1" t="s">
        <v>19</v>
      </c>
      <c r="I84" s="1" t="s">
        <v>20</v>
      </c>
      <c r="J84" s="1" t="s">
        <v>17</v>
      </c>
      <c r="K84" s="1" t="s">
        <v>127</v>
      </c>
      <c r="L84" s="1">
        <v>3625.1599460000002</v>
      </c>
      <c r="M84" s="1">
        <v>3566.7622449999999</v>
      </c>
      <c r="N84" s="2">
        <f t="shared" si="2"/>
        <v>1.6108999842734201E-2</v>
      </c>
      <c r="O84" s="4">
        <v>22.72</v>
      </c>
      <c r="P84" s="5">
        <v>9.3599996762350202E-4</v>
      </c>
    </row>
    <row r="85" spans="1:16">
      <c r="A85" s="1" t="s">
        <v>103</v>
      </c>
      <c r="B85" s="1" t="s">
        <v>237</v>
      </c>
      <c r="C85" s="1">
        <v>12</v>
      </c>
      <c r="D85" s="1">
        <v>0</v>
      </c>
      <c r="E85" s="1" t="s">
        <v>18</v>
      </c>
      <c r="F85" s="1" t="s">
        <v>238</v>
      </c>
      <c r="G85" s="1">
        <v>8</v>
      </c>
      <c r="H85" s="1" t="s">
        <v>140</v>
      </c>
      <c r="I85" s="1" t="s">
        <v>141</v>
      </c>
      <c r="J85" s="1" t="s">
        <v>17</v>
      </c>
      <c r="K85" s="1" t="s">
        <v>132</v>
      </c>
      <c r="L85" s="1">
        <v>1057.839982</v>
      </c>
      <c r="M85" s="1">
        <v>1040.2352940000001</v>
      </c>
      <c r="N85" s="2">
        <f t="shared" si="2"/>
        <v>1.6642108730581046E-2</v>
      </c>
      <c r="O85" s="4">
        <v>20.25</v>
      </c>
      <c r="P85" s="5">
        <v>6.8589998409152031E-4</v>
      </c>
    </row>
    <row r="86" spans="1:16">
      <c r="A86" s="1" t="s">
        <v>104</v>
      </c>
      <c r="B86" s="1" t="s">
        <v>239</v>
      </c>
      <c r="C86" s="1">
        <v>8</v>
      </c>
      <c r="D86" s="1">
        <v>6</v>
      </c>
      <c r="E86" s="1" t="s">
        <v>18</v>
      </c>
      <c r="F86" s="1" t="s">
        <v>126</v>
      </c>
      <c r="G86" s="1">
        <v>2</v>
      </c>
      <c r="H86" s="1" t="s">
        <v>19</v>
      </c>
      <c r="I86" s="1" t="s">
        <v>20</v>
      </c>
      <c r="J86" s="1" t="s">
        <v>18</v>
      </c>
      <c r="K86" s="1" t="s">
        <v>127</v>
      </c>
      <c r="L86" s="1">
        <v>180.32000199999999</v>
      </c>
      <c r="M86" s="1">
        <v>95.780240000000006</v>
      </c>
      <c r="N86" s="2">
        <f t="shared" si="2"/>
        <v>0.46883186037231739</v>
      </c>
      <c r="O86" s="4">
        <v>19.420000000000002</v>
      </c>
      <c r="P86" s="5">
        <v>2.0700000459328291E-4</v>
      </c>
    </row>
    <row r="87" spans="1:16">
      <c r="A87" s="1" t="s">
        <v>105</v>
      </c>
      <c r="B87" s="1" t="s">
        <v>240</v>
      </c>
      <c r="C87" s="1">
        <v>16</v>
      </c>
      <c r="D87" s="1">
        <v>3</v>
      </c>
      <c r="E87" s="1" t="s">
        <v>17</v>
      </c>
      <c r="F87" s="1" t="s">
        <v>204</v>
      </c>
      <c r="G87" s="1">
        <v>7</v>
      </c>
      <c r="H87" s="1" t="s">
        <v>140</v>
      </c>
      <c r="I87" s="1" t="s">
        <v>141</v>
      </c>
      <c r="J87" s="1" t="s">
        <v>17</v>
      </c>
      <c r="K87" s="1" t="s">
        <v>132</v>
      </c>
      <c r="L87" s="1">
        <v>1990.799955</v>
      </c>
      <c r="M87" s="1">
        <v>1938.713733</v>
      </c>
      <c r="N87" s="2">
        <f t="shared" si="2"/>
        <v>2.6163463520873904E-2</v>
      </c>
      <c r="O87" s="4">
        <v>20.62</v>
      </c>
      <c r="P87" s="5">
        <v>6.3770002452656627E-4</v>
      </c>
    </row>
    <row r="88" spans="1:16">
      <c r="A88" s="1" t="s">
        <v>106</v>
      </c>
      <c r="B88" s="1" t="s">
        <v>190</v>
      </c>
      <c r="C88" s="1">
        <v>16</v>
      </c>
      <c r="D88" s="1">
        <v>6</v>
      </c>
      <c r="E88" s="1" t="s">
        <v>17</v>
      </c>
      <c r="F88" s="1" t="s">
        <v>134</v>
      </c>
      <c r="G88" s="1">
        <v>7</v>
      </c>
      <c r="H88" s="1" t="s">
        <v>19</v>
      </c>
      <c r="I88" s="1" t="s">
        <v>20</v>
      </c>
      <c r="J88" s="1" t="s">
        <v>17</v>
      </c>
      <c r="K88" s="1" t="s">
        <v>127</v>
      </c>
      <c r="L88" s="1">
        <v>1258.59998</v>
      </c>
      <c r="M88" s="1">
        <v>1198.3177470000001</v>
      </c>
      <c r="N88" s="2">
        <f t="shared" si="2"/>
        <v>4.7896260891407222E-2</v>
      </c>
      <c r="O88" s="4">
        <v>20.41</v>
      </c>
      <c r="P88" s="5">
        <v>6.6800002241507173E-4</v>
      </c>
    </row>
    <row r="89" spans="1:16">
      <c r="A89" s="1" t="s">
        <v>107</v>
      </c>
      <c r="B89" s="1" t="s">
        <v>241</v>
      </c>
      <c r="C89" s="1">
        <v>8</v>
      </c>
      <c r="D89" s="1">
        <v>4</v>
      </c>
      <c r="E89" s="1" t="s">
        <v>18</v>
      </c>
      <c r="F89" s="1" t="s">
        <v>161</v>
      </c>
      <c r="G89" s="1">
        <v>3</v>
      </c>
      <c r="H89" s="1" t="s">
        <v>162</v>
      </c>
      <c r="I89" s="1" t="s">
        <v>163</v>
      </c>
      <c r="J89" s="1" t="s">
        <v>18</v>
      </c>
      <c r="K89" s="1" t="s">
        <v>132</v>
      </c>
      <c r="L89" s="1">
        <v>257.60000300000002</v>
      </c>
      <c r="M89" s="1">
        <v>248.473277</v>
      </c>
      <c r="N89" s="2">
        <f t="shared" si="2"/>
        <v>3.5429836543907259E-2</v>
      </c>
      <c r="O89" s="4">
        <v>19.260000000000002</v>
      </c>
      <c r="P89" s="5">
        <v>3.9559998549520969E-4</v>
      </c>
    </row>
    <row r="90" spans="1:16">
      <c r="A90" s="1" t="s">
        <v>108</v>
      </c>
      <c r="B90" s="1" t="s">
        <v>242</v>
      </c>
      <c r="C90" s="1">
        <v>6</v>
      </c>
      <c r="D90" s="1">
        <v>2</v>
      </c>
      <c r="E90" s="1" t="s">
        <v>17</v>
      </c>
      <c r="F90" s="1" t="s">
        <v>134</v>
      </c>
      <c r="G90" s="1">
        <v>12</v>
      </c>
      <c r="H90" s="1" t="s">
        <v>19</v>
      </c>
      <c r="I90" s="1" t="s">
        <v>20</v>
      </c>
      <c r="J90" s="1" t="s">
        <v>18</v>
      </c>
      <c r="K90" s="1" t="s">
        <v>127</v>
      </c>
      <c r="L90" s="1">
        <v>1886.64</v>
      </c>
      <c r="M90" s="1">
        <v>1029.7040280000001</v>
      </c>
      <c r="N90" s="2">
        <f t="shared" si="2"/>
        <v>0.45421276555145651</v>
      </c>
      <c r="O90" s="4">
        <v>21.76</v>
      </c>
      <c r="P90" s="5">
        <v>7.809000089764595E-4</v>
      </c>
    </row>
    <row r="91" spans="1:16">
      <c r="A91" s="1" t="s">
        <v>109</v>
      </c>
      <c r="B91" s="1" t="s">
        <v>243</v>
      </c>
      <c r="C91" s="1">
        <v>16</v>
      </c>
      <c r="D91" s="1">
        <v>8</v>
      </c>
      <c r="E91" s="1" t="s">
        <v>18</v>
      </c>
      <c r="F91" s="1" t="s">
        <v>167</v>
      </c>
      <c r="G91" s="1">
        <v>5</v>
      </c>
      <c r="H91" s="1" t="s">
        <v>140</v>
      </c>
      <c r="I91" s="1" t="s">
        <v>141</v>
      </c>
      <c r="J91" s="1" t="s">
        <v>17</v>
      </c>
      <c r="K91" s="1" t="s">
        <v>132</v>
      </c>
      <c r="L91" s="1">
        <v>447.43999200000002</v>
      </c>
      <c r="M91" s="1">
        <v>447.89999799999998</v>
      </c>
      <c r="N91" s="2">
        <f t="shared" si="2"/>
        <v>1.028084230789912E-3</v>
      </c>
      <c r="O91" s="4">
        <v>20.55</v>
      </c>
      <c r="P91" s="5">
        <v>5.9439998585730791E-4</v>
      </c>
    </row>
    <row r="92" spans="1:16">
      <c r="A92" s="1" t="s">
        <v>110</v>
      </c>
      <c r="B92" s="1" t="s">
        <v>244</v>
      </c>
      <c r="C92" s="1">
        <v>16</v>
      </c>
      <c r="D92" s="1">
        <v>8</v>
      </c>
      <c r="E92" s="1" t="s">
        <v>18</v>
      </c>
      <c r="F92" s="1" t="s">
        <v>147</v>
      </c>
      <c r="G92" s="1">
        <v>3</v>
      </c>
      <c r="H92" s="1" t="s">
        <v>19</v>
      </c>
      <c r="I92" s="1" t="s">
        <v>20</v>
      </c>
      <c r="J92" s="1" t="s">
        <v>18</v>
      </c>
      <c r="K92" s="1" t="s">
        <v>127</v>
      </c>
      <c r="L92" s="1">
        <v>842.24000999999998</v>
      </c>
      <c r="M92" s="1">
        <v>810.39710700000001</v>
      </c>
      <c r="N92" s="2">
        <f t="shared" si="2"/>
        <v>3.7807397679908344E-2</v>
      </c>
      <c r="O92" s="4">
        <v>19.84</v>
      </c>
      <c r="P92" s="5">
        <v>4.3339998228475451E-4</v>
      </c>
    </row>
    <row r="93" spans="1:16">
      <c r="A93" s="1" t="s">
        <v>111</v>
      </c>
      <c r="B93" s="1" t="s">
        <v>245</v>
      </c>
      <c r="C93" s="1">
        <v>10</v>
      </c>
      <c r="D93" s="1">
        <v>0</v>
      </c>
      <c r="E93" s="1" t="s">
        <v>17</v>
      </c>
      <c r="F93" s="1" t="s">
        <v>134</v>
      </c>
      <c r="G93" s="1">
        <v>2</v>
      </c>
      <c r="H93" s="1" t="s">
        <v>19</v>
      </c>
      <c r="I93" s="1" t="s">
        <v>20</v>
      </c>
      <c r="J93" s="1" t="s">
        <v>18</v>
      </c>
      <c r="K93" s="1" t="s">
        <v>132</v>
      </c>
      <c r="L93" s="1">
        <v>288.680003</v>
      </c>
      <c r="M93" s="1">
        <v>280.43252799999999</v>
      </c>
      <c r="N93" s="2">
        <f t="shared" si="2"/>
        <v>2.8569609651833101E-2</v>
      </c>
      <c r="O93" s="4">
        <v>19.7</v>
      </c>
      <c r="P93" s="5">
        <v>2.1339999511837959E-4</v>
      </c>
    </row>
    <row r="94" spans="1:16">
      <c r="A94" s="1" t="s">
        <v>112</v>
      </c>
      <c r="B94" s="1" t="s">
        <v>246</v>
      </c>
      <c r="C94" s="1">
        <v>16</v>
      </c>
      <c r="D94" s="1">
        <v>6</v>
      </c>
      <c r="E94" s="1" t="s">
        <v>17</v>
      </c>
      <c r="F94" s="1" t="s">
        <v>143</v>
      </c>
      <c r="G94" s="1">
        <v>9</v>
      </c>
      <c r="H94" s="1" t="s">
        <v>19</v>
      </c>
      <c r="I94" s="1" t="s">
        <v>20</v>
      </c>
      <c r="J94" s="1" t="s">
        <v>18</v>
      </c>
      <c r="K94" s="1" t="s">
        <v>127</v>
      </c>
      <c r="L94" s="1">
        <v>1735.999994</v>
      </c>
      <c r="M94" s="1">
        <v>1751.211</v>
      </c>
      <c r="N94" s="2">
        <f t="shared" si="2"/>
        <v>8.7621002606985011E-3</v>
      </c>
      <c r="O94" s="4">
        <v>21.24</v>
      </c>
      <c r="P94" s="5">
        <v>8.6949998512864113E-4</v>
      </c>
    </row>
    <row r="95" spans="1:16">
      <c r="A95" s="1" t="s">
        <v>113</v>
      </c>
      <c r="B95" s="1" t="s">
        <v>247</v>
      </c>
      <c r="C95" s="1">
        <v>10</v>
      </c>
      <c r="D95" s="1">
        <v>3</v>
      </c>
      <c r="E95" s="1" t="s">
        <v>17</v>
      </c>
      <c r="F95" s="1" t="s">
        <v>154</v>
      </c>
      <c r="G95" s="1">
        <v>9</v>
      </c>
      <c r="H95" s="1" t="s">
        <v>130</v>
      </c>
      <c r="I95" s="1" t="s">
        <v>131</v>
      </c>
      <c r="J95" s="1" t="s">
        <v>17</v>
      </c>
      <c r="K95" s="1" t="s">
        <v>132</v>
      </c>
      <c r="L95" s="1">
        <v>965.15998300000001</v>
      </c>
      <c r="M95" s="1">
        <v>1019.867793</v>
      </c>
      <c r="N95" s="2">
        <f t="shared" si="2"/>
        <v>5.6682633929716078E-2</v>
      </c>
      <c r="O95" s="4">
        <v>20.68</v>
      </c>
      <c r="P95" s="5">
        <v>7.6019996777176857E-4</v>
      </c>
    </row>
    <row r="96" spans="1:16">
      <c r="A96" s="1" t="s">
        <v>114</v>
      </c>
      <c r="B96" s="1" t="s">
        <v>223</v>
      </c>
      <c r="C96" s="1">
        <v>9</v>
      </c>
      <c r="D96" s="1">
        <v>0</v>
      </c>
      <c r="E96" s="1" t="s">
        <v>17</v>
      </c>
      <c r="F96" s="1" t="s">
        <v>126</v>
      </c>
      <c r="G96" s="1">
        <v>3</v>
      </c>
      <c r="H96" s="1" t="s">
        <v>19</v>
      </c>
      <c r="I96" s="1" t="s">
        <v>20</v>
      </c>
      <c r="J96" s="1" t="s">
        <v>17</v>
      </c>
      <c r="K96" s="1" t="s">
        <v>127</v>
      </c>
      <c r="L96" s="1">
        <v>745.919984</v>
      </c>
      <c r="M96" s="1">
        <v>672.14649499999996</v>
      </c>
      <c r="N96" s="2">
        <f t="shared" si="2"/>
        <v>9.8902684714772357E-2</v>
      </c>
      <c r="O96" s="4">
        <v>20.99</v>
      </c>
      <c r="P96" s="5">
        <v>4.2190001113340259E-4</v>
      </c>
    </row>
    <row r="97" spans="1:16">
      <c r="A97" s="1" t="s">
        <v>115</v>
      </c>
      <c r="B97" s="1" t="s">
        <v>248</v>
      </c>
      <c r="C97" s="1">
        <v>9</v>
      </c>
      <c r="D97" s="1">
        <v>2</v>
      </c>
      <c r="E97" s="1" t="s">
        <v>17</v>
      </c>
      <c r="F97" s="1" t="s">
        <v>238</v>
      </c>
      <c r="G97" s="1">
        <v>5</v>
      </c>
      <c r="H97" s="1" t="s">
        <v>140</v>
      </c>
      <c r="I97" s="1" t="s">
        <v>141</v>
      </c>
      <c r="J97" s="1" t="s">
        <v>17</v>
      </c>
      <c r="K97" s="1" t="s">
        <v>132</v>
      </c>
      <c r="L97" s="1">
        <v>843.919984</v>
      </c>
      <c r="M97" s="1">
        <v>744.14212799999996</v>
      </c>
      <c r="N97" s="2">
        <f t="shared" si="2"/>
        <v>0.11823141754159484</v>
      </c>
      <c r="O97" s="4">
        <v>20.09</v>
      </c>
      <c r="P97" s="5">
        <v>5.7979999110102654E-4</v>
      </c>
    </row>
    <row r="98" spans="1:16">
      <c r="A98" s="1" t="s">
        <v>116</v>
      </c>
      <c r="B98" s="1" t="s">
        <v>249</v>
      </c>
      <c r="C98" s="1">
        <v>9</v>
      </c>
      <c r="D98" s="1">
        <v>4</v>
      </c>
      <c r="E98" s="1" t="s">
        <v>17</v>
      </c>
      <c r="F98" s="1" t="s">
        <v>134</v>
      </c>
      <c r="G98" s="1">
        <v>5</v>
      </c>
      <c r="H98" s="1" t="s">
        <v>19</v>
      </c>
      <c r="I98" s="1" t="s">
        <v>20</v>
      </c>
      <c r="J98" s="1" t="s">
        <v>18</v>
      </c>
      <c r="K98" s="1" t="s">
        <v>127</v>
      </c>
      <c r="L98" s="1">
        <v>1050.0000050000001</v>
      </c>
      <c r="M98" s="1">
        <v>856.80061899999998</v>
      </c>
      <c r="N98" s="2">
        <f t="shared" ref="N98:N129" si="3">ABS(M98-L98)/L98</f>
        <v>0.18399941436190764</v>
      </c>
      <c r="O98" s="4">
        <v>21.11</v>
      </c>
      <c r="P98" s="5">
        <v>5.9569999575614929E-4</v>
      </c>
    </row>
    <row r="99" spans="1:16">
      <c r="A99" s="1" t="s">
        <v>117</v>
      </c>
      <c r="B99" s="1" t="s">
        <v>250</v>
      </c>
      <c r="C99" s="1">
        <v>10</v>
      </c>
      <c r="D99" s="1">
        <v>3</v>
      </c>
      <c r="E99" s="1" t="s">
        <v>17</v>
      </c>
      <c r="F99" s="1" t="s">
        <v>199</v>
      </c>
      <c r="G99" s="1">
        <v>4</v>
      </c>
      <c r="H99" s="1" t="s">
        <v>162</v>
      </c>
      <c r="I99" s="1" t="s">
        <v>163</v>
      </c>
      <c r="J99" s="1" t="s">
        <v>17</v>
      </c>
      <c r="K99" s="1" t="s">
        <v>132</v>
      </c>
      <c r="L99" s="1">
        <v>343.83999799999998</v>
      </c>
      <c r="M99" s="1">
        <v>354.29698300000001</v>
      </c>
      <c r="N99" s="2">
        <f t="shared" si="3"/>
        <v>3.0412357668755084E-2</v>
      </c>
      <c r="O99" s="4">
        <v>19.809999999999999</v>
      </c>
      <c r="P99" s="5">
        <v>3.9629999082535511E-4</v>
      </c>
    </row>
    <row r="100" spans="1:16">
      <c r="A100" s="1" t="s">
        <v>118</v>
      </c>
      <c r="B100" s="1" t="s">
        <v>251</v>
      </c>
      <c r="C100" s="1">
        <v>9</v>
      </c>
      <c r="D100" s="1">
        <v>3</v>
      </c>
      <c r="E100" s="1" t="s">
        <v>18</v>
      </c>
      <c r="F100" s="1" t="s">
        <v>147</v>
      </c>
      <c r="G100" s="1">
        <v>7</v>
      </c>
      <c r="H100" s="1" t="s">
        <v>19</v>
      </c>
      <c r="I100" s="1" t="s">
        <v>20</v>
      </c>
      <c r="J100" s="1" t="s">
        <v>17</v>
      </c>
      <c r="K100" s="1" t="s">
        <v>127</v>
      </c>
      <c r="L100" s="1">
        <v>2011.239959</v>
      </c>
      <c r="M100" s="1">
        <v>1325.2130259999999</v>
      </c>
      <c r="N100" s="2">
        <f t="shared" si="3"/>
        <v>0.34109651110009598</v>
      </c>
      <c r="O100" s="4">
        <v>21.12</v>
      </c>
      <c r="P100" s="5">
        <v>6.1599997570738196E-4</v>
      </c>
    </row>
    <row r="101" spans="1:16">
      <c r="A101" s="1" t="s">
        <v>119</v>
      </c>
      <c r="B101" s="1" t="s">
        <v>252</v>
      </c>
      <c r="C101" s="1">
        <v>8</v>
      </c>
      <c r="D101" s="1">
        <v>4</v>
      </c>
      <c r="E101" s="1" t="s">
        <v>17</v>
      </c>
      <c r="F101" s="1" t="s">
        <v>154</v>
      </c>
      <c r="G101" s="1">
        <v>12</v>
      </c>
      <c r="H101" s="1" t="s">
        <v>130</v>
      </c>
      <c r="I101" s="1" t="s">
        <v>131</v>
      </c>
      <c r="J101" s="1" t="s">
        <v>17</v>
      </c>
      <c r="K101" s="1" t="s">
        <v>132</v>
      </c>
      <c r="L101" s="1">
        <v>2571.5199560000001</v>
      </c>
      <c r="M101" s="1">
        <v>1943.6793279999999</v>
      </c>
      <c r="N101" s="2">
        <f t="shared" si="3"/>
        <v>0.24415156745530625</v>
      </c>
      <c r="O101" s="4">
        <v>21.48</v>
      </c>
      <c r="P101" s="5">
        <v>7.8150001354515553E-4</v>
      </c>
    </row>
    <row r="102" spans="1:16">
      <c r="N102" s="6">
        <f>AVERAGE(N2:N101)</f>
        <v>0.14609237716640347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2"/>
  <sheetViews>
    <sheetView topLeftCell="D1" workbookViewId="0">
      <pane ySplit="1" topLeftCell="A66" activePane="bottomLeft" state="frozen"/>
      <selection pane="bottomLeft" activeCell="Q103" sqref="Q103"/>
    </sheetView>
  </sheetViews>
  <sheetFormatPr defaultRowHeight="14"/>
  <cols>
    <col min="1" max="1" width="6.6640625" customWidth="1"/>
    <col min="2" max="2" width="13.4140625" customWidth="1"/>
    <col min="3" max="3" width="14.1640625" customWidth="1"/>
    <col min="4" max="4" width="18.75" customWidth="1"/>
    <col min="5" max="5" width="13.4140625" customWidth="1"/>
    <col min="6" max="6" width="14.1640625" customWidth="1"/>
    <col min="7" max="7" width="18.75" customWidth="1"/>
    <col min="8" max="8" width="13.5" customWidth="1"/>
    <col min="9" max="9" width="14.25" customWidth="1"/>
    <col min="10" max="10" width="18.9140625" customWidth="1"/>
    <col min="11" max="11" width="6.75" customWidth="1"/>
    <col min="12" max="12" width="9.9140625" customWidth="1"/>
    <col min="13" max="13" width="9.75" customWidth="1"/>
    <col min="14" max="14" width="9.1640625" customWidth="1"/>
    <col min="15" max="15" width="15" customWidth="1"/>
    <col min="16" max="16" width="10.25" customWidth="1"/>
    <col min="17" max="17" width="6" customWidth="1"/>
    <col min="18" max="18" width="9.9140625" customWidth="1"/>
  </cols>
  <sheetData>
    <row r="1" spans="1:19">
      <c r="A1" s="3" t="s">
        <v>0</v>
      </c>
      <c r="B1" s="3" t="s">
        <v>253</v>
      </c>
      <c r="C1" s="3" t="s">
        <v>254</v>
      </c>
      <c r="D1" s="3" t="s">
        <v>255</v>
      </c>
      <c r="E1" s="3" t="s">
        <v>256</v>
      </c>
      <c r="F1" s="3" t="s">
        <v>257</v>
      </c>
      <c r="G1" s="3" t="s">
        <v>258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259</v>
      </c>
      <c r="Q1" s="3" t="s">
        <v>13</v>
      </c>
      <c r="R1" s="3" t="s">
        <v>14</v>
      </c>
      <c r="S1" s="3" t="s">
        <v>15</v>
      </c>
    </row>
    <row r="2" spans="1:19">
      <c r="A2" s="1" t="s">
        <v>16</v>
      </c>
      <c r="B2" s="1">
        <v>10</v>
      </c>
      <c r="C2" s="1">
        <v>1</v>
      </c>
      <c r="D2" s="1" t="s">
        <v>17</v>
      </c>
      <c r="E2" s="1">
        <v>6</v>
      </c>
      <c r="F2" s="1">
        <v>2</v>
      </c>
      <c r="G2" s="1" t="s">
        <v>17</v>
      </c>
      <c r="H2" s="1">
        <v>8</v>
      </c>
      <c r="I2" s="1">
        <v>3</v>
      </c>
      <c r="J2" s="1" t="s">
        <v>17</v>
      </c>
      <c r="K2" s="1">
        <v>1</v>
      </c>
      <c r="L2" s="1" t="s">
        <v>19</v>
      </c>
      <c r="M2" s="1" t="s">
        <v>20</v>
      </c>
      <c r="N2" s="1" t="s">
        <v>18</v>
      </c>
      <c r="O2" s="1">
        <v>216.720001</v>
      </c>
      <c r="P2" s="1">
        <v>225.11979600000001</v>
      </c>
      <c r="Q2" s="2">
        <f t="shared" ref="Q2:Q33" si="0">ABS(P2-O2)/O2</f>
        <v>3.8758743822634126E-2</v>
      </c>
      <c r="R2" s="4">
        <v>19.28</v>
      </c>
      <c r="S2" s="5">
        <v>1.032000291161239E-4</v>
      </c>
    </row>
    <row r="3" spans="1:19">
      <c r="A3" s="1" t="s">
        <v>21</v>
      </c>
      <c r="B3" s="1">
        <v>14</v>
      </c>
      <c r="C3" s="1">
        <v>3</v>
      </c>
      <c r="D3" s="1" t="s">
        <v>17</v>
      </c>
      <c r="E3" s="1">
        <v>6</v>
      </c>
      <c r="F3" s="1">
        <v>2</v>
      </c>
      <c r="G3" s="1" t="s">
        <v>18</v>
      </c>
      <c r="H3" s="1">
        <v>16</v>
      </c>
      <c r="I3" s="1">
        <v>4</v>
      </c>
      <c r="J3" s="1" t="s">
        <v>17</v>
      </c>
      <c r="K3" s="1">
        <v>1</v>
      </c>
      <c r="L3" s="1" t="s">
        <v>19</v>
      </c>
      <c r="M3" s="1" t="s">
        <v>20</v>
      </c>
      <c r="N3" s="1" t="s">
        <v>17</v>
      </c>
      <c r="O3" s="1">
        <v>452.47999199999998</v>
      </c>
      <c r="P3" s="1">
        <v>550.40170999999998</v>
      </c>
      <c r="Q3" s="2">
        <f t="shared" si="0"/>
        <v>0.2164111557003387</v>
      </c>
      <c r="R3" s="4">
        <v>19.38</v>
      </c>
      <c r="S3" s="5">
        <v>1.04400038253516E-4</v>
      </c>
    </row>
    <row r="4" spans="1:19">
      <c r="A4" s="1" t="s">
        <v>22</v>
      </c>
      <c r="B4" s="1">
        <v>12</v>
      </c>
      <c r="C4" s="1">
        <v>2</v>
      </c>
      <c r="D4" s="1" t="s">
        <v>17</v>
      </c>
      <c r="E4" s="1">
        <v>8</v>
      </c>
      <c r="F4" s="1">
        <v>1</v>
      </c>
      <c r="G4" s="1" t="s">
        <v>17</v>
      </c>
      <c r="H4" s="1">
        <v>9</v>
      </c>
      <c r="I4" s="1">
        <v>8</v>
      </c>
      <c r="J4" s="1" t="s">
        <v>17</v>
      </c>
      <c r="K4" s="1">
        <v>3</v>
      </c>
      <c r="L4" s="1" t="s">
        <v>19</v>
      </c>
      <c r="M4" s="1" t="s">
        <v>20</v>
      </c>
      <c r="N4" s="1" t="s">
        <v>18</v>
      </c>
      <c r="O4" s="1">
        <v>152.88000199999999</v>
      </c>
      <c r="P4" s="1">
        <v>162.9734</v>
      </c>
      <c r="Q4" s="2">
        <f t="shared" si="0"/>
        <v>6.602170243299714E-2</v>
      </c>
      <c r="R4" s="4">
        <v>19.149999999999999</v>
      </c>
      <c r="S4" s="5">
        <v>9.2299946118146181E-5</v>
      </c>
    </row>
    <row r="5" spans="1:19">
      <c r="A5" s="1" t="s">
        <v>23</v>
      </c>
      <c r="B5" s="1">
        <v>6</v>
      </c>
      <c r="C5" s="1">
        <v>4</v>
      </c>
      <c r="D5" s="1" t="s">
        <v>17</v>
      </c>
      <c r="E5" s="1">
        <v>9</v>
      </c>
      <c r="F5" s="1">
        <v>4</v>
      </c>
      <c r="G5" s="1" t="s">
        <v>18</v>
      </c>
      <c r="H5" s="1">
        <v>8</v>
      </c>
      <c r="I5" s="1">
        <v>4</v>
      </c>
      <c r="J5" s="1" t="s">
        <v>17</v>
      </c>
      <c r="K5" s="1">
        <v>6</v>
      </c>
      <c r="L5" s="1" t="s">
        <v>19</v>
      </c>
      <c r="M5" s="1" t="s">
        <v>20</v>
      </c>
      <c r="N5" s="1" t="s">
        <v>17</v>
      </c>
      <c r="O5" s="1">
        <v>846.15997900000002</v>
      </c>
      <c r="P5" s="1">
        <v>832.36590799999999</v>
      </c>
      <c r="Q5" s="2">
        <f t="shared" si="0"/>
        <v>1.6301965753925157E-2</v>
      </c>
      <c r="R5" s="4">
        <v>19.329999999999998</v>
      </c>
      <c r="S5" s="5">
        <v>9.5500028692185879E-5</v>
      </c>
    </row>
    <row r="6" spans="1:19">
      <c r="A6" s="1" t="s">
        <v>24</v>
      </c>
      <c r="B6" s="1">
        <v>9</v>
      </c>
      <c r="C6" s="1">
        <v>6</v>
      </c>
      <c r="D6" s="1" t="s">
        <v>18</v>
      </c>
      <c r="E6" s="1">
        <v>14</v>
      </c>
      <c r="F6" s="1">
        <v>1</v>
      </c>
      <c r="G6" s="1" t="s">
        <v>18</v>
      </c>
      <c r="H6" s="1">
        <v>10</v>
      </c>
      <c r="I6" s="1">
        <v>2</v>
      </c>
      <c r="J6" s="1" t="s">
        <v>18</v>
      </c>
      <c r="K6" s="1">
        <v>0</v>
      </c>
      <c r="L6" s="1" t="s">
        <v>19</v>
      </c>
      <c r="M6" s="1" t="s">
        <v>20</v>
      </c>
      <c r="N6" s="1" t="s">
        <v>17</v>
      </c>
      <c r="O6" s="1">
        <v>199.91999899999999</v>
      </c>
      <c r="P6" s="1">
        <v>185.419252</v>
      </c>
      <c r="Q6" s="2">
        <f t="shared" si="0"/>
        <v>7.2532748462048519E-2</v>
      </c>
      <c r="R6" s="4">
        <v>19.850000000000001</v>
      </c>
      <c r="S6" s="5">
        <v>1.0680005652830001E-4</v>
      </c>
    </row>
    <row r="7" spans="1:19">
      <c r="A7" s="1" t="s">
        <v>25</v>
      </c>
      <c r="B7" s="1">
        <v>12</v>
      </c>
      <c r="C7" s="1">
        <v>6</v>
      </c>
      <c r="D7" s="1" t="s">
        <v>17</v>
      </c>
      <c r="E7" s="1">
        <v>5</v>
      </c>
      <c r="F7" s="1">
        <v>3</v>
      </c>
      <c r="G7" s="1" t="s">
        <v>17</v>
      </c>
      <c r="H7" s="1">
        <v>12</v>
      </c>
      <c r="I7" s="1">
        <v>6</v>
      </c>
      <c r="J7" s="1" t="s">
        <v>17</v>
      </c>
      <c r="K7" s="1">
        <v>0</v>
      </c>
      <c r="L7" s="1" t="s">
        <v>19</v>
      </c>
      <c r="M7" s="1" t="s">
        <v>20</v>
      </c>
      <c r="N7" s="1" t="s">
        <v>17</v>
      </c>
      <c r="O7" s="1">
        <v>257.03999900000002</v>
      </c>
      <c r="P7" s="1">
        <v>250.58003299999999</v>
      </c>
      <c r="Q7" s="2">
        <f t="shared" si="0"/>
        <v>2.5132142954918221E-2</v>
      </c>
      <c r="R7" s="4">
        <v>19.8</v>
      </c>
      <c r="S7" s="5">
        <v>1.027000253088772E-4</v>
      </c>
    </row>
    <row r="8" spans="1:19">
      <c r="A8" s="1" t="s">
        <v>26</v>
      </c>
      <c r="B8" s="1">
        <v>8</v>
      </c>
      <c r="C8" s="1">
        <v>4</v>
      </c>
      <c r="D8" s="1" t="s">
        <v>18</v>
      </c>
      <c r="E8" s="1">
        <v>6</v>
      </c>
      <c r="F8" s="1">
        <v>3</v>
      </c>
      <c r="G8" s="1" t="s">
        <v>18</v>
      </c>
      <c r="H8" s="1">
        <v>8</v>
      </c>
      <c r="I8" s="1">
        <v>2</v>
      </c>
      <c r="J8" s="1" t="s">
        <v>18</v>
      </c>
      <c r="K8" s="1">
        <v>3</v>
      </c>
      <c r="L8" s="1" t="s">
        <v>19</v>
      </c>
      <c r="M8" s="1" t="s">
        <v>20</v>
      </c>
      <c r="N8" s="1" t="s">
        <v>17</v>
      </c>
      <c r="O8" s="1">
        <v>433.99999000000003</v>
      </c>
      <c r="P8" s="1">
        <v>429.53366899999997</v>
      </c>
      <c r="Q8" s="2">
        <f t="shared" si="0"/>
        <v>1.0291062449102937E-2</v>
      </c>
      <c r="R8" s="4">
        <v>19.62</v>
      </c>
      <c r="S8" s="5">
        <v>9.7799987997859716E-5</v>
      </c>
    </row>
    <row r="9" spans="1:19">
      <c r="A9" s="1" t="s">
        <v>27</v>
      </c>
      <c r="B9" s="1">
        <v>10</v>
      </c>
      <c r="C9" s="1">
        <v>3</v>
      </c>
      <c r="D9" s="1" t="s">
        <v>17</v>
      </c>
      <c r="E9" s="1">
        <v>5</v>
      </c>
      <c r="F9" s="1">
        <v>2</v>
      </c>
      <c r="G9" s="1" t="s">
        <v>18</v>
      </c>
      <c r="H9" s="1">
        <v>8</v>
      </c>
      <c r="I9" s="1">
        <v>1</v>
      </c>
      <c r="J9" s="1" t="s">
        <v>17</v>
      </c>
      <c r="K9" s="1">
        <v>6</v>
      </c>
      <c r="L9" s="1" t="s">
        <v>19</v>
      </c>
      <c r="M9" s="1" t="s">
        <v>20</v>
      </c>
      <c r="N9" s="1" t="s">
        <v>18</v>
      </c>
      <c r="O9" s="1">
        <v>723.52000999999996</v>
      </c>
      <c r="P9" s="1">
        <v>763.18395899999996</v>
      </c>
      <c r="Q9" s="2">
        <f t="shared" si="0"/>
        <v>5.4820804472290964E-2</v>
      </c>
      <c r="R9" s="4">
        <v>18.89</v>
      </c>
      <c r="S9" s="5">
        <v>9.7099982667714357E-5</v>
      </c>
    </row>
    <row r="10" spans="1:19">
      <c r="A10" s="1" t="s">
        <v>28</v>
      </c>
      <c r="B10" s="1">
        <v>12</v>
      </c>
      <c r="C10" s="1">
        <v>3</v>
      </c>
      <c r="D10" s="1" t="s">
        <v>18</v>
      </c>
      <c r="E10" s="1">
        <v>10</v>
      </c>
      <c r="F10" s="1">
        <v>4</v>
      </c>
      <c r="G10" s="1" t="s">
        <v>18</v>
      </c>
      <c r="H10" s="1">
        <v>6</v>
      </c>
      <c r="I10" s="1">
        <v>3</v>
      </c>
      <c r="J10" s="1" t="s">
        <v>18</v>
      </c>
      <c r="K10" s="1">
        <v>1</v>
      </c>
      <c r="L10" s="1" t="s">
        <v>19</v>
      </c>
      <c r="M10" s="1" t="s">
        <v>20</v>
      </c>
      <c r="N10" s="1" t="s">
        <v>18</v>
      </c>
      <c r="O10" s="1">
        <v>202.16000099999999</v>
      </c>
      <c r="P10" s="1">
        <v>206.33085500000001</v>
      </c>
      <c r="Q10" s="2">
        <f t="shared" si="0"/>
        <v>2.0631450234312277E-2</v>
      </c>
      <c r="R10" s="4">
        <v>20.03</v>
      </c>
      <c r="S10" s="5">
        <v>9.7599986474961042E-5</v>
      </c>
    </row>
    <row r="11" spans="1:19">
      <c r="A11" s="1" t="s">
        <v>29</v>
      </c>
      <c r="B11" s="1">
        <v>10</v>
      </c>
      <c r="C11" s="1">
        <v>8</v>
      </c>
      <c r="D11" s="1" t="s">
        <v>18</v>
      </c>
      <c r="E11" s="1">
        <v>9</v>
      </c>
      <c r="F11" s="1">
        <v>2</v>
      </c>
      <c r="G11" s="1" t="s">
        <v>17</v>
      </c>
      <c r="H11" s="1">
        <v>12</v>
      </c>
      <c r="I11" s="1">
        <v>0</v>
      </c>
      <c r="J11" s="1" t="s">
        <v>17</v>
      </c>
      <c r="K11" s="1">
        <v>2</v>
      </c>
      <c r="L11" s="1" t="s">
        <v>19</v>
      </c>
      <c r="M11" s="1" t="s">
        <v>20</v>
      </c>
      <c r="N11" s="1" t="s">
        <v>18</v>
      </c>
      <c r="O11" s="1">
        <v>446.32000499999998</v>
      </c>
      <c r="P11" s="1">
        <v>495.90283899999997</v>
      </c>
      <c r="Q11" s="2">
        <f t="shared" si="0"/>
        <v>0.11109256462748067</v>
      </c>
      <c r="R11" s="4">
        <v>19.48</v>
      </c>
      <c r="S11" s="5">
        <v>1.007000100798905E-4</v>
      </c>
    </row>
    <row r="12" spans="1:19">
      <c r="A12" s="1" t="s">
        <v>30</v>
      </c>
      <c r="B12" s="1">
        <v>8</v>
      </c>
      <c r="C12" s="1">
        <v>3</v>
      </c>
      <c r="D12" s="1" t="s">
        <v>17</v>
      </c>
      <c r="E12" s="1">
        <v>12</v>
      </c>
      <c r="F12" s="1">
        <v>4</v>
      </c>
      <c r="G12" s="1" t="s">
        <v>17</v>
      </c>
      <c r="H12" s="1">
        <v>6</v>
      </c>
      <c r="I12" s="1">
        <v>1</v>
      </c>
      <c r="J12" s="1" t="s">
        <v>17</v>
      </c>
      <c r="K12" s="1">
        <v>0</v>
      </c>
      <c r="L12" s="1" t="s">
        <v>19</v>
      </c>
      <c r="M12" s="1" t="s">
        <v>20</v>
      </c>
      <c r="N12" s="1" t="s">
        <v>17</v>
      </c>
      <c r="O12" s="1">
        <v>190.95999900000001</v>
      </c>
      <c r="P12" s="1">
        <v>175.11928</v>
      </c>
      <c r="Q12" s="2">
        <f t="shared" si="0"/>
        <v>8.2953074376587138E-2</v>
      </c>
      <c r="R12" s="4">
        <v>19.61</v>
      </c>
      <c r="S12" s="5">
        <v>9.5400027930736542E-5</v>
      </c>
    </row>
    <row r="13" spans="1:19">
      <c r="A13" s="1" t="s">
        <v>31</v>
      </c>
      <c r="B13" s="1">
        <v>10</v>
      </c>
      <c r="C13" s="1">
        <v>6</v>
      </c>
      <c r="D13" s="1" t="s">
        <v>18</v>
      </c>
      <c r="E13" s="1">
        <v>12</v>
      </c>
      <c r="F13" s="1">
        <v>1</v>
      </c>
      <c r="G13" s="1" t="s">
        <v>17</v>
      </c>
      <c r="H13" s="1">
        <v>12</v>
      </c>
      <c r="I13" s="1">
        <v>6</v>
      </c>
      <c r="J13" s="1" t="s">
        <v>17</v>
      </c>
      <c r="K13" s="1">
        <v>2</v>
      </c>
      <c r="L13" s="1" t="s">
        <v>19</v>
      </c>
      <c r="M13" s="1" t="s">
        <v>20</v>
      </c>
      <c r="N13" s="1" t="s">
        <v>17</v>
      </c>
      <c r="O13" s="1">
        <v>508.47998899999999</v>
      </c>
      <c r="P13" s="1">
        <v>501.92937899999998</v>
      </c>
      <c r="Q13" s="2">
        <f t="shared" si="0"/>
        <v>1.2882729196251627E-2</v>
      </c>
      <c r="R13" s="4">
        <v>19.559999999999999</v>
      </c>
      <c r="S13" s="5">
        <v>1.011000131256878E-4</v>
      </c>
    </row>
    <row r="14" spans="1:19">
      <c r="A14" s="1" t="s">
        <v>32</v>
      </c>
      <c r="B14" s="1">
        <v>8</v>
      </c>
      <c r="C14" s="1">
        <v>1</v>
      </c>
      <c r="D14" s="1" t="s">
        <v>17</v>
      </c>
      <c r="E14" s="1">
        <v>10</v>
      </c>
      <c r="F14" s="1">
        <v>4</v>
      </c>
      <c r="G14" s="1" t="s">
        <v>18</v>
      </c>
      <c r="H14" s="1">
        <v>6</v>
      </c>
      <c r="I14" s="1">
        <v>2</v>
      </c>
      <c r="J14" s="1" t="s">
        <v>17</v>
      </c>
      <c r="K14" s="1">
        <v>3</v>
      </c>
      <c r="L14" s="1" t="s">
        <v>19</v>
      </c>
      <c r="M14" s="1" t="s">
        <v>20</v>
      </c>
      <c r="N14" s="1" t="s">
        <v>17</v>
      </c>
      <c r="O14" s="1">
        <v>375.75999200000001</v>
      </c>
      <c r="P14" s="1">
        <v>355.52552800000001</v>
      </c>
      <c r="Q14" s="2">
        <f t="shared" si="0"/>
        <v>5.3849436956556043E-2</v>
      </c>
      <c r="R14" s="4">
        <v>19.510000000000002</v>
      </c>
      <c r="S14" s="5">
        <v>9.3600014224648476E-5</v>
      </c>
    </row>
    <row r="15" spans="1:19">
      <c r="A15" s="1" t="s">
        <v>33</v>
      </c>
      <c r="B15" s="1">
        <v>6</v>
      </c>
      <c r="C15" s="1">
        <v>1</v>
      </c>
      <c r="D15" s="1" t="s">
        <v>17</v>
      </c>
      <c r="E15" s="1">
        <v>14</v>
      </c>
      <c r="F15" s="1">
        <v>2</v>
      </c>
      <c r="G15" s="1" t="s">
        <v>17</v>
      </c>
      <c r="H15" s="1">
        <v>5</v>
      </c>
      <c r="I15" s="1">
        <v>4</v>
      </c>
      <c r="J15" s="1" t="s">
        <v>17</v>
      </c>
      <c r="K15" s="1">
        <v>6</v>
      </c>
      <c r="L15" s="1" t="s">
        <v>19</v>
      </c>
      <c r="M15" s="1" t="s">
        <v>20</v>
      </c>
      <c r="N15" s="1" t="s">
        <v>17</v>
      </c>
      <c r="O15" s="1">
        <v>284.47999199999998</v>
      </c>
      <c r="P15" s="1">
        <v>285.22643199999999</v>
      </c>
      <c r="Q15" s="2">
        <f t="shared" si="0"/>
        <v>2.6238752143947154E-3</v>
      </c>
      <c r="R15" s="4">
        <v>19.73</v>
      </c>
      <c r="S15" s="5">
        <v>9.0699992142617702E-5</v>
      </c>
    </row>
    <row r="16" spans="1:19">
      <c r="A16" s="1" t="s">
        <v>34</v>
      </c>
      <c r="B16" s="1">
        <v>9</v>
      </c>
      <c r="C16" s="1">
        <v>3</v>
      </c>
      <c r="D16" s="1" t="s">
        <v>17</v>
      </c>
      <c r="E16" s="1">
        <v>14</v>
      </c>
      <c r="F16" s="1">
        <v>2</v>
      </c>
      <c r="G16" s="1" t="s">
        <v>18</v>
      </c>
      <c r="H16" s="1">
        <v>5</v>
      </c>
      <c r="I16" s="1">
        <v>1</v>
      </c>
      <c r="J16" s="1" t="s">
        <v>17</v>
      </c>
      <c r="K16" s="1">
        <v>0</v>
      </c>
      <c r="L16" s="1" t="s">
        <v>19</v>
      </c>
      <c r="M16" s="1" t="s">
        <v>20</v>
      </c>
      <c r="N16" s="1" t="s">
        <v>17</v>
      </c>
      <c r="O16" s="1">
        <v>134.95999900000001</v>
      </c>
      <c r="P16" s="1">
        <v>132.69137900000001</v>
      </c>
      <c r="Q16" s="2">
        <f t="shared" si="0"/>
        <v>1.6809573331428362E-2</v>
      </c>
      <c r="R16" s="4">
        <v>19.84</v>
      </c>
      <c r="S16" s="5">
        <v>9.9299999419599771E-5</v>
      </c>
    </row>
    <row r="17" spans="1:19">
      <c r="A17" s="1" t="s">
        <v>35</v>
      </c>
      <c r="B17" s="1">
        <v>9</v>
      </c>
      <c r="C17" s="1">
        <v>1</v>
      </c>
      <c r="D17" s="1" t="s">
        <v>17</v>
      </c>
      <c r="E17" s="1">
        <v>14</v>
      </c>
      <c r="F17" s="1">
        <v>6</v>
      </c>
      <c r="G17" s="1" t="s">
        <v>17</v>
      </c>
      <c r="H17" s="1">
        <v>6</v>
      </c>
      <c r="I17" s="1">
        <v>4</v>
      </c>
      <c r="J17" s="1" t="s">
        <v>17</v>
      </c>
      <c r="K17" s="1">
        <v>4</v>
      </c>
      <c r="L17" s="1" t="s">
        <v>19</v>
      </c>
      <c r="M17" s="1" t="s">
        <v>20</v>
      </c>
      <c r="N17" s="1" t="s">
        <v>17</v>
      </c>
      <c r="O17" s="1">
        <v>398.71999</v>
      </c>
      <c r="P17" s="1">
        <v>391.83487400000001</v>
      </c>
      <c r="Q17" s="2">
        <f t="shared" si="0"/>
        <v>1.7268048185896029E-2</v>
      </c>
      <c r="R17" s="4">
        <v>19.3</v>
      </c>
      <c r="S17" s="5">
        <v>9.5500028692185879E-5</v>
      </c>
    </row>
    <row r="18" spans="1:19">
      <c r="A18" s="1" t="s">
        <v>36</v>
      </c>
      <c r="B18" s="1">
        <v>6</v>
      </c>
      <c r="C18" s="1">
        <v>3</v>
      </c>
      <c r="D18" s="1" t="s">
        <v>18</v>
      </c>
      <c r="E18" s="1">
        <v>10</v>
      </c>
      <c r="F18" s="1">
        <v>6</v>
      </c>
      <c r="G18" s="1" t="s">
        <v>17</v>
      </c>
      <c r="H18" s="1">
        <v>8</v>
      </c>
      <c r="I18" s="1">
        <v>0</v>
      </c>
      <c r="J18" s="1" t="s">
        <v>17</v>
      </c>
      <c r="K18" s="1">
        <v>3</v>
      </c>
      <c r="L18" s="1" t="s">
        <v>19</v>
      </c>
      <c r="M18" s="1" t="s">
        <v>20</v>
      </c>
      <c r="N18" s="1" t="s">
        <v>17</v>
      </c>
      <c r="O18" s="1">
        <v>455.839989</v>
      </c>
      <c r="P18" s="1">
        <v>473.35893299999998</v>
      </c>
      <c r="Q18" s="2">
        <f t="shared" si="0"/>
        <v>3.8432222759640283E-2</v>
      </c>
      <c r="R18" s="4">
        <v>19.559999999999999</v>
      </c>
      <c r="S18" s="5">
        <v>9.5099967438727617E-5</v>
      </c>
    </row>
    <row r="19" spans="1:19">
      <c r="A19" s="1" t="s">
        <v>37</v>
      </c>
      <c r="B19" s="1">
        <v>12</v>
      </c>
      <c r="C19" s="1">
        <v>1</v>
      </c>
      <c r="D19" s="1" t="s">
        <v>18</v>
      </c>
      <c r="E19" s="1">
        <v>12</v>
      </c>
      <c r="F19" s="1">
        <v>1</v>
      </c>
      <c r="G19" s="1" t="s">
        <v>17</v>
      </c>
      <c r="H19" s="1">
        <v>10</v>
      </c>
      <c r="I19" s="1">
        <v>8</v>
      </c>
      <c r="J19" s="1" t="s">
        <v>17</v>
      </c>
      <c r="K19" s="1">
        <v>0</v>
      </c>
      <c r="L19" s="1" t="s">
        <v>19</v>
      </c>
      <c r="M19" s="1" t="s">
        <v>20</v>
      </c>
      <c r="N19" s="1" t="s">
        <v>18</v>
      </c>
      <c r="O19" s="1">
        <v>75.039998999999995</v>
      </c>
      <c r="P19" s="1">
        <v>89.475469000000004</v>
      </c>
      <c r="Q19" s="2">
        <f t="shared" si="0"/>
        <v>0.19237033838446627</v>
      </c>
      <c r="R19" s="4">
        <v>19.440000000000001</v>
      </c>
      <c r="S19" s="5">
        <v>9.1499998234212399E-5</v>
      </c>
    </row>
    <row r="20" spans="1:19">
      <c r="A20" s="1" t="s">
        <v>38</v>
      </c>
      <c r="B20" s="1">
        <v>12</v>
      </c>
      <c r="C20" s="1">
        <v>2</v>
      </c>
      <c r="D20" s="1" t="s">
        <v>18</v>
      </c>
      <c r="E20" s="1">
        <v>5</v>
      </c>
      <c r="F20" s="1">
        <v>1</v>
      </c>
      <c r="G20" s="1" t="s">
        <v>18</v>
      </c>
      <c r="H20" s="1">
        <v>12</v>
      </c>
      <c r="I20" s="1">
        <v>6</v>
      </c>
      <c r="J20" s="1" t="s">
        <v>18</v>
      </c>
      <c r="K20" s="1">
        <v>6</v>
      </c>
      <c r="L20" s="1" t="s">
        <v>19</v>
      </c>
      <c r="M20" s="1" t="s">
        <v>20</v>
      </c>
      <c r="N20" s="1" t="s">
        <v>17</v>
      </c>
      <c r="O20" s="1">
        <v>819.83997899999997</v>
      </c>
      <c r="P20" s="1">
        <v>802.61299599999995</v>
      </c>
      <c r="Q20" s="2">
        <f t="shared" si="0"/>
        <v>2.1012616414501566E-2</v>
      </c>
      <c r="R20" s="4">
        <v>19.88</v>
      </c>
      <c r="S20" s="5">
        <v>9.3300011940300465E-5</v>
      </c>
    </row>
    <row r="21" spans="1:19">
      <c r="A21" s="1" t="s">
        <v>39</v>
      </c>
      <c r="B21" s="1">
        <v>14</v>
      </c>
      <c r="C21" s="1">
        <v>3</v>
      </c>
      <c r="D21" s="1" t="s">
        <v>18</v>
      </c>
      <c r="E21" s="1">
        <v>14</v>
      </c>
      <c r="F21" s="1">
        <v>1</v>
      </c>
      <c r="G21" s="1" t="s">
        <v>17</v>
      </c>
      <c r="H21" s="1">
        <v>6</v>
      </c>
      <c r="I21" s="1">
        <v>0</v>
      </c>
      <c r="J21" s="1" t="s">
        <v>17</v>
      </c>
      <c r="K21" s="1">
        <v>4</v>
      </c>
      <c r="L21" s="1" t="s">
        <v>19</v>
      </c>
      <c r="M21" s="1" t="s">
        <v>20</v>
      </c>
      <c r="N21" s="1" t="s">
        <v>18</v>
      </c>
      <c r="O21" s="1">
        <v>464.240005</v>
      </c>
      <c r="P21" s="1">
        <v>429.468906</v>
      </c>
      <c r="Q21" s="2">
        <f t="shared" si="0"/>
        <v>7.4898971707533027E-2</v>
      </c>
      <c r="R21" s="4">
        <v>19.47</v>
      </c>
      <c r="S21" s="5">
        <v>9.4100018031895161E-5</v>
      </c>
    </row>
    <row r="22" spans="1:19">
      <c r="A22" s="1" t="s">
        <v>40</v>
      </c>
      <c r="B22" s="1">
        <v>16</v>
      </c>
      <c r="C22" s="1">
        <v>4</v>
      </c>
      <c r="D22" s="1" t="s">
        <v>18</v>
      </c>
      <c r="E22" s="1">
        <v>6</v>
      </c>
      <c r="F22" s="1">
        <v>3</v>
      </c>
      <c r="G22" s="1" t="s">
        <v>17</v>
      </c>
      <c r="H22" s="1">
        <v>10</v>
      </c>
      <c r="I22" s="1">
        <v>4</v>
      </c>
      <c r="J22" s="1" t="s">
        <v>17</v>
      </c>
      <c r="K22" s="1">
        <v>3</v>
      </c>
      <c r="L22" s="1" t="s">
        <v>19</v>
      </c>
      <c r="M22" s="1" t="s">
        <v>20</v>
      </c>
      <c r="N22" s="1" t="s">
        <v>17</v>
      </c>
      <c r="O22" s="1">
        <v>649.039986</v>
      </c>
      <c r="P22" s="1">
        <v>619.75563399999999</v>
      </c>
      <c r="Q22" s="2">
        <f t="shared" si="0"/>
        <v>4.511948821593869E-2</v>
      </c>
      <c r="R22" s="4">
        <v>19.84</v>
      </c>
      <c r="S22" s="5">
        <v>9.7299984190613031E-5</v>
      </c>
    </row>
    <row r="23" spans="1:19">
      <c r="A23" s="1" t="s">
        <v>41</v>
      </c>
      <c r="B23" s="1">
        <v>8</v>
      </c>
      <c r="C23" s="1">
        <v>3</v>
      </c>
      <c r="D23" s="1" t="s">
        <v>18</v>
      </c>
      <c r="E23" s="1">
        <v>9</v>
      </c>
      <c r="F23" s="1">
        <v>3</v>
      </c>
      <c r="G23" s="1" t="s">
        <v>18</v>
      </c>
      <c r="H23" s="1">
        <v>10</v>
      </c>
      <c r="I23" s="1">
        <v>6</v>
      </c>
      <c r="J23" s="1" t="s">
        <v>18</v>
      </c>
      <c r="K23" s="1">
        <v>4</v>
      </c>
      <c r="L23" s="1" t="s">
        <v>19</v>
      </c>
      <c r="M23" s="1" t="s">
        <v>20</v>
      </c>
      <c r="N23" s="1" t="s">
        <v>18</v>
      </c>
      <c r="O23" s="1">
        <v>497.28000500000002</v>
      </c>
      <c r="P23" s="1">
        <v>501.15860800000002</v>
      </c>
      <c r="Q23" s="2">
        <f t="shared" si="0"/>
        <v>7.7996359415255356E-3</v>
      </c>
      <c r="R23" s="4">
        <v>19.73</v>
      </c>
      <c r="S23" s="5">
        <v>9.3300011940300465E-5</v>
      </c>
    </row>
    <row r="24" spans="1:19">
      <c r="A24" s="1" t="s">
        <v>42</v>
      </c>
      <c r="B24" s="1">
        <v>9</v>
      </c>
      <c r="C24" s="1">
        <v>4</v>
      </c>
      <c r="D24" s="1" t="s">
        <v>18</v>
      </c>
      <c r="E24" s="1">
        <v>14</v>
      </c>
      <c r="F24" s="1">
        <v>6</v>
      </c>
      <c r="G24" s="1" t="s">
        <v>18</v>
      </c>
      <c r="H24" s="1">
        <v>6</v>
      </c>
      <c r="I24" s="1">
        <v>4</v>
      </c>
      <c r="J24" s="1" t="s">
        <v>18</v>
      </c>
      <c r="K24" s="1">
        <v>4</v>
      </c>
      <c r="L24" s="1" t="s">
        <v>19</v>
      </c>
      <c r="M24" s="1" t="s">
        <v>20</v>
      </c>
      <c r="N24" s="1" t="s">
        <v>17</v>
      </c>
      <c r="O24" s="1">
        <v>456.39998900000001</v>
      </c>
      <c r="P24" s="1">
        <v>458.33085499999999</v>
      </c>
      <c r="Q24" s="2">
        <f t="shared" si="0"/>
        <v>4.2306442737446697E-3</v>
      </c>
      <c r="R24" s="4">
        <v>19.68</v>
      </c>
      <c r="S24" s="5">
        <v>9.6299976576119661E-5</v>
      </c>
    </row>
    <row r="25" spans="1:19">
      <c r="A25" s="1" t="s">
        <v>43</v>
      </c>
      <c r="B25" s="1">
        <v>16</v>
      </c>
      <c r="C25" s="1">
        <v>2</v>
      </c>
      <c r="D25" s="1" t="s">
        <v>17</v>
      </c>
      <c r="E25" s="1">
        <v>8</v>
      </c>
      <c r="F25" s="1">
        <v>6</v>
      </c>
      <c r="G25" s="1" t="s">
        <v>17</v>
      </c>
      <c r="H25" s="1">
        <v>12</v>
      </c>
      <c r="I25" s="1">
        <v>0</v>
      </c>
      <c r="J25" s="1" t="s">
        <v>17</v>
      </c>
      <c r="K25" s="1">
        <v>0</v>
      </c>
      <c r="L25" s="1" t="s">
        <v>19</v>
      </c>
      <c r="M25" s="1" t="s">
        <v>20</v>
      </c>
      <c r="N25" s="1" t="s">
        <v>18</v>
      </c>
      <c r="O25" s="1">
        <v>354.47999900000002</v>
      </c>
      <c r="P25" s="1">
        <v>342.98443900000001</v>
      </c>
      <c r="Q25" s="2">
        <f t="shared" si="0"/>
        <v>3.2429361409471259E-2</v>
      </c>
      <c r="R25" s="4">
        <v>19.96</v>
      </c>
      <c r="S25" s="5">
        <v>1.033999724313617E-4</v>
      </c>
    </row>
    <row r="26" spans="1:19">
      <c r="A26" s="1" t="s">
        <v>44</v>
      </c>
      <c r="B26" s="1">
        <v>16</v>
      </c>
      <c r="C26" s="1">
        <v>4</v>
      </c>
      <c r="D26" s="1" t="s">
        <v>17</v>
      </c>
      <c r="E26" s="1">
        <v>8</v>
      </c>
      <c r="F26" s="1">
        <v>6</v>
      </c>
      <c r="G26" s="1" t="s">
        <v>18</v>
      </c>
      <c r="H26" s="1">
        <v>9</v>
      </c>
      <c r="I26" s="1">
        <v>1</v>
      </c>
      <c r="J26" s="1" t="s">
        <v>17</v>
      </c>
      <c r="K26" s="1">
        <v>1</v>
      </c>
      <c r="L26" s="1" t="s">
        <v>19</v>
      </c>
      <c r="M26" s="1" t="s">
        <v>20</v>
      </c>
      <c r="N26" s="1" t="s">
        <v>18</v>
      </c>
      <c r="O26" s="1">
        <v>299.04000100000002</v>
      </c>
      <c r="P26" s="1">
        <v>359.18223399999999</v>
      </c>
      <c r="Q26" s="2">
        <f t="shared" si="0"/>
        <v>0.20111768592456625</v>
      </c>
      <c r="R26" s="4">
        <v>19.3</v>
      </c>
      <c r="S26" s="5">
        <v>1.010000123642385E-4</v>
      </c>
    </row>
    <row r="27" spans="1:19">
      <c r="A27" s="1" t="s">
        <v>45</v>
      </c>
      <c r="B27" s="1">
        <v>10</v>
      </c>
      <c r="C27" s="1">
        <v>8</v>
      </c>
      <c r="D27" s="1" t="s">
        <v>17</v>
      </c>
      <c r="E27" s="1">
        <v>12</v>
      </c>
      <c r="F27" s="1">
        <v>2</v>
      </c>
      <c r="G27" s="1" t="s">
        <v>18</v>
      </c>
      <c r="H27" s="1">
        <v>16</v>
      </c>
      <c r="I27" s="1">
        <v>2</v>
      </c>
      <c r="J27" s="1" t="s">
        <v>17</v>
      </c>
      <c r="K27" s="1">
        <v>3</v>
      </c>
      <c r="L27" s="1" t="s">
        <v>19</v>
      </c>
      <c r="M27" s="1" t="s">
        <v>20</v>
      </c>
      <c r="N27" s="1" t="s">
        <v>18</v>
      </c>
      <c r="O27" s="1">
        <v>889.28000899999995</v>
      </c>
      <c r="P27" s="1">
        <v>880.82034599999997</v>
      </c>
      <c r="Q27" s="2">
        <f t="shared" si="0"/>
        <v>9.5129350872431209E-3</v>
      </c>
      <c r="R27" s="4">
        <v>20.02</v>
      </c>
      <c r="S27" s="5">
        <v>1.023000222630799E-4</v>
      </c>
    </row>
    <row r="28" spans="1:19">
      <c r="A28" s="1" t="s">
        <v>46</v>
      </c>
      <c r="B28" s="1">
        <v>16</v>
      </c>
      <c r="C28" s="1">
        <v>6</v>
      </c>
      <c r="D28" s="1" t="s">
        <v>18</v>
      </c>
      <c r="E28" s="1">
        <v>10</v>
      </c>
      <c r="F28" s="1">
        <v>3</v>
      </c>
      <c r="G28" s="1" t="s">
        <v>17</v>
      </c>
      <c r="H28" s="1">
        <v>9</v>
      </c>
      <c r="I28" s="1">
        <v>0</v>
      </c>
      <c r="J28" s="1" t="s">
        <v>17</v>
      </c>
      <c r="K28" s="1">
        <v>2</v>
      </c>
      <c r="L28" s="1" t="s">
        <v>19</v>
      </c>
      <c r="M28" s="1" t="s">
        <v>20</v>
      </c>
      <c r="N28" s="1" t="s">
        <v>18</v>
      </c>
      <c r="O28" s="1">
        <v>469.84000300000002</v>
      </c>
      <c r="P28" s="1">
        <v>465.02223400000003</v>
      </c>
      <c r="Q28" s="2">
        <f t="shared" si="0"/>
        <v>1.0254063019831876E-2</v>
      </c>
      <c r="R28" s="4">
        <v>19.11</v>
      </c>
      <c r="S28" s="5">
        <v>1.008000108413398E-4</v>
      </c>
    </row>
    <row r="29" spans="1:19">
      <c r="A29" s="1" t="s">
        <v>47</v>
      </c>
      <c r="B29" s="1">
        <v>6</v>
      </c>
      <c r="C29" s="1">
        <v>2</v>
      </c>
      <c r="D29" s="1" t="s">
        <v>18</v>
      </c>
      <c r="E29" s="1">
        <v>8</v>
      </c>
      <c r="F29" s="1">
        <v>3</v>
      </c>
      <c r="G29" s="1" t="s">
        <v>17</v>
      </c>
      <c r="H29" s="1">
        <v>9</v>
      </c>
      <c r="I29" s="1">
        <v>0</v>
      </c>
      <c r="J29" s="1" t="s">
        <v>17</v>
      </c>
      <c r="K29" s="1">
        <v>1</v>
      </c>
      <c r="L29" s="1" t="s">
        <v>19</v>
      </c>
      <c r="M29" s="1" t="s">
        <v>20</v>
      </c>
      <c r="N29" s="1" t="s">
        <v>18</v>
      </c>
      <c r="O29" s="1">
        <v>252.560001</v>
      </c>
      <c r="P29" s="1">
        <v>267.926085</v>
      </c>
      <c r="Q29" s="2">
        <f t="shared" si="0"/>
        <v>6.0841320633349225E-2</v>
      </c>
      <c r="R29" s="4">
        <v>19.2</v>
      </c>
      <c r="S29" s="5">
        <v>9.2600006610155106E-5</v>
      </c>
    </row>
    <row r="30" spans="1:19">
      <c r="A30" s="1" t="s">
        <v>48</v>
      </c>
      <c r="B30" s="1">
        <v>9</v>
      </c>
      <c r="C30" s="1">
        <v>3</v>
      </c>
      <c r="D30" s="1" t="s">
        <v>18</v>
      </c>
      <c r="E30" s="1">
        <v>14</v>
      </c>
      <c r="F30" s="1">
        <v>0</v>
      </c>
      <c r="G30" s="1" t="s">
        <v>17</v>
      </c>
      <c r="H30" s="1">
        <v>5</v>
      </c>
      <c r="I30" s="1">
        <v>2</v>
      </c>
      <c r="J30" s="1" t="s">
        <v>17</v>
      </c>
      <c r="K30" s="1">
        <v>1</v>
      </c>
      <c r="L30" s="1" t="s">
        <v>19</v>
      </c>
      <c r="M30" s="1" t="s">
        <v>20</v>
      </c>
      <c r="N30" s="1" t="s">
        <v>17</v>
      </c>
      <c r="O30" s="1">
        <v>136.63999699999999</v>
      </c>
      <c r="P30" s="1">
        <v>132.90267399999999</v>
      </c>
      <c r="Q30" s="2">
        <f t="shared" si="0"/>
        <v>2.7351603352274691E-2</v>
      </c>
      <c r="R30" s="4">
        <v>19.329999999999998</v>
      </c>
      <c r="S30" s="5">
        <v>9.280000813305378E-5</v>
      </c>
    </row>
    <row r="31" spans="1:19">
      <c r="A31" s="1" t="s">
        <v>49</v>
      </c>
      <c r="B31" s="1">
        <v>14</v>
      </c>
      <c r="C31" s="1">
        <v>2</v>
      </c>
      <c r="D31" s="1" t="s">
        <v>17</v>
      </c>
      <c r="E31" s="1">
        <v>6</v>
      </c>
      <c r="F31" s="1">
        <v>1</v>
      </c>
      <c r="G31" s="1" t="s">
        <v>18</v>
      </c>
      <c r="H31" s="1">
        <v>8</v>
      </c>
      <c r="I31" s="1">
        <v>2</v>
      </c>
      <c r="J31" s="1" t="s">
        <v>17</v>
      </c>
      <c r="K31" s="1">
        <v>4</v>
      </c>
      <c r="L31" s="1" t="s">
        <v>19</v>
      </c>
      <c r="M31" s="1" t="s">
        <v>20</v>
      </c>
      <c r="N31" s="1" t="s">
        <v>17</v>
      </c>
      <c r="O31" s="1">
        <v>600.87998600000003</v>
      </c>
      <c r="P31" s="1">
        <v>595.16058099999998</v>
      </c>
      <c r="Q31" s="2">
        <f t="shared" si="0"/>
        <v>9.5183815957552154E-3</v>
      </c>
      <c r="R31" s="4">
        <v>19.79</v>
      </c>
      <c r="S31" s="5">
        <v>9.3600014224648476E-5</v>
      </c>
    </row>
    <row r="32" spans="1:19">
      <c r="A32" s="1" t="s">
        <v>50</v>
      </c>
      <c r="B32" s="1">
        <v>12</v>
      </c>
      <c r="C32" s="1">
        <v>6</v>
      </c>
      <c r="D32" s="1" t="s">
        <v>18</v>
      </c>
      <c r="E32" s="1">
        <v>14</v>
      </c>
      <c r="F32" s="1">
        <v>0</v>
      </c>
      <c r="G32" s="1" t="s">
        <v>17</v>
      </c>
      <c r="H32" s="1">
        <v>10</v>
      </c>
      <c r="I32" s="1">
        <v>0</v>
      </c>
      <c r="J32" s="1" t="s">
        <v>17</v>
      </c>
      <c r="K32" s="1">
        <v>2</v>
      </c>
      <c r="L32" s="1" t="s">
        <v>19</v>
      </c>
      <c r="M32" s="1" t="s">
        <v>20</v>
      </c>
      <c r="N32" s="1" t="s">
        <v>17</v>
      </c>
      <c r="O32" s="1">
        <v>482.71999</v>
      </c>
      <c r="P32" s="1">
        <v>507.520961</v>
      </c>
      <c r="Q32" s="2">
        <f t="shared" si="0"/>
        <v>5.1377551196916463E-2</v>
      </c>
      <c r="R32" s="4">
        <v>19.68</v>
      </c>
      <c r="S32" s="5">
        <v>1.000000047497451E-4</v>
      </c>
    </row>
    <row r="33" spans="1:19">
      <c r="A33" s="1" t="s">
        <v>51</v>
      </c>
      <c r="B33" s="1">
        <v>14</v>
      </c>
      <c r="C33" s="1">
        <v>4</v>
      </c>
      <c r="D33" s="1" t="s">
        <v>18</v>
      </c>
      <c r="E33" s="1">
        <v>12</v>
      </c>
      <c r="F33" s="1">
        <v>1</v>
      </c>
      <c r="G33" s="1" t="s">
        <v>17</v>
      </c>
      <c r="H33" s="1">
        <v>5</v>
      </c>
      <c r="I33" s="1">
        <v>3</v>
      </c>
      <c r="J33" s="1" t="s">
        <v>17</v>
      </c>
      <c r="K33" s="1">
        <v>1</v>
      </c>
      <c r="L33" s="1" t="s">
        <v>19</v>
      </c>
      <c r="M33" s="1" t="s">
        <v>20</v>
      </c>
      <c r="N33" s="1" t="s">
        <v>18</v>
      </c>
      <c r="O33" s="1">
        <v>128.24000100000001</v>
      </c>
      <c r="P33" s="1">
        <v>124.502674</v>
      </c>
      <c r="Q33" s="2">
        <f t="shared" si="0"/>
        <v>2.9143223415913785E-2</v>
      </c>
      <c r="R33" s="4">
        <v>19.61</v>
      </c>
      <c r="S33" s="5">
        <v>9.2000002041459084E-5</v>
      </c>
    </row>
    <row r="34" spans="1:19">
      <c r="A34" s="1" t="s">
        <v>52</v>
      </c>
      <c r="B34" s="1">
        <v>12</v>
      </c>
      <c r="C34" s="1">
        <v>8</v>
      </c>
      <c r="D34" s="1" t="s">
        <v>18</v>
      </c>
      <c r="E34" s="1">
        <v>6</v>
      </c>
      <c r="F34" s="1">
        <v>0</v>
      </c>
      <c r="G34" s="1" t="s">
        <v>17</v>
      </c>
      <c r="H34" s="1">
        <v>8</v>
      </c>
      <c r="I34" s="1">
        <v>0</v>
      </c>
      <c r="J34" s="1" t="s">
        <v>17</v>
      </c>
      <c r="K34" s="1">
        <v>6</v>
      </c>
      <c r="L34" s="1" t="s">
        <v>19</v>
      </c>
      <c r="M34" s="1" t="s">
        <v>20</v>
      </c>
      <c r="N34" s="1" t="s">
        <v>18</v>
      </c>
      <c r="O34" s="1">
        <v>692.16001000000006</v>
      </c>
      <c r="P34" s="1">
        <v>726.19178399999998</v>
      </c>
      <c r="Q34" s="2">
        <f t="shared" ref="Q34:Q65" si="1">ABS(P34-O34)/O34</f>
        <v>4.9167495244343752E-2</v>
      </c>
      <c r="R34" s="4">
        <v>19.62</v>
      </c>
      <c r="S34" s="5">
        <v>9.4499962870031595E-5</v>
      </c>
    </row>
    <row r="35" spans="1:19">
      <c r="A35" s="1" t="s">
        <v>53</v>
      </c>
      <c r="B35" s="1">
        <v>9</v>
      </c>
      <c r="C35" s="1">
        <v>8</v>
      </c>
      <c r="D35" s="1" t="s">
        <v>17</v>
      </c>
      <c r="E35" s="1">
        <v>4</v>
      </c>
      <c r="F35" s="1">
        <v>2</v>
      </c>
      <c r="G35" s="1" t="s">
        <v>17</v>
      </c>
      <c r="H35" s="1">
        <v>16</v>
      </c>
      <c r="I35" s="1">
        <v>4</v>
      </c>
      <c r="J35" s="1" t="s">
        <v>17</v>
      </c>
      <c r="K35" s="1">
        <v>6</v>
      </c>
      <c r="L35" s="1" t="s">
        <v>19</v>
      </c>
      <c r="M35" s="1" t="s">
        <v>20</v>
      </c>
      <c r="N35" s="1" t="s">
        <v>17</v>
      </c>
      <c r="O35" s="1">
        <v>1455.439959</v>
      </c>
      <c r="P35" s="1">
        <v>1408.4347399999999</v>
      </c>
      <c r="Q35" s="2">
        <f t="shared" si="1"/>
        <v>3.2296226793372053E-2</v>
      </c>
      <c r="R35" s="4">
        <v>19.66</v>
      </c>
      <c r="S35" s="5">
        <v>9.4300019554793835E-5</v>
      </c>
    </row>
    <row r="36" spans="1:19">
      <c r="A36" s="1" t="s">
        <v>54</v>
      </c>
      <c r="B36" s="1">
        <v>16</v>
      </c>
      <c r="C36" s="1">
        <v>1</v>
      </c>
      <c r="D36" s="1" t="s">
        <v>18</v>
      </c>
      <c r="E36" s="1">
        <v>6</v>
      </c>
      <c r="F36" s="1">
        <v>3</v>
      </c>
      <c r="G36" s="1" t="s">
        <v>18</v>
      </c>
      <c r="H36" s="1">
        <v>10</v>
      </c>
      <c r="I36" s="1">
        <v>8</v>
      </c>
      <c r="J36" s="1" t="s">
        <v>18</v>
      </c>
      <c r="K36" s="1">
        <v>0</v>
      </c>
      <c r="L36" s="1" t="s">
        <v>19</v>
      </c>
      <c r="M36" s="1" t="s">
        <v>20</v>
      </c>
      <c r="N36" s="1" t="s">
        <v>18</v>
      </c>
      <c r="O36" s="1">
        <v>83.999999000000003</v>
      </c>
      <c r="P36" s="1">
        <v>94.186384000000004</v>
      </c>
      <c r="Q36" s="2">
        <f t="shared" si="1"/>
        <v>0.12126648953888679</v>
      </c>
      <c r="R36" s="4">
        <v>19.670000000000002</v>
      </c>
      <c r="S36" s="5">
        <v>9.7199983429163694E-5</v>
      </c>
    </row>
    <row r="37" spans="1:19">
      <c r="A37" s="1" t="s">
        <v>55</v>
      </c>
      <c r="B37" s="1">
        <v>6</v>
      </c>
      <c r="C37" s="1">
        <v>3</v>
      </c>
      <c r="D37" s="1" t="s">
        <v>17</v>
      </c>
      <c r="E37" s="1">
        <v>4</v>
      </c>
      <c r="F37" s="1">
        <v>1</v>
      </c>
      <c r="G37" s="1" t="s">
        <v>17</v>
      </c>
      <c r="H37" s="1">
        <v>5</v>
      </c>
      <c r="I37" s="1">
        <v>4</v>
      </c>
      <c r="J37" s="1" t="s">
        <v>17</v>
      </c>
      <c r="K37" s="1">
        <v>4</v>
      </c>
      <c r="L37" s="1" t="s">
        <v>19</v>
      </c>
      <c r="M37" s="1" t="s">
        <v>20</v>
      </c>
      <c r="N37" s="1" t="s">
        <v>17</v>
      </c>
      <c r="O37" s="1">
        <v>260.39999299999999</v>
      </c>
      <c r="P37" s="1">
        <v>258.46188999999998</v>
      </c>
      <c r="Q37" s="2">
        <f t="shared" si="1"/>
        <v>7.4427920587540582E-3</v>
      </c>
      <c r="R37" s="4">
        <v>19.61</v>
      </c>
      <c r="S37" s="5">
        <v>8.709996473044157E-5</v>
      </c>
    </row>
    <row r="38" spans="1:19">
      <c r="A38" s="1" t="s">
        <v>56</v>
      </c>
      <c r="B38" s="1">
        <v>10</v>
      </c>
      <c r="C38" s="1">
        <v>3</v>
      </c>
      <c r="D38" s="1" t="s">
        <v>18</v>
      </c>
      <c r="E38" s="1">
        <v>14</v>
      </c>
      <c r="F38" s="1">
        <v>1</v>
      </c>
      <c r="G38" s="1" t="s">
        <v>18</v>
      </c>
      <c r="H38" s="1">
        <v>16</v>
      </c>
      <c r="I38" s="1">
        <v>4</v>
      </c>
      <c r="J38" s="1" t="s">
        <v>18</v>
      </c>
      <c r="K38" s="1">
        <v>1</v>
      </c>
      <c r="L38" s="1" t="s">
        <v>19</v>
      </c>
      <c r="M38" s="1" t="s">
        <v>20</v>
      </c>
      <c r="N38" s="1" t="s">
        <v>18</v>
      </c>
      <c r="O38" s="1">
        <v>442.96000199999997</v>
      </c>
      <c r="P38" s="1">
        <v>449.39829900000001</v>
      </c>
      <c r="Q38" s="2">
        <f t="shared" si="1"/>
        <v>1.4534714129787353E-2</v>
      </c>
      <c r="R38" s="4">
        <v>19.75</v>
      </c>
      <c r="S38" s="5">
        <v>1.030000275932252E-4</v>
      </c>
    </row>
    <row r="39" spans="1:19">
      <c r="A39" s="1" t="s">
        <v>57</v>
      </c>
      <c r="B39" s="1">
        <v>14</v>
      </c>
      <c r="C39" s="1">
        <v>1</v>
      </c>
      <c r="D39" s="1" t="s">
        <v>18</v>
      </c>
      <c r="E39" s="1">
        <v>8</v>
      </c>
      <c r="F39" s="1">
        <v>0</v>
      </c>
      <c r="G39" s="1" t="s">
        <v>17</v>
      </c>
      <c r="H39" s="1">
        <v>12</v>
      </c>
      <c r="I39" s="1">
        <v>3</v>
      </c>
      <c r="J39" s="1" t="s">
        <v>17</v>
      </c>
      <c r="K39" s="1">
        <v>2</v>
      </c>
      <c r="L39" s="1" t="s">
        <v>19</v>
      </c>
      <c r="M39" s="1" t="s">
        <v>20</v>
      </c>
      <c r="N39" s="1" t="s">
        <v>17</v>
      </c>
      <c r="O39" s="1">
        <v>509.03998999999999</v>
      </c>
      <c r="P39" s="1">
        <v>492.26911799999999</v>
      </c>
      <c r="Q39" s="2">
        <f t="shared" si="1"/>
        <v>3.29460795408235E-2</v>
      </c>
      <c r="R39" s="4">
        <v>19.8</v>
      </c>
      <c r="S39" s="5">
        <v>9.6599978860467672E-5</v>
      </c>
    </row>
    <row r="40" spans="1:19">
      <c r="A40" s="1" t="s">
        <v>58</v>
      </c>
      <c r="B40" s="1">
        <v>14</v>
      </c>
      <c r="C40" s="1">
        <v>4</v>
      </c>
      <c r="D40" s="1" t="s">
        <v>17</v>
      </c>
      <c r="E40" s="1">
        <v>5</v>
      </c>
      <c r="F40" s="1">
        <v>0</v>
      </c>
      <c r="G40" s="1" t="s">
        <v>18</v>
      </c>
      <c r="H40" s="1">
        <v>12</v>
      </c>
      <c r="I40" s="1">
        <v>2</v>
      </c>
      <c r="J40" s="1" t="s">
        <v>17</v>
      </c>
      <c r="K40" s="1">
        <v>2</v>
      </c>
      <c r="L40" s="1" t="s">
        <v>19</v>
      </c>
      <c r="M40" s="1" t="s">
        <v>20</v>
      </c>
      <c r="N40" s="1" t="s">
        <v>18</v>
      </c>
      <c r="O40" s="1">
        <v>477.680004</v>
      </c>
      <c r="P40" s="1">
        <v>528.10536000000002</v>
      </c>
      <c r="Q40" s="2">
        <f t="shared" si="1"/>
        <v>0.1055630455069248</v>
      </c>
      <c r="R40" s="4">
        <v>19.7</v>
      </c>
      <c r="S40" s="5">
        <v>9.6700037829577923E-5</v>
      </c>
    </row>
    <row r="41" spans="1:19">
      <c r="A41" s="1" t="s">
        <v>59</v>
      </c>
      <c r="B41" s="1">
        <v>8</v>
      </c>
      <c r="C41" s="1">
        <v>2</v>
      </c>
      <c r="D41" s="1" t="s">
        <v>18</v>
      </c>
      <c r="E41" s="1">
        <v>14</v>
      </c>
      <c r="F41" s="1">
        <v>3</v>
      </c>
      <c r="G41" s="1" t="s">
        <v>18</v>
      </c>
      <c r="H41" s="1">
        <v>10</v>
      </c>
      <c r="I41" s="1">
        <v>3</v>
      </c>
      <c r="J41" s="1" t="s">
        <v>18</v>
      </c>
      <c r="K41" s="1">
        <v>0</v>
      </c>
      <c r="L41" s="1" t="s">
        <v>19</v>
      </c>
      <c r="M41" s="1" t="s">
        <v>20</v>
      </c>
      <c r="N41" s="1" t="s">
        <v>17</v>
      </c>
      <c r="O41" s="1">
        <v>235.75999899999999</v>
      </c>
      <c r="P41" s="1">
        <v>228.248358</v>
      </c>
      <c r="Q41" s="2">
        <f t="shared" si="1"/>
        <v>3.186138883551657E-2</v>
      </c>
      <c r="R41" s="4">
        <v>19.71</v>
      </c>
      <c r="S41" s="5">
        <v>9.7699987236410379E-5</v>
      </c>
    </row>
    <row r="42" spans="1:19">
      <c r="A42" s="1" t="s">
        <v>60</v>
      </c>
      <c r="B42" s="1">
        <v>9</v>
      </c>
      <c r="C42" s="1">
        <v>8</v>
      </c>
      <c r="D42" s="1" t="s">
        <v>18</v>
      </c>
      <c r="E42" s="1">
        <v>10</v>
      </c>
      <c r="F42" s="1">
        <v>1</v>
      </c>
      <c r="G42" s="1" t="s">
        <v>17</v>
      </c>
      <c r="H42" s="1">
        <v>5</v>
      </c>
      <c r="I42" s="1">
        <v>1</v>
      </c>
      <c r="J42" s="1" t="s">
        <v>17</v>
      </c>
      <c r="K42" s="1">
        <v>6</v>
      </c>
      <c r="L42" s="1" t="s">
        <v>19</v>
      </c>
      <c r="M42" s="1" t="s">
        <v>20</v>
      </c>
      <c r="N42" s="1" t="s">
        <v>17</v>
      </c>
      <c r="O42" s="1">
        <v>489.43998699999997</v>
      </c>
      <c r="P42" s="1">
        <v>513.23332800000003</v>
      </c>
      <c r="Q42" s="2">
        <f t="shared" si="1"/>
        <v>4.8613398234664582E-2</v>
      </c>
      <c r="R42" s="4">
        <v>19.7</v>
      </c>
      <c r="S42" s="5">
        <v>1.205999869853258E-4</v>
      </c>
    </row>
    <row r="43" spans="1:19">
      <c r="A43" s="1" t="s">
        <v>61</v>
      </c>
      <c r="B43" s="1">
        <v>14</v>
      </c>
      <c r="C43" s="1">
        <v>2</v>
      </c>
      <c r="D43" s="1" t="s">
        <v>18</v>
      </c>
      <c r="E43" s="1">
        <v>9</v>
      </c>
      <c r="F43" s="1">
        <v>1</v>
      </c>
      <c r="G43" s="1" t="s">
        <v>17</v>
      </c>
      <c r="H43" s="1">
        <v>12</v>
      </c>
      <c r="I43" s="1">
        <v>6</v>
      </c>
      <c r="J43" s="1" t="s">
        <v>17</v>
      </c>
      <c r="K43" s="1">
        <v>4</v>
      </c>
      <c r="L43" s="1" t="s">
        <v>19</v>
      </c>
      <c r="M43" s="1" t="s">
        <v>20</v>
      </c>
      <c r="N43" s="1" t="s">
        <v>18</v>
      </c>
      <c r="O43" s="1">
        <v>577.360006</v>
      </c>
      <c r="P43" s="1">
        <v>555.22754899999995</v>
      </c>
      <c r="Q43" s="2">
        <f t="shared" si="1"/>
        <v>3.8333893532625542E-2</v>
      </c>
      <c r="R43" s="4">
        <v>19.579999999999998</v>
      </c>
      <c r="S43" s="5">
        <v>1.0409997776150699E-4</v>
      </c>
    </row>
    <row r="44" spans="1:19">
      <c r="A44" s="1" t="s">
        <v>62</v>
      </c>
      <c r="B44" s="1">
        <v>8</v>
      </c>
      <c r="C44" s="1">
        <v>6</v>
      </c>
      <c r="D44" s="1" t="s">
        <v>17</v>
      </c>
      <c r="E44" s="1">
        <v>8</v>
      </c>
      <c r="F44" s="1">
        <v>4</v>
      </c>
      <c r="G44" s="1" t="s">
        <v>17</v>
      </c>
      <c r="H44" s="1">
        <v>16</v>
      </c>
      <c r="I44" s="1">
        <v>2</v>
      </c>
      <c r="J44" s="1" t="s">
        <v>17</v>
      </c>
      <c r="K44" s="1">
        <v>0</v>
      </c>
      <c r="L44" s="1" t="s">
        <v>19</v>
      </c>
      <c r="M44" s="1" t="s">
        <v>20</v>
      </c>
      <c r="N44" s="1" t="s">
        <v>17</v>
      </c>
      <c r="O44" s="1">
        <v>236.879999</v>
      </c>
      <c r="P44" s="1">
        <v>224.273819</v>
      </c>
      <c r="Q44" s="2">
        <f t="shared" si="1"/>
        <v>5.321757874543049E-2</v>
      </c>
      <c r="R44" s="4">
        <v>19.829999999999998</v>
      </c>
      <c r="S44" s="5">
        <v>1.020000199787319E-4</v>
      </c>
    </row>
    <row r="45" spans="1:19">
      <c r="A45" s="1" t="s">
        <v>63</v>
      </c>
      <c r="B45" s="1">
        <v>9</v>
      </c>
      <c r="C45" s="1">
        <v>4</v>
      </c>
      <c r="D45" s="1" t="s">
        <v>17</v>
      </c>
      <c r="E45" s="1">
        <v>4</v>
      </c>
      <c r="F45" s="1">
        <v>2</v>
      </c>
      <c r="G45" s="1" t="s">
        <v>17</v>
      </c>
      <c r="H45" s="1">
        <v>12</v>
      </c>
      <c r="I45" s="1">
        <v>3</v>
      </c>
      <c r="J45" s="1" t="s">
        <v>17</v>
      </c>
      <c r="K45" s="1">
        <v>2</v>
      </c>
      <c r="L45" s="1" t="s">
        <v>19</v>
      </c>
      <c r="M45" s="1" t="s">
        <v>20</v>
      </c>
      <c r="N45" s="1" t="s">
        <v>18</v>
      </c>
      <c r="O45" s="1">
        <v>473.20000499999998</v>
      </c>
      <c r="P45" s="1">
        <v>473.46491200000003</v>
      </c>
      <c r="Q45" s="2">
        <f t="shared" si="1"/>
        <v>5.5982036602060189E-4</v>
      </c>
      <c r="R45" s="4">
        <v>19.88</v>
      </c>
      <c r="S45" s="5">
        <v>9.6499978099018335E-5</v>
      </c>
    </row>
    <row r="46" spans="1:19">
      <c r="A46" s="1" t="s">
        <v>64</v>
      </c>
      <c r="B46" s="1">
        <v>10</v>
      </c>
      <c r="C46" s="1">
        <v>2</v>
      </c>
      <c r="D46" s="1" t="s">
        <v>18</v>
      </c>
      <c r="E46" s="1">
        <v>9</v>
      </c>
      <c r="F46" s="1">
        <v>6</v>
      </c>
      <c r="G46" s="1" t="s">
        <v>18</v>
      </c>
      <c r="H46" s="1">
        <v>16</v>
      </c>
      <c r="I46" s="1">
        <v>2</v>
      </c>
      <c r="J46" s="1" t="s">
        <v>18</v>
      </c>
      <c r="K46" s="1">
        <v>1</v>
      </c>
      <c r="L46" s="1" t="s">
        <v>19</v>
      </c>
      <c r="M46" s="1" t="s">
        <v>20</v>
      </c>
      <c r="N46" s="1" t="s">
        <v>18</v>
      </c>
      <c r="O46" s="1">
        <v>329.28000100000003</v>
      </c>
      <c r="P46" s="1">
        <v>339.14358600000003</v>
      </c>
      <c r="Q46" s="2">
        <f t="shared" si="1"/>
        <v>2.9955007805044315E-2</v>
      </c>
      <c r="R46" s="4">
        <v>19.600000000000001</v>
      </c>
      <c r="S46" s="5">
        <v>1.064999960362911E-4</v>
      </c>
    </row>
    <row r="47" spans="1:19">
      <c r="A47" s="1" t="s">
        <v>65</v>
      </c>
      <c r="B47" s="1">
        <v>6</v>
      </c>
      <c r="C47" s="1">
        <v>4</v>
      </c>
      <c r="D47" s="1" t="s">
        <v>18</v>
      </c>
      <c r="E47" s="1">
        <v>5</v>
      </c>
      <c r="F47" s="1">
        <v>4</v>
      </c>
      <c r="G47" s="1" t="s">
        <v>18</v>
      </c>
      <c r="H47" s="1">
        <v>10</v>
      </c>
      <c r="I47" s="1">
        <v>8</v>
      </c>
      <c r="J47" s="1" t="s">
        <v>18</v>
      </c>
      <c r="K47" s="1">
        <v>4</v>
      </c>
      <c r="L47" s="1" t="s">
        <v>19</v>
      </c>
      <c r="M47" s="1" t="s">
        <v>20</v>
      </c>
      <c r="N47" s="1" t="s">
        <v>18</v>
      </c>
      <c r="O47" s="1">
        <v>412.72000500000001</v>
      </c>
      <c r="P47" s="1">
        <v>421.13054699999998</v>
      </c>
      <c r="Q47" s="2">
        <f t="shared" si="1"/>
        <v>2.0378324040774238E-2</v>
      </c>
      <c r="R47" s="4">
        <v>19.68</v>
      </c>
      <c r="S47" s="5">
        <v>1.0060000931844119E-4</v>
      </c>
    </row>
    <row r="48" spans="1:19">
      <c r="A48" s="1" t="s">
        <v>66</v>
      </c>
      <c r="B48" s="1">
        <v>14</v>
      </c>
      <c r="C48" s="1">
        <v>8</v>
      </c>
      <c r="D48" s="1" t="s">
        <v>18</v>
      </c>
      <c r="E48" s="1">
        <v>12</v>
      </c>
      <c r="F48" s="1">
        <v>1</v>
      </c>
      <c r="G48" s="1" t="s">
        <v>17</v>
      </c>
      <c r="H48" s="1">
        <v>16</v>
      </c>
      <c r="I48" s="1">
        <v>6</v>
      </c>
      <c r="J48" s="1" t="s">
        <v>17</v>
      </c>
      <c r="K48" s="1">
        <v>2</v>
      </c>
      <c r="L48" s="1" t="s">
        <v>19</v>
      </c>
      <c r="M48" s="1" t="s">
        <v>20</v>
      </c>
      <c r="N48" s="1" t="s">
        <v>17</v>
      </c>
      <c r="O48" s="1">
        <v>684.31998499999997</v>
      </c>
      <c r="P48" s="1">
        <v>712.39948500000003</v>
      </c>
      <c r="Q48" s="2">
        <f t="shared" si="1"/>
        <v>4.1032704897548844E-2</v>
      </c>
      <c r="R48" s="4">
        <v>19.59</v>
      </c>
      <c r="S48" s="5">
        <v>1.100000226870179E-4</v>
      </c>
    </row>
    <row r="49" spans="1:19">
      <c r="A49" s="1" t="s">
        <v>67</v>
      </c>
      <c r="B49" s="1">
        <v>10</v>
      </c>
      <c r="C49" s="1">
        <v>4</v>
      </c>
      <c r="D49" s="1" t="s">
        <v>17</v>
      </c>
      <c r="E49" s="1">
        <v>10</v>
      </c>
      <c r="F49" s="1">
        <v>4</v>
      </c>
      <c r="G49" s="1" t="s">
        <v>18</v>
      </c>
      <c r="H49" s="1">
        <v>16</v>
      </c>
      <c r="I49" s="1">
        <v>3</v>
      </c>
      <c r="J49" s="1" t="s">
        <v>17</v>
      </c>
      <c r="K49" s="1">
        <v>6</v>
      </c>
      <c r="L49" s="1" t="s">
        <v>19</v>
      </c>
      <c r="M49" s="1" t="s">
        <v>20</v>
      </c>
      <c r="N49" s="1" t="s">
        <v>17</v>
      </c>
      <c r="O49" s="1">
        <v>1582.5599580000001</v>
      </c>
      <c r="P49" s="1">
        <v>1541.1309200000001</v>
      </c>
      <c r="Q49" s="2">
        <f t="shared" si="1"/>
        <v>2.6178495033045687E-2</v>
      </c>
      <c r="R49" s="4">
        <v>19.54</v>
      </c>
      <c r="S49" s="5">
        <v>1.008000108413398E-4</v>
      </c>
    </row>
    <row r="50" spans="1:19">
      <c r="A50" s="1" t="s">
        <v>68</v>
      </c>
      <c r="B50" s="1">
        <v>8</v>
      </c>
      <c r="C50" s="1">
        <v>6</v>
      </c>
      <c r="D50" s="1" t="s">
        <v>18</v>
      </c>
      <c r="E50" s="1">
        <v>14</v>
      </c>
      <c r="F50" s="1">
        <v>4</v>
      </c>
      <c r="G50" s="1" t="s">
        <v>17</v>
      </c>
      <c r="H50" s="1">
        <v>8</v>
      </c>
      <c r="I50" s="1">
        <v>6</v>
      </c>
      <c r="J50" s="1" t="s">
        <v>17</v>
      </c>
      <c r="K50" s="1">
        <v>0</v>
      </c>
      <c r="L50" s="1" t="s">
        <v>19</v>
      </c>
      <c r="M50" s="1" t="s">
        <v>20</v>
      </c>
      <c r="N50" s="1" t="s">
        <v>18</v>
      </c>
      <c r="O50" s="1">
        <v>158.47999899999999</v>
      </c>
      <c r="P50" s="1">
        <v>160.83525399999999</v>
      </c>
      <c r="Q50" s="2">
        <f t="shared" si="1"/>
        <v>1.4861528362326654E-2</v>
      </c>
      <c r="R50" s="4">
        <v>19.88</v>
      </c>
      <c r="S50" s="5">
        <v>1.022000215016305E-4</v>
      </c>
    </row>
    <row r="51" spans="1:19">
      <c r="A51" s="1" t="s">
        <v>69</v>
      </c>
      <c r="B51" s="1">
        <v>10</v>
      </c>
      <c r="C51" s="1">
        <v>2</v>
      </c>
      <c r="D51" s="1" t="s">
        <v>17</v>
      </c>
      <c r="E51" s="1">
        <v>14</v>
      </c>
      <c r="F51" s="1">
        <v>3</v>
      </c>
      <c r="G51" s="1" t="s">
        <v>17</v>
      </c>
      <c r="H51" s="1">
        <v>16</v>
      </c>
      <c r="I51" s="1">
        <v>8</v>
      </c>
      <c r="J51" s="1" t="s">
        <v>17</v>
      </c>
      <c r="K51" s="1">
        <v>2</v>
      </c>
      <c r="L51" s="1" t="s">
        <v>19</v>
      </c>
      <c r="M51" s="1" t="s">
        <v>20</v>
      </c>
      <c r="N51" s="1" t="s">
        <v>18</v>
      </c>
      <c r="O51" s="1">
        <v>521.92000399999995</v>
      </c>
      <c r="P51" s="1">
        <v>518.29687100000001</v>
      </c>
      <c r="Q51" s="2">
        <f t="shared" si="1"/>
        <v>6.9419316604694449E-3</v>
      </c>
      <c r="R51" s="4">
        <v>19.7</v>
      </c>
      <c r="S51" s="5">
        <v>1.0240002302452921E-4</v>
      </c>
    </row>
    <row r="52" spans="1:19">
      <c r="A52" s="1" t="s">
        <v>70</v>
      </c>
      <c r="B52" s="1">
        <v>9</v>
      </c>
      <c r="C52" s="1">
        <v>2</v>
      </c>
      <c r="D52" s="1" t="s">
        <v>17</v>
      </c>
      <c r="E52" s="1">
        <v>10</v>
      </c>
      <c r="F52" s="1">
        <v>6</v>
      </c>
      <c r="G52" s="1" t="s">
        <v>18</v>
      </c>
      <c r="H52" s="1">
        <v>5</v>
      </c>
      <c r="I52" s="1">
        <v>4</v>
      </c>
      <c r="J52" s="1" t="s">
        <v>17</v>
      </c>
      <c r="K52" s="1">
        <v>3</v>
      </c>
      <c r="L52" s="1" t="s">
        <v>19</v>
      </c>
      <c r="M52" s="1" t="s">
        <v>20</v>
      </c>
      <c r="N52" s="1" t="s">
        <v>18</v>
      </c>
      <c r="O52" s="1">
        <v>245.840003</v>
      </c>
      <c r="P52" s="1">
        <v>242.10267400000001</v>
      </c>
      <c r="Q52" s="2">
        <f t="shared" si="1"/>
        <v>1.5202281786499931E-2</v>
      </c>
      <c r="R52" s="4">
        <v>19.829999999999998</v>
      </c>
      <c r="S52" s="5">
        <v>9.6699979621917009E-5</v>
      </c>
    </row>
    <row r="53" spans="1:19">
      <c r="A53" s="1" t="s">
        <v>71</v>
      </c>
      <c r="B53" s="1">
        <v>9</v>
      </c>
      <c r="C53" s="1">
        <v>6</v>
      </c>
      <c r="D53" s="1" t="s">
        <v>17</v>
      </c>
      <c r="E53" s="1">
        <v>4</v>
      </c>
      <c r="F53" s="1">
        <v>2</v>
      </c>
      <c r="G53" s="1" t="s">
        <v>18</v>
      </c>
      <c r="H53" s="1">
        <v>6</v>
      </c>
      <c r="I53" s="1">
        <v>4</v>
      </c>
      <c r="J53" s="1" t="s">
        <v>17</v>
      </c>
      <c r="K53" s="1">
        <v>4</v>
      </c>
      <c r="L53" s="1" t="s">
        <v>19</v>
      </c>
      <c r="M53" s="1" t="s">
        <v>20</v>
      </c>
      <c r="N53" s="1" t="s">
        <v>18</v>
      </c>
      <c r="O53" s="1">
        <v>373.52000500000003</v>
      </c>
      <c r="P53" s="1">
        <v>373.68020100000001</v>
      </c>
      <c r="Q53" s="2">
        <f t="shared" si="1"/>
        <v>4.2888198183651475E-4</v>
      </c>
      <c r="R53" s="4">
        <v>19.7</v>
      </c>
      <c r="S53" s="5">
        <v>9.5599971245974302E-5</v>
      </c>
    </row>
    <row r="54" spans="1:19">
      <c r="A54" s="1" t="s">
        <v>72</v>
      </c>
      <c r="B54" s="1">
        <v>8</v>
      </c>
      <c r="C54" s="1">
        <v>1</v>
      </c>
      <c r="D54" s="1" t="s">
        <v>18</v>
      </c>
      <c r="E54" s="1">
        <v>9</v>
      </c>
      <c r="F54" s="1">
        <v>3</v>
      </c>
      <c r="G54" s="1" t="s">
        <v>18</v>
      </c>
      <c r="H54" s="1">
        <v>9</v>
      </c>
      <c r="I54" s="1">
        <v>4</v>
      </c>
      <c r="J54" s="1" t="s">
        <v>18</v>
      </c>
      <c r="K54" s="1">
        <v>6</v>
      </c>
      <c r="L54" s="1" t="s">
        <v>19</v>
      </c>
      <c r="M54" s="1" t="s">
        <v>20</v>
      </c>
      <c r="N54" s="1" t="s">
        <v>17</v>
      </c>
      <c r="O54" s="1">
        <v>805.27997900000003</v>
      </c>
      <c r="P54" s="1">
        <v>791.49199599999997</v>
      </c>
      <c r="Q54" s="2">
        <f t="shared" si="1"/>
        <v>1.7121974169930349E-2</v>
      </c>
      <c r="R54" s="4">
        <v>19.39</v>
      </c>
      <c r="S54" s="5">
        <v>9.699998190626502E-5</v>
      </c>
    </row>
    <row r="55" spans="1:19">
      <c r="A55" s="1" t="s">
        <v>73</v>
      </c>
      <c r="B55" s="1">
        <v>12</v>
      </c>
      <c r="C55" s="1">
        <v>1</v>
      </c>
      <c r="D55" s="1" t="s">
        <v>17</v>
      </c>
      <c r="E55" s="1">
        <v>14</v>
      </c>
      <c r="F55" s="1">
        <v>3</v>
      </c>
      <c r="G55" s="1" t="s">
        <v>17</v>
      </c>
      <c r="H55" s="1">
        <v>12</v>
      </c>
      <c r="I55" s="1">
        <v>0</v>
      </c>
      <c r="J55" s="1" t="s">
        <v>17</v>
      </c>
      <c r="K55" s="1">
        <v>2</v>
      </c>
      <c r="L55" s="1" t="s">
        <v>19</v>
      </c>
      <c r="M55" s="1" t="s">
        <v>20</v>
      </c>
      <c r="N55" s="1" t="s">
        <v>18</v>
      </c>
      <c r="O55" s="1">
        <v>582.96000400000003</v>
      </c>
      <c r="P55" s="1">
        <v>583.995766</v>
      </c>
      <c r="Q55" s="2">
        <f t="shared" si="1"/>
        <v>1.7767290944371149E-3</v>
      </c>
      <c r="R55" s="4">
        <v>20.39</v>
      </c>
      <c r="S55" s="5">
        <v>1.249000197276473E-4</v>
      </c>
    </row>
    <row r="56" spans="1:19">
      <c r="A56" s="1" t="s">
        <v>74</v>
      </c>
      <c r="B56" s="1">
        <v>12</v>
      </c>
      <c r="C56" s="1">
        <v>4</v>
      </c>
      <c r="D56" s="1" t="s">
        <v>18</v>
      </c>
      <c r="E56" s="1">
        <v>4</v>
      </c>
      <c r="F56" s="1">
        <v>2</v>
      </c>
      <c r="G56" s="1" t="s">
        <v>17</v>
      </c>
      <c r="H56" s="1">
        <v>16</v>
      </c>
      <c r="I56" s="1">
        <v>8</v>
      </c>
      <c r="J56" s="1" t="s">
        <v>17</v>
      </c>
      <c r="K56" s="1">
        <v>1</v>
      </c>
      <c r="L56" s="1" t="s">
        <v>19</v>
      </c>
      <c r="M56" s="1" t="s">
        <v>20</v>
      </c>
      <c r="N56" s="1" t="s">
        <v>17</v>
      </c>
      <c r="O56" s="1">
        <v>418.31999300000001</v>
      </c>
      <c r="P56" s="1">
        <v>420.972328</v>
      </c>
      <c r="Q56" s="2">
        <f t="shared" si="1"/>
        <v>6.3404452198869525E-3</v>
      </c>
      <c r="R56" s="4">
        <v>19.86</v>
      </c>
      <c r="S56" s="5">
        <v>9.9500000942498446E-5</v>
      </c>
    </row>
    <row r="57" spans="1:19">
      <c r="A57" s="1" t="s">
        <v>75</v>
      </c>
      <c r="B57" s="1">
        <v>16</v>
      </c>
      <c r="C57" s="1">
        <v>3</v>
      </c>
      <c r="D57" s="1" t="s">
        <v>17</v>
      </c>
      <c r="E57" s="1">
        <v>4</v>
      </c>
      <c r="F57" s="1">
        <v>0</v>
      </c>
      <c r="G57" s="1" t="s">
        <v>18</v>
      </c>
      <c r="H57" s="1">
        <v>8</v>
      </c>
      <c r="I57" s="1">
        <v>4</v>
      </c>
      <c r="J57" s="1" t="s">
        <v>17</v>
      </c>
      <c r="K57" s="1">
        <v>0</v>
      </c>
      <c r="L57" s="1" t="s">
        <v>19</v>
      </c>
      <c r="M57" s="1" t="s">
        <v>20</v>
      </c>
      <c r="N57" s="1" t="s">
        <v>18</v>
      </c>
      <c r="O57" s="1">
        <v>113.12</v>
      </c>
      <c r="P57" s="1">
        <v>114.149142</v>
      </c>
      <c r="Q57" s="2">
        <f t="shared" si="1"/>
        <v>9.0977899575671248E-3</v>
      </c>
      <c r="R57" s="4">
        <v>19.64</v>
      </c>
      <c r="S57" s="5">
        <v>9.6300034783780575E-5</v>
      </c>
    </row>
    <row r="58" spans="1:19">
      <c r="A58" s="1" t="s">
        <v>76</v>
      </c>
      <c r="B58" s="1">
        <v>14</v>
      </c>
      <c r="C58" s="1">
        <v>8</v>
      </c>
      <c r="D58" s="1" t="s">
        <v>17</v>
      </c>
      <c r="E58" s="1">
        <v>9</v>
      </c>
      <c r="F58" s="1">
        <v>0</v>
      </c>
      <c r="G58" s="1" t="s">
        <v>18</v>
      </c>
      <c r="H58" s="1">
        <v>12</v>
      </c>
      <c r="I58" s="1">
        <v>2</v>
      </c>
      <c r="J58" s="1" t="s">
        <v>17</v>
      </c>
      <c r="K58" s="1">
        <v>6</v>
      </c>
      <c r="L58" s="1" t="s">
        <v>19</v>
      </c>
      <c r="M58" s="1" t="s">
        <v>20</v>
      </c>
      <c r="N58" s="1" t="s">
        <v>17</v>
      </c>
      <c r="O58" s="1">
        <v>1235.919969</v>
      </c>
      <c r="P58" s="1">
        <v>1213.6470609999999</v>
      </c>
      <c r="Q58" s="2">
        <f t="shared" si="1"/>
        <v>1.8021318983964196E-2</v>
      </c>
      <c r="R58" s="4">
        <v>19.690000000000001</v>
      </c>
      <c r="S58" s="5">
        <v>1.071000006049871E-4</v>
      </c>
    </row>
    <row r="59" spans="1:19">
      <c r="A59" s="1" t="s">
        <v>77</v>
      </c>
      <c r="B59" s="1">
        <v>16</v>
      </c>
      <c r="C59" s="1">
        <v>1</v>
      </c>
      <c r="D59" s="1" t="s">
        <v>17</v>
      </c>
      <c r="E59" s="1">
        <v>5</v>
      </c>
      <c r="F59" s="1">
        <v>1</v>
      </c>
      <c r="G59" s="1" t="s">
        <v>17</v>
      </c>
      <c r="H59" s="1">
        <v>6</v>
      </c>
      <c r="I59" s="1">
        <v>3</v>
      </c>
      <c r="J59" s="1" t="s">
        <v>17</v>
      </c>
      <c r="K59" s="1">
        <v>6</v>
      </c>
      <c r="L59" s="1" t="s">
        <v>19</v>
      </c>
      <c r="M59" s="1" t="s">
        <v>20</v>
      </c>
      <c r="N59" s="1" t="s">
        <v>18</v>
      </c>
      <c r="O59" s="1">
        <v>367.920005</v>
      </c>
      <c r="P59" s="1">
        <v>373.44928599999997</v>
      </c>
      <c r="Q59" s="2">
        <f t="shared" si="1"/>
        <v>1.5028486966888275E-2</v>
      </c>
      <c r="R59" s="4">
        <v>19.89</v>
      </c>
      <c r="S59" s="5">
        <v>9.7399984952062368E-5</v>
      </c>
    </row>
    <row r="60" spans="1:19">
      <c r="A60" s="1" t="s">
        <v>78</v>
      </c>
      <c r="B60" s="1">
        <v>6</v>
      </c>
      <c r="C60" s="1">
        <v>1</v>
      </c>
      <c r="D60" s="1" t="s">
        <v>18</v>
      </c>
      <c r="E60" s="1">
        <v>4</v>
      </c>
      <c r="F60" s="1">
        <v>3</v>
      </c>
      <c r="G60" s="1" t="s">
        <v>18</v>
      </c>
      <c r="H60" s="1">
        <v>12</v>
      </c>
      <c r="I60" s="1">
        <v>8</v>
      </c>
      <c r="J60" s="1" t="s">
        <v>18</v>
      </c>
      <c r="K60" s="1">
        <v>3</v>
      </c>
      <c r="L60" s="1" t="s">
        <v>19</v>
      </c>
      <c r="M60" s="1" t="s">
        <v>20</v>
      </c>
      <c r="N60" s="1" t="s">
        <v>18</v>
      </c>
      <c r="O60" s="1">
        <v>343.28000400000002</v>
      </c>
      <c r="P60" s="1">
        <v>349.29960799999998</v>
      </c>
      <c r="Q60" s="2">
        <f t="shared" si="1"/>
        <v>1.7535550949247712E-2</v>
      </c>
      <c r="R60" s="4">
        <v>19.5</v>
      </c>
      <c r="S60" s="5">
        <v>9.7499985713511705E-5</v>
      </c>
    </row>
    <row r="61" spans="1:19">
      <c r="A61" s="1" t="s">
        <v>79</v>
      </c>
      <c r="B61" s="1">
        <v>12</v>
      </c>
      <c r="C61" s="1">
        <v>4</v>
      </c>
      <c r="D61" s="1" t="s">
        <v>17</v>
      </c>
      <c r="E61" s="1">
        <v>9</v>
      </c>
      <c r="F61" s="1">
        <v>6</v>
      </c>
      <c r="G61" s="1" t="s">
        <v>18</v>
      </c>
      <c r="H61" s="1">
        <v>5</v>
      </c>
      <c r="I61" s="1">
        <v>4</v>
      </c>
      <c r="J61" s="1" t="s">
        <v>17</v>
      </c>
      <c r="K61" s="1">
        <v>2</v>
      </c>
      <c r="L61" s="1" t="s">
        <v>19</v>
      </c>
      <c r="M61" s="1" t="s">
        <v>20</v>
      </c>
      <c r="N61" s="1" t="s">
        <v>17</v>
      </c>
      <c r="O61" s="1">
        <v>241.359995</v>
      </c>
      <c r="P61" s="1">
        <v>244.43332799999999</v>
      </c>
      <c r="Q61" s="2">
        <f t="shared" si="1"/>
        <v>1.2733398507072355E-2</v>
      </c>
      <c r="R61" s="4">
        <v>19.47</v>
      </c>
      <c r="S61" s="5">
        <v>9.8100048489868641E-5</v>
      </c>
    </row>
    <row r="62" spans="1:19">
      <c r="A62" s="1" t="s">
        <v>80</v>
      </c>
      <c r="B62" s="1">
        <v>16</v>
      </c>
      <c r="C62" s="1">
        <v>6</v>
      </c>
      <c r="D62" s="1" t="s">
        <v>17</v>
      </c>
      <c r="E62" s="1">
        <v>6</v>
      </c>
      <c r="F62" s="1">
        <v>4</v>
      </c>
      <c r="G62" s="1" t="s">
        <v>17</v>
      </c>
      <c r="H62" s="1">
        <v>10</v>
      </c>
      <c r="I62" s="1">
        <v>8</v>
      </c>
      <c r="J62" s="1" t="s">
        <v>17</v>
      </c>
      <c r="K62" s="1">
        <v>1</v>
      </c>
      <c r="L62" s="1" t="s">
        <v>19</v>
      </c>
      <c r="M62" s="1" t="s">
        <v>20</v>
      </c>
      <c r="N62" s="1" t="s">
        <v>17</v>
      </c>
      <c r="O62" s="1">
        <v>251.43999600000001</v>
      </c>
      <c r="P62" s="1">
        <v>257.34873800000003</v>
      </c>
      <c r="Q62" s="2">
        <f t="shared" si="1"/>
        <v>2.3499610618829384E-2</v>
      </c>
      <c r="R62" s="4">
        <v>19.97</v>
      </c>
      <c r="S62" s="5">
        <v>1.0459998156875371E-4</v>
      </c>
    </row>
    <row r="63" spans="1:19">
      <c r="A63" s="1" t="s">
        <v>81</v>
      </c>
      <c r="B63" s="1">
        <v>14</v>
      </c>
      <c r="C63" s="1">
        <v>1</v>
      </c>
      <c r="D63" s="1" t="s">
        <v>17</v>
      </c>
      <c r="E63" s="1">
        <v>9</v>
      </c>
      <c r="F63" s="1">
        <v>3</v>
      </c>
      <c r="G63" s="1" t="s">
        <v>17</v>
      </c>
      <c r="H63" s="1">
        <v>8</v>
      </c>
      <c r="I63" s="1">
        <v>6</v>
      </c>
      <c r="J63" s="1" t="s">
        <v>17</v>
      </c>
      <c r="K63" s="1">
        <v>6</v>
      </c>
      <c r="L63" s="1" t="s">
        <v>19</v>
      </c>
      <c r="M63" s="1" t="s">
        <v>20</v>
      </c>
      <c r="N63" s="1" t="s">
        <v>18</v>
      </c>
      <c r="O63" s="1">
        <v>427.28000600000001</v>
      </c>
      <c r="P63" s="1">
        <v>428.87290000000002</v>
      </c>
      <c r="Q63" s="2">
        <f t="shared" si="1"/>
        <v>3.727986279797986E-3</v>
      </c>
      <c r="R63" s="4">
        <v>19.72</v>
      </c>
      <c r="S63" s="5">
        <v>9.8400050774216652E-5</v>
      </c>
    </row>
    <row r="64" spans="1:19">
      <c r="A64" s="1" t="s">
        <v>82</v>
      </c>
      <c r="B64" s="1">
        <v>16</v>
      </c>
      <c r="C64" s="1">
        <v>2</v>
      </c>
      <c r="D64" s="1" t="s">
        <v>18</v>
      </c>
      <c r="E64" s="1">
        <v>14</v>
      </c>
      <c r="F64" s="1">
        <v>2</v>
      </c>
      <c r="G64" s="1" t="s">
        <v>18</v>
      </c>
      <c r="H64" s="1">
        <v>16</v>
      </c>
      <c r="I64" s="1">
        <v>4</v>
      </c>
      <c r="J64" s="1" t="s">
        <v>18</v>
      </c>
      <c r="K64" s="1">
        <v>6</v>
      </c>
      <c r="L64" s="1" t="s">
        <v>19</v>
      </c>
      <c r="M64" s="1" t="s">
        <v>20</v>
      </c>
      <c r="N64" s="1" t="s">
        <v>18</v>
      </c>
      <c r="O64" s="1">
        <v>1324.4000169999999</v>
      </c>
      <c r="P64" s="1">
        <v>1336.4245510000001</v>
      </c>
      <c r="Q64" s="2">
        <f t="shared" si="1"/>
        <v>9.0792312335043791E-3</v>
      </c>
      <c r="R64" s="4">
        <v>19.600000000000001</v>
      </c>
      <c r="S64" s="5">
        <v>1.295999973081052E-4</v>
      </c>
    </row>
    <row r="65" spans="1:19">
      <c r="A65" s="1" t="s">
        <v>83</v>
      </c>
      <c r="B65" s="1">
        <v>16</v>
      </c>
      <c r="C65" s="1">
        <v>8</v>
      </c>
      <c r="D65" s="1" t="s">
        <v>17</v>
      </c>
      <c r="E65" s="1">
        <v>6</v>
      </c>
      <c r="F65" s="1">
        <v>1</v>
      </c>
      <c r="G65" s="1" t="s">
        <v>17</v>
      </c>
      <c r="H65" s="1">
        <v>10</v>
      </c>
      <c r="I65" s="1">
        <v>3</v>
      </c>
      <c r="J65" s="1" t="s">
        <v>17</v>
      </c>
      <c r="K65" s="1">
        <v>0</v>
      </c>
      <c r="L65" s="1" t="s">
        <v>19</v>
      </c>
      <c r="M65" s="1" t="s">
        <v>20</v>
      </c>
      <c r="N65" s="1" t="s">
        <v>18</v>
      </c>
      <c r="O65" s="1">
        <v>236.879999</v>
      </c>
      <c r="P65" s="1">
        <v>216.79030700000001</v>
      </c>
      <c r="Q65" s="2">
        <f t="shared" si="1"/>
        <v>8.4809574826112635E-2</v>
      </c>
      <c r="R65" s="4">
        <v>19.48</v>
      </c>
      <c r="S65" s="5">
        <v>1.0900001507252449E-4</v>
      </c>
    </row>
    <row r="66" spans="1:19">
      <c r="A66" s="1" t="s">
        <v>84</v>
      </c>
      <c r="B66" s="1">
        <v>10</v>
      </c>
      <c r="C66" s="1">
        <v>4</v>
      </c>
      <c r="D66" s="1" t="s">
        <v>18</v>
      </c>
      <c r="E66" s="1">
        <v>10</v>
      </c>
      <c r="F66" s="1">
        <v>3</v>
      </c>
      <c r="G66" s="1" t="s">
        <v>17</v>
      </c>
      <c r="H66" s="1">
        <v>16</v>
      </c>
      <c r="I66" s="1">
        <v>4</v>
      </c>
      <c r="J66" s="1" t="s">
        <v>17</v>
      </c>
      <c r="K66" s="1">
        <v>4</v>
      </c>
      <c r="L66" s="1" t="s">
        <v>19</v>
      </c>
      <c r="M66" s="1" t="s">
        <v>20</v>
      </c>
      <c r="N66" s="1" t="s">
        <v>18</v>
      </c>
      <c r="O66" s="1">
        <v>1003.5200129999999</v>
      </c>
      <c r="P66" s="1">
        <v>1021.1791930000001</v>
      </c>
      <c r="Q66" s="2">
        <f t="shared" ref="Q66:Q97" si="2">ABS(P66-O66)/O66</f>
        <v>1.7597237495252729E-2</v>
      </c>
      <c r="R66" s="4">
        <v>19.37</v>
      </c>
      <c r="S66" s="5">
        <v>1.036999747157097E-4</v>
      </c>
    </row>
    <row r="67" spans="1:19">
      <c r="A67" s="1" t="s">
        <v>85</v>
      </c>
      <c r="B67" s="1">
        <v>12</v>
      </c>
      <c r="C67" s="1">
        <v>8</v>
      </c>
      <c r="D67" s="1" t="s">
        <v>17</v>
      </c>
      <c r="E67" s="1">
        <v>10</v>
      </c>
      <c r="F67" s="1">
        <v>4</v>
      </c>
      <c r="G67" s="1" t="s">
        <v>17</v>
      </c>
      <c r="H67" s="1">
        <v>9</v>
      </c>
      <c r="I67" s="1">
        <v>1</v>
      </c>
      <c r="J67" s="1" t="s">
        <v>17</v>
      </c>
      <c r="K67" s="1">
        <v>0</v>
      </c>
      <c r="L67" s="1" t="s">
        <v>19</v>
      </c>
      <c r="M67" s="1" t="s">
        <v>20</v>
      </c>
      <c r="N67" s="1" t="s">
        <v>18</v>
      </c>
      <c r="O67" s="1">
        <v>249.19999899999999</v>
      </c>
      <c r="P67" s="1">
        <v>247.96811</v>
      </c>
      <c r="Q67" s="2">
        <f t="shared" si="2"/>
        <v>4.9433748191949041E-3</v>
      </c>
      <c r="R67" s="4">
        <v>19.87</v>
      </c>
      <c r="S67" s="5">
        <v>1.011000131256878E-4</v>
      </c>
    </row>
    <row r="68" spans="1:19">
      <c r="A68" s="1" t="s">
        <v>86</v>
      </c>
      <c r="B68" s="1">
        <v>12</v>
      </c>
      <c r="C68" s="1">
        <v>3</v>
      </c>
      <c r="D68" s="1" t="s">
        <v>17</v>
      </c>
      <c r="E68" s="1">
        <v>12</v>
      </c>
      <c r="F68" s="1">
        <v>3</v>
      </c>
      <c r="G68" s="1" t="s">
        <v>18</v>
      </c>
      <c r="H68" s="1">
        <v>12</v>
      </c>
      <c r="I68" s="1">
        <v>1</v>
      </c>
      <c r="J68" s="1" t="s">
        <v>17</v>
      </c>
      <c r="K68" s="1">
        <v>3</v>
      </c>
      <c r="L68" s="1" t="s">
        <v>19</v>
      </c>
      <c r="M68" s="1" t="s">
        <v>20</v>
      </c>
      <c r="N68" s="1" t="s">
        <v>17</v>
      </c>
      <c r="O68" s="1">
        <v>771.67998299999999</v>
      </c>
      <c r="P68" s="1">
        <v>774.41031499999997</v>
      </c>
      <c r="Q68" s="2">
        <f t="shared" si="2"/>
        <v>3.5381661571490777E-3</v>
      </c>
      <c r="R68" s="4">
        <v>19.55</v>
      </c>
      <c r="S68" s="5">
        <v>1.184000284411013E-4</v>
      </c>
    </row>
    <row r="69" spans="1:19">
      <c r="A69" s="1" t="s">
        <v>87</v>
      </c>
      <c r="B69" s="1">
        <v>16</v>
      </c>
      <c r="C69" s="1">
        <v>3</v>
      </c>
      <c r="D69" s="1" t="s">
        <v>18</v>
      </c>
      <c r="E69" s="1">
        <v>14</v>
      </c>
      <c r="F69" s="1">
        <v>0</v>
      </c>
      <c r="G69" s="1" t="s">
        <v>18</v>
      </c>
      <c r="H69" s="1">
        <v>9</v>
      </c>
      <c r="I69" s="1">
        <v>3</v>
      </c>
      <c r="J69" s="1" t="s">
        <v>18</v>
      </c>
      <c r="K69" s="1">
        <v>6</v>
      </c>
      <c r="L69" s="1" t="s">
        <v>19</v>
      </c>
      <c r="M69" s="1" t="s">
        <v>20</v>
      </c>
      <c r="N69" s="1" t="s">
        <v>18</v>
      </c>
      <c r="O69" s="1">
        <v>820.40001199999995</v>
      </c>
      <c r="P69" s="1">
        <v>781.52745300000004</v>
      </c>
      <c r="Q69" s="2">
        <f t="shared" si="2"/>
        <v>4.7382445674561881E-2</v>
      </c>
      <c r="R69" s="4">
        <v>19.850000000000001</v>
      </c>
      <c r="S69" s="5">
        <v>1.0280002607032659E-4</v>
      </c>
    </row>
    <row r="70" spans="1:19">
      <c r="A70" s="1" t="s">
        <v>88</v>
      </c>
      <c r="B70" s="1">
        <v>10</v>
      </c>
      <c r="C70" s="1">
        <v>1</v>
      </c>
      <c r="D70" s="1" t="s">
        <v>18</v>
      </c>
      <c r="E70" s="1">
        <v>8</v>
      </c>
      <c r="F70" s="1">
        <v>3</v>
      </c>
      <c r="G70" s="1" t="s">
        <v>17</v>
      </c>
      <c r="H70" s="1">
        <v>10</v>
      </c>
      <c r="I70" s="1">
        <v>3</v>
      </c>
      <c r="J70" s="1" t="s">
        <v>17</v>
      </c>
      <c r="K70" s="1">
        <v>2</v>
      </c>
      <c r="L70" s="1" t="s">
        <v>19</v>
      </c>
      <c r="M70" s="1" t="s">
        <v>20</v>
      </c>
      <c r="N70" s="1" t="s">
        <v>18</v>
      </c>
      <c r="O70" s="1">
        <v>442.96000400000003</v>
      </c>
      <c r="P70" s="1">
        <v>429.590307</v>
      </c>
      <c r="Q70" s="2">
        <f t="shared" si="2"/>
        <v>3.0182627955728548E-2</v>
      </c>
      <c r="R70" s="4">
        <v>19.78</v>
      </c>
      <c r="S70" s="5">
        <v>9.7499985713511705E-5</v>
      </c>
    </row>
    <row r="71" spans="1:19">
      <c r="A71" s="1" t="s">
        <v>89</v>
      </c>
      <c r="B71" s="1">
        <v>6</v>
      </c>
      <c r="C71" s="1">
        <v>2</v>
      </c>
      <c r="D71" s="1" t="s">
        <v>17</v>
      </c>
      <c r="E71" s="1">
        <v>8</v>
      </c>
      <c r="F71" s="1">
        <v>0</v>
      </c>
      <c r="G71" s="1" t="s">
        <v>18</v>
      </c>
      <c r="H71" s="1">
        <v>6</v>
      </c>
      <c r="I71" s="1">
        <v>4</v>
      </c>
      <c r="J71" s="1" t="s">
        <v>17</v>
      </c>
      <c r="K71" s="1">
        <v>6</v>
      </c>
      <c r="L71" s="1" t="s">
        <v>19</v>
      </c>
      <c r="M71" s="1" t="s">
        <v>20</v>
      </c>
      <c r="N71" s="1" t="s">
        <v>18</v>
      </c>
      <c r="O71" s="1">
        <v>327.04000500000001</v>
      </c>
      <c r="P71" s="1">
        <v>329.11863199999999</v>
      </c>
      <c r="Q71" s="2">
        <f t="shared" si="2"/>
        <v>6.3558799175042306E-3</v>
      </c>
      <c r="R71" s="4">
        <v>19.41</v>
      </c>
      <c r="S71" s="5">
        <v>9.0799992904067039E-5</v>
      </c>
    </row>
    <row r="72" spans="1:19">
      <c r="A72" s="1" t="s">
        <v>90</v>
      </c>
      <c r="B72" s="1">
        <v>14</v>
      </c>
      <c r="C72" s="1">
        <v>6</v>
      </c>
      <c r="D72" s="1" t="s">
        <v>18</v>
      </c>
      <c r="E72" s="1">
        <v>8</v>
      </c>
      <c r="F72" s="1">
        <v>0</v>
      </c>
      <c r="G72" s="1" t="s">
        <v>17</v>
      </c>
      <c r="H72" s="1">
        <v>16</v>
      </c>
      <c r="I72" s="1">
        <v>1</v>
      </c>
      <c r="J72" s="1" t="s">
        <v>17</v>
      </c>
      <c r="K72" s="1">
        <v>0</v>
      </c>
      <c r="L72" s="1" t="s">
        <v>19</v>
      </c>
      <c r="M72" s="1" t="s">
        <v>20</v>
      </c>
      <c r="N72" s="1" t="s">
        <v>17</v>
      </c>
      <c r="O72" s="1">
        <v>275.51999899999998</v>
      </c>
      <c r="P72" s="1">
        <v>253.10754299999999</v>
      </c>
      <c r="Q72" s="2">
        <f t="shared" si="2"/>
        <v>8.1346022362608947E-2</v>
      </c>
      <c r="R72" s="4">
        <v>19.63</v>
      </c>
      <c r="S72" s="5">
        <v>9.8899996373802423E-5</v>
      </c>
    </row>
    <row r="73" spans="1:19">
      <c r="A73" s="1" t="s">
        <v>91</v>
      </c>
      <c r="B73" s="1">
        <v>14</v>
      </c>
      <c r="C73" s="1">
        <v>6</v>
      </c>
      <c r="D73" s="1" t="s">
        <v>17</v>
      </c>
      <c r="E73" s="1">
        <v>8</v>
      </c>
      <c r="F73" s="1">
        <v>6</v>
      </c>
      <c r="G73" s="1" t="s">
        <v>17</v>
      </c>
      <c r="H73" s="1">
        <v>10</v>
      </c>
      <c r="I73" s="1">
        <v>6</v>
      </c>
      <c r="J73" s="1" t="s">
        <v>17</v>
      </c>
      <c r="K73" s="1">
        <v>1</v>
      </c>
      <c r="L73" s="1" t="s">
        <v>19</v>
      </c>
      <c r="M73" s="1" t="s">
        <v>20</v>
      </c>
      <c r="N73" s="1" t="s">
        <v>18</v>
      </c>
      <c r="O73" s="1">
        <v>370.16000100000002</v>
      </c>
      <c r="P73" s="1">
        <v>356.32096100000001</v>
      </c>
      <c r="Q73" s="2">
        <f t="shared" si="2"/>
        <v>3.7386643512571233E-2</v>
      </c>
      <c r="R73" s="4">
        <v>19.34</v>
      </c>
      <c r="S73" s="5">
        <v>1.0629999451339239E-4</v>
      </c>
    </row>
    <row r="74" spans="1:19">
      <c r="A74" s="1" t="s">
        <v>92</v>
      </c>
      <c r="B74" s="1">
        <v>16</v>
      </c>
      <c r="C74" s="1">
        <v>8</v>
      </c>
      <c r="D74" s="1" t="s">
        <v>18</v>
      </c>
      <c r="E74" s="1">
        <v>10</v>
      </c>
      <c r="F74" s="1">
        <v>2</v>
      </c>
      <c r="G74" s="1" t="s">
        <v>18</v>
      </c>
      <c r="H74" s="1">
        <v>8</v>
      </c>
      <c r="I74" s="1">
        <v>2</v>
      </c>
      <c r="J74" s="1" t="s">
        <v>18</v>
      </c>
      <c r="K74" s="1">
        <v>2</v>
      </c>
      <c r="L74" s="1" t="s">
        <v>19</v>
      </c>
      <c r="M74" s="1" t="s">
        <v>20</v>
      </c>
      <c r="N74" s="1" t="s">
        <v>18</v>
      </c>
      <c r="O74" s="1">
        <v>391.44000299999999</v>
      </c>
      <c r="P74" s="1">
        <v>375.40590800000001</v>
      </c>
      <c r="Q74" s="2">
        <f t="shared" si="2"/>
        <v>4.0961820143865006E-2</v>
      </c>
      <c r="R74" s="4">
        <v>19.45</v>
      </c>
      <c r="S74" s="5">
        <v>1.2420001439750189E-4</v>
      </c>
    </row>
    <row r="75" spans="1:19">
      <c r="A75" s="1" t="s">
        <v>93</v>
      </c>
      <c r="B75" s="1">
        <v>8</v>
      </c>
      <c r="C75" s="1">
        <v>4</v>
      </c>
      <c r="D75" s="1" t="s">
        <v>17</v>
      </c>
      <c r="E75" s="1">
        <v>12</v>
      </c>
      <c r="F75" s="1">
        <v>2</v>
      </c>
      <c r="G75" s="1" t="s">
        <v>17</v>
      </c>
      <c r="H75" s="1">
        <v>5</v>
      </c>
      <c r="I75" s="1">
        <v>2</v>
      </c>
      <c r="J75" s="1" t="s">
        <v>17</v>
      </c>
      <c r="K75" s="1">
        <v>6</v>
      </c>
      <c r="L75" s="1" t="s">
        <v>19</v>
      </c>
      <c r="M75" s="1" t="s">
        <v>20</v>
      </c>
      <c r="N75" s="1" t="s">
        <v>17</v>
      </c>
      <c r="O75" s="1">
        <v>512.39998700000001</v>
      </c>
      <c r="P75" s="1">
        <v>513.23332800000003</v>
      </c>
      <c r="Q75" s="2">
        <f t="shared" si="2"/>
        <v>1.6263485970775767E-3</v>
      </c>
      <c r="R75" s="4">
        <v>20.100000000000001</v>
      </c>
      <c r="S75" s="5">
        <v>9.8099990282207727E-5</v>
      </c>
    </row>
    <row r="76" spans="1:19">
      <c r="A76" s="1" t="s">
        <v>94</v>
      </c>
      <c r="B76" s="1">
        <v>8</v>
      </c>
      <c r="C76" s="1">
        <v>2</v>
      </c>
      <c r="D76" s="1" t="s">
        <v>17</v>
      </c>
      <c r="E76" s="1">
        <v>14</v>
      </c>
      <c r="F76" s="1">
        <v>6</v>
      </c>
      <c r="G76" s="1" t="s">
        <v>17</v>
      </c>
      <c r="H76" s="1">
        <v>9</v>
      </c>
      <c r="I76" s="1">
        <v>0</v>
      </c>
      <c r="J76" s="1" t="s">
        <v>17</v>
      </c>
      <c r="K76" s="1">
        <v>4</v>
      </c>
      <c r="L76" s="1" t="s">
        <v>19</v>
      </c>
      <c r="M76" s="1" t="s">
        <v>20</v>
      </c>
      <c r="N76" s="1" t="s">
        <v>18</v>
      </c>
      <c r="O76" s="1">
        <v>663.60000700000001</v>
      </c>
      <c r="P76" s="1">
        <v>662.35356100000001</v>
      </c>
      <c r="Q76" s="2">
        <f t="shared" si="2"/>
        <v>1.8783092026097457E-3</v>
      </c>
      <c r="R76" s="4">
        <v>19.510000000000002</v>
      </c>
      <c r="S76" s="5">
        <v>1.032000291161239E-4</v>
      </c>
    </row>
    <row r="77" spans="1:19">
      <c r="A77" s="1" t="s">
        <v>95</v>
      </c>
      <c r="B77" s="1">
        <v>10</v>
      </c>
      <c r="C77" s="1">
        <v>6</v>
      </c>
      <c r="D77" s="1" t="s">
        <v>17</v>
      </c>
      <c r="E77" s="1">
        <v>9</v>
      </c>
      <c r="F77" s="1">
        <v>0</v>
      </c>
      <c r="G77" s="1" t="s">
        <v>17</v>
      </c>
      <c r="H77" s="1">
        <v>12</v>
      </c>
      <c r="I77" s="1">
        <v>3</v>
      </c>
      <c r="J77" s="1" t="s">
        <v>17</v>
      </c>
      <c r="K77" s="1">
        <v>4</v>
      </c>
      <c r="L77" s="1" t="s">
        <v>19</v>
      </c>
      <c r="M77" s="1" t="s">
        <v>20</v>
      </c>
      <c r="N77" s="1" t="s">
        <v>17</v>
      </c>
      <c r="O77" s="1">
        <v>893.19997899999998</v>
      </c>
      <c r="P77" s="1">
        <v>868.82003299999997</v>
      </c>
      <c r="Q77" s="2">
        <f t="shared" si="2"/>
        <v>2.7295058859377806E-2</v>
      </c>
      <c r="R77" s="4">
        <v>19.82</v>
      </c>
      <c r="S77" s="5">
        <v>1.0210002074018119E-4</v>
      </c>
    </row>
    <row r="78" spans="1:19">
      <c r="A78" s="1" t="s">
        <v>96</v>
      </c>
      <c r="B78" s="1">
        <v>9</v>
      </c>
      <c r="C78" s="1">
        <v>2</v>
      </c>
      <c r="D78" s="1" t="s">
        <v>18</v>
      </c>
      <c r="E78" s="1">
        <v>5</v>
      </c>
      <c r="F78" s="1">
        <v>0</v>
      </c>
      <c r="G78" s="1" t="s">
        <v>17</v>
      </c>
      <c r="H78" s="1">
        <v>12</v>
      </c>
      <c r="I78" s="1">
        <v>1</v>
      </c>
      <c r="J78" s="1" t="s">
        <v>17</v>
      </c>
      <c r="K78" s="1">
        <v>0</v>
      </c>
      <c r="L78" s="1" t="s">
        <v>19</v>
      </c>
      <c r="M78" s="1" t="s">
        <v>20</v>
      </c>
      <c r="N78" s="1" t="s">
        <v>17</v>
      </c>
      <c r="O78" s="1">
        <v>226.23999900000001</v>
      </c>
      <c r="P78" s="1">
        <v>218.10491200000001</v>
      </c>
      <c r="Q78" s="2">
        <f t="shared" si="2"/>
        <v>3.5957775088215051E-2</v>
      </c>
      <c r="R78" s="4">
        <v>19.68</v>
      </c>
      <c r="S78" s="5">
        <v>9.699998190626502E-5</v>
      </c>
    </row>
    <row r="79" spans="1:19">
      <c r="A79" s="1" t="s">
        <v>97</v>
      </c>
      <c r="B79" s="1">
        <v>9</v>
      </c>
      <c r="C79" s="1">
        <v>1</v>
      </c>
      <c r="D79" s="1" t="s">
        <v>18</v>
      </c>
      <c r="E79" s="1">
        <v>6</v>
      </c>
      <c r="F79" s="1">
        <v>2</v>
      </c>
      <c r="G79" s="1" t="s">
        <v>18</v>
      </c>
      <c r="H79" s="1">
        <v>9</v>
      </c>
      <c r="I79" s="1">
        <v>8</v>
      </c>
      <c r="J79" s="1" t="s">
        <v>18</v>
      </c>
      <c r="K79" s="1">
        <v>2</v>
      </c>
      <c r="L79" s="1" t="s">
        <v>19</v>
      </c>
      <c r="M79" s="1" t="s">
        <v>20</v>
      </c>
      <c r="N79" s="1" t="s">
        <v>18</v>
      </c>
      <c r="O79" s="1">
        <v>117.60000100000001</v>
      </c>
      <c r="P79" s="1">
        <v>127.6934</v>
      </c>
      <c r="Q79" s="2">
        <f t="shared" si="2"/>
        <v>8.582822205928374E-2</v>
      </c>
      <c r="R79" s="4">
        <v>20.16</v>
      </c>
      <c r="S79" s="5">
        <v>9.6899981144815683E-5</v>
      </c>
    </row>
    <row r="80" spans="1:19">
      <c r="A80" s="1" t="s">
        <v>98</v>
      </c>
      <c r="B80" s="1">
        <v>10</v>
      </c>
      <c r="C80" s="1">
        <v>1</v>
      </c>
      <c r="D80" s="1" t="s">
        <v>17</v>
      </c>
      <c r="E80" s="1">
        <v>12</v>
      </c>
      <c r="F80" s="1">
        <v>6</v>
      </c>
      <c r="G80" s="1" t="s">
        <v>18</v>
      </c>
      <c r="H80" s="1">
        <v>16</v>
      </c>
      <c r="I80" s="1">
        <v>8</v>
      </c>
      <c r="J80" s="1" t="s">
        <v>17</v>
      </c>
      <c r="K80" s="1">
        <v>3</v>
      </c>
      <c r="L80" s="1" t="s">
        <v>19</v>
      </c>
      <c r="M80" s="1" t="s">
        <v>20</v>
      </c>
      <c r="N80" s="1" t="s">
        <v>18</v>
      </c>
      <c r="O80" s="1">
        <v>721.28000899999995</v>
      </c>
      <c r="P80" s="1">
        <v>731.67791599999998</v>
      </c>
      <c r="Q80" s="2">
        <f t="shared" si="2"/>
        <v>1.4415909037068617E-2</v>
      </c>
      <c r="R80" s="4">
        <v>19.97</v>
      </c>
      <c r="S80" s="5">
        <v>1.018000184558332E-4</v>
      </c>
    </row>
    <row r="81" spans="1:19">
      <c r="A81" s="1" t="s">
        <v>99</v>
      </c>
      <c r="B81" s="1">
        <v>14</v>
      </c>
      <c r="C81" s="1">
        <v>3</v>
      </c>
      <c r="D81" s="1" t="s">
        <v>17</v>
      </c>
      <c r="E81" s="1">
        <v>9</v>
      </c>
      <c r="F81" s="1">
        <v>2</v>
      </c>
      <c r="G81" s="1" t="s">
        <v>18</v>
      </c>
      <c r="H81" s="1">
        <v>9</v>
      </c>
      <c r="I81" s="1">
        <v>3</v>
      </c>
      <c r="J81" s="1" t="s">
        <v>17</v>
      </c>
      <c r="K81" s="1">
        <v>2</v>
      </c>
      <c r="L81" s="1" t="s">
        <v>19</v>
      </c>
      <c r="M81" s="1" t="s">
        <v>20</v>
      </c>
      <c r="N81" s="1" t="s">
        <v>18</v>
      </c>
      <c r="O81" s="1">
        <v>414.96000299999997</v>
      </c>
      <c r="P81" s="1">
        <v>402.498107</v>
      </c>
      <c r="Q81" s="2">
        <f t="shared" si="2"/>
        <v>3.0031559451285161E-2</v>
      </c>
      <c r="R81" s="4">
        <v>19.989999999999998</v>
      </c>
      <c r="S81" s="5">
        <v>9.8899996373802423E-5</v>
      </c>
    </row>
    <row r="82" spans="1:19">
      <c r="A82" s="1" t="s">
        <v>100</v>
      </c>
      <c r="B82" s="1">
        <v>12</v>
      </c>
      <c r="C82" s="1">
        <v>2</v>
      </c>
      <c r="D82" s="1" t="s">
        <v>17</v>
      </c>
      <c r="E82" s="1">
        <v>12</v>
      </c>
      <c r="F82" s="1">
        <v>2</v>
      </c>
      <c r="G82" s="1" t="s">
        <v>18</v>
      </c>
      <c r="H82" s="1">
        <v>16</v>
      </c>
      <c r="I82" s="1">
        <v>4</v>
      </c>
      <c r="J82" s="1" t="s">
        <v>17</v>
      </c>
      <c r="K82" s="1">
        <v>0</v>
      </c>
      <c r="L82" s="1" t="s">
        <v>19</v>
      </c>
      <c r="M82" s="1" t="s">
        <v>20</v>
      </c>
      <c r="N82" s="1" t="s">
        <v>17</v>
      </c>
      <c r="O82" s="1">
        <v>343.83999799999998</v>
      </c>
      <c r="P82" s="1">
        <v>354.41042700000003</v>
      </c>
      <c r="Q82" s="2">
        <f t="shared" si="2"/>
        <v>3.0742290197430862E-2</v>
      </c>
      <c r="R82" s="4">
        <v>19.7</v>
      </c>
      <c r="S82" s="5">
        <v>9.9900003988295794E-5</v>
      </c>
    </row>
    <row r="83" spans="1:19">
      <c r="A83" s="1" t="s">
        <v>101</v>
      </c>
      <c r="B83" s="1">
        <v>6</v>
      </c>
      <c r="C83" s="1">
        <v>4</v>
      </c>
      <c r="D83" s="1" t="s">
        <v>17</v>
      </c>
      <c r="E83" s="1">
        <v>4</v>
      </c>
      <c r="F83" s="1">
        <v>3</v>
      </c>
      <c r="G83" s="1" t="s">
        <v>17</v>
      </c>
      <c r="H83" s="1">
        <v>9</v>
      </c>
      <c r="I83" s="1">
        <v>0</v>
      </c>
      <c r="J83" s="1" t="s">
        <v>17</v>
      </c>
      <c r="K83" s="1">
        <v>2</v>
      </c>
      <c r="L83" s="1" t="s">
        <v>19</v>
      </c>
      <c r="M83" s="1" t="s">
        <v>20</v>
      </c>
      <c r="N83" s="1" t="s">
        <v>18</v>
      </c>
      <c r="O83" s="1">
        <v>309.680004</v>
      </c>
      <c r="P83" s="1">
        <v>311.30898400000001</v>
      </c>
      <c r="Q83" s="2">
        <f t="shared" si="2"/>
        <v>5.2602040136889589E-3</v>
      </c>
      <c r="R83" s="4">
        <v>19.38</v>
      </c>
      <c r="S83" s="5">
        <v>9.3000009655952454E-5</v>
      </c>
    </row>
    <row r="84" spans="1:19">
      <c r="A84" s="1" t="s">
        <v>102</v>
      </c>
      <c r="B84" s="1">
        <v>9</v>
      </c>
      <c r="C84" s="1">
        <v>6</v>
      </c>
      <c r="D84" s="1" t="s">
        <v>18</v>
      </c>
      <c r="E84" s="1">
        <v>9</v>
      </c>
      <c r="F84" s="1">
        <v>2</v>
      </c>
      <c r="G84" s="1" t="s">
        <v>18</v>
      </c>
      <c r="H84" s="1">
        <v>8</v>
      </c>
      <c r="I84" s="1">
        <v>6</v>
      </c>
      <c r="J84" s="1" t="s">
        <v>18</v>
      </c>
      <c r="K84" s="1">
        <v>2</v>
      </c>
      <c r="L84" s="1" t="s">
        <v>19</v>
      </c>
      <c r="M84" s="1" t="s">
        <v>20</v>
      </c>
      <c r="N84" s="1" t="s">
        <v>17</v>
      </c>
      <c r="O84" s="1">
        <v>324.23999300000003</v>
      </c>
      <c r="P84" s="1">
        <v>313.62459999999999</v>
      </c>
      <c r="Q84" s="2">
        <f t="shared" si="2"/>
        <v>3.2739308010039464E-2</v>
      </c>
      <c r="R84" s="4">
        <v>19.87</v>
      </c>
      <c r="S84" s="5">
        <v>1.008000108413398E-4</v>
      </c>
    </row>
    <row r="85" spans="1:19">
      <c r="A85" s="1" t="s">
        <v>103</v>
      </c>
      <c r="B85" s="1">
        <v>12</v>
      </c>
      <c r="C85" s="1">
        <v>6</v>
      </c>
      <c r="D85" s="1" t="s">
        <v>17</v>
      </c>
      <c r="E85" s="1">
        <v>14</v>
      </c>
      <c r="F85" s="1">
        <v>2</v>
      </c>
      <c r="G85" s="1" t="s">
        <v>17</v>
      </c>
      <c r="H85" s="1">
        <v>8</v>
      </c>
      <c r="I85" s="1">
        <v>4</v>
      </c>
      <c r="J85" s="1" t="s">
        <v>17</v>
      </c>
      <c r="K85" s="1">
        <v>6</v>
      </c>
      <c r="L85" s="1" t="s">
        <v>19</v>
      </c>
      <c r="M85" s="1" t="s">
        <v>20</v>
      </c>
      <c r="N85" s="1" t="s">
        <v>18</v>
      </c>
      <c r="O85" s="1">
        <v>705.04001000000005</v>
      </c>
      <c r="P85" s="1">
        <v>707.39525400000002</v>
      </c>
      <c r="Q85" s="2">
        <f t="shared" si="2"/>
        <v>3.3405820472514323E-3</v>
      </c>
      <c r="R85" s="4">
        <v>19.86</v>
      </c>
      <c r="S85" s="5">
        <v>1.003000070340931E-4</v>
      </c>
    </row>
    <row r="86" spans="1:19">
      <c r="A86" s="1" t="s">
        <v>104</v>
      </c>
      <c r="B86" s="1">
        <v>8</v>
      </c>
      <c r="C86" s="1">
        <v>4</v>
      </c>
      <c r="D86" s="1" t="s">
        <v>18</v>
      </c>
      <c r="E86" s="1">
        <v>8</v>
      </c>
      <c r="F86" s="1">
        <v>1</v>
      </c>
      <c r="G86" s="1" t="s">
        <v>18</v>
      </c>
      <c r="H86" s="1">
        <v>10</v>
      </c>
      <c r="I86" s="1">
        <v>1</v>
      </c>
      <c r="J86" s="1" t="s">
        <v>18</v>
      </c>
      <c r="K86" s="1">
        <v>4</v>
      </c>
      <c r="L86" s="1" t="s">
        <v>19</v>
      </c>
      <c r="M86" s="1" t="s">
        <v>20</v>
      </c>
      <c r="N86" s="1" t="s">
        <v>17</v>
      </c>
      <c r="O86" s="1">
        <v>655.75998400000003</v>
      </c>
      <c r="P86" s="1">
        <v>649.73611800000003</v>
      </c>
      <c r="Q86" s="2">
        <f t="shared" si="2"/>
        <v>9.1860835472998264E-3</v>
      </c>
      <c r="R86" s="4">
        <v>19.37</v>
      </c>
      <c r="S86" s="5">
        <v>1.3249996118247509E-4</v>
      </c>
    </row>
    <row r="87" spans="1:19">
      <c r="A87" s="1" t="s">
        <v>105</v>
      </c>
      <c r="B87" s="1">
        <v>10</v>
      </c>
      <c r="C87" s="1">
        <v>3</v>
      </c>
      <c r="D87" s="1" t="s">
        <v>17</v>
      </c>
      <c r="E87" s="1">
        <v>8</v>
      </c>
      <c r="F87" s="1">
        <v>2</v>
      </c>
      <c r="G87" s="1" t="s">
        <v>18</v>
      </c>
      <c r="H87" s="1">
        <v>8</v>
      </c>
      <c r="I87" s="1">
        <v>2</v>
      </c>
      <c r="J87" s="1" t="s">
        <v>17</v>
      </c>
      <c r="K87" s="1">
        <v>3</v>
      </c>
      <c r="L87" s="1" t="s">
        <v>19</v>
      </c>
      <c r="M87" s="1" t="s">
        <v>20</v>
      </c>
      <c r="N87" s="1" t="s">
        <v>17</v>
      </c>
      <c r="O87" s="1">
        <v>512.39998900000001</v>
      </c>
      <c r="P87" s="1">
        <v>509.80590799999999</v>
      </c>
      <c r="Q87" s="2">
        <f t="shared" si="2"/>
        <v>5.0626093982996103E-3</v>
      </c>
      <c r="R87" s="4">
        <v>19.63</v>
      </c>
      <c r="S87" s="5">
        <v>1.0629999451339239E-4</v>
      </c>
    </row>
    <row r="88" spans="1:19">
      <c r="A88" s="1" t="s">
        <v>106</v>
      </c>
      <c r="B88" s="1">
        <v>12</v>
      </c>
      <c r="C88" s="1">
        <v>3</v>
      </c>
      <c r="D88" s="1" t="s">
        <v>18</v>
      </c>
      <c r="E88" s="1">
        <v>9</v>
      </c>
      <c r="F88" s="1">
        <v>6</v>
      </c>
      <c r="G88" s="1" t="s">
        <v>17</v>
      </c>
      <c r="H88" s="1">
        <v>16</v>
      </c>
      <c r="I88" s="1">
        <v>3</v>
      </c>
      <c r="J88" s="1" t="s">
        <v>17</v>
      </c>
      <c r="K88" s="1">
        <v>1</v>
      </c>
      <c r="L88" s="1" t="s">
        <v>19</v>
      </c>
      <c r="M88" s="1" t="s">
        <v>20</v>
      </c>
      <c r="N88" s="1" t="s">
        <v>18</v>
      </c>
      <c r="O88" s="1">
        <v>502.88000199999999</v>
      </c>
      <c r="P88" s="1">
        <v>504.50034599999998</v>
      </c>
      <c r="Q88" s="2">
        <f t="shared" si="2"/>
        <v>3.2221285267971119E-3</v>
      </c>
      <c r="R88" s="4">
        <v>19.829999999999998</v>
      </c>
      <c r="S88" s="5">
        <v>1.044999808073044E-4</v>
      </c>
    </row>
    <row r="89" spans="1:19">
      <c r="A89" s="1" t="s">
        <v>107</v>
      </c>
      <c r="B89" s="1">
        <v>10</v>
      </c>
      <c r="C89" s="1">
        <v>8</v>
      </c>
      <c r="D89" s="1" t="s">
        <v>18</v>
      </c>
      <c r="E89" s="1">
        <v>12</v>
      </c>
      <c r="F89" s="1">
        <v>6</v>
      </c>
      <c r="G89" s="1" t="s">
        <v>17</v>
      </c>
      <c r="H89" s="1">
        <v>5</v>
      </c>
      <c r="I89" s="1">
        <v>1</v>
      </c>
      <c r="J89" s="1" t="s">
        <v>17</v>
      </c>
      <c r="K89" s="1">
        <v>2</v>
      </c>
      <c r="L89" s="1" t="s">
        <v>19</v>
      </c>
      <c r="M89" s="1" t="s">
        <v>20</v>
      </c>
      <c r="N89" s="1" t="s">
        <v>18</v>
      </c>
      <c r="O89" s="1">
        <v>275.52000199999998</v>
      </c>
      <c r="P89" s="1">
        <v>296.892877</v>
      </c>
      <c r="Q89" s="2">
        <f t="shared" si="2"/>
        <v>7.757286166105655E-2</v>
      </c>
      <c r="R89" s="4">
        <v>19.37</v>
      </c>
      <c r="S89" s="5">
        <v>1.0279996786266569E-4</v>
      </c>
    </row>
    <row r="90" spans="1:19">
      <c r="A90" s="1" t="s">
        <v>108</v>
      </c>
      <c r="B90" s="1">
        <v>8</v>
      </c>
      <c r="C90" s="1">
        <v>3</v>
      </c>
      <c r="D90" s="1" t="s">
        <v>17</v>
      </c>
      <c r="E90" s="1">
        <v>6</v>
      </c>
      <c r="F90" s="1">
        <v>2</v>
      </c>
      <c r="G90" s="1" t="s">
        <v>17</v>
      </c>
      <c r="H90" s="1">
        <v>16</v>
      </c>
      <c r="I90" s="1">
        <v>2</v>
      </c>
      <c r="J90" s="1" t="s">
        <v>17</v>
      </c>
      <c r="K90" s="1">
        <v>2</v>
      </c>
      <c r="L90" s="1" t="s">
        <v>19</v>
      </c>
      <c r="M90" s="1" t="s">
        <v>20</v>
      </c>
      <c r="N90" s="1" t="s">
        <v>17</v>
      </c>
      <c r="O90" s="1">
        <v>625.51998600000002</v>
      </c>
      <c r="P90" s="1">
        <v>618.241219</v>
      </c>
      <c r="Q90" s="2">
        <f t="shared" si="2"/>
        <v>1.1636346020764901E-2</v>
      </c>
      <c r="R90" s="4">
        <v>20.2</v>
      </c>
      <c r="S90" s="5">
        <v>9.4100018031895161E-5</v>
      </c>
    </row>
    <row r="91" spans="1:19">
      <c r="A91" s="1" t="s">
        <v>109</v>
      </c>
      <c r="B91" s="1">
        <v>10</v>
      </c>
      <c r="C91" s="1">
        <v>6</v>
      </c>
      <c r="D91" s="1" t="s">
        <v>18</v>
      </c>
      <c r="E91" s="1">
        <v>9</v>
      </c>
      <c r="F91" s="1">
        <v>4</v>
      </c>
      <c r="G91" s="1" t="s">
        <v>17</v>
      </c>
      <c r="H91" s="1">
        <v>5</v>
      </c>
      <c r="I91" s="1">
        <v>1</v>
      </c>
      <c r="J91" s="1" t="s">
        <v>17</v>
      </c>
      <c r="K91" s="1">
        <v>2</v>
      </c>
      <c r="L91" s="1" t="s">
        <v>19</v>
      </c>
      <c r="M91" s="1" t="s">
        <v>20</v>
      </c>
      <c r="N91" s="1" t="s">
        <v>18</v>
      </c>
      <c r="O91" s="1">
        <v>270.48000200000001</v>
      </c>
      <c r="P91" s="1">
        <v>267.99212799999998</v>
      </c>
      <c r="Q91" s="2">
        <f t="shared" si="2"/>
        <v>9.197996086971463E-3</v>
      </c>
      <c r="R91" s="4">
        <v>19.899999999999999</v>
      </c>
      <c r="S91" s="5">
        <v>9.6599978860467672E-5</v>
      </c>
    </row>
    <row r="92" spans="1:19">
      <c r="A92" s="1" t="s">
        <v>110</v>
      </c>
      <c r="B92" s="1">
        <v>8</v>
      </c>
      <c r="C92" s="1">
        <v>1</v>
      </c>
      <c r="D92" s="1" t="s">
        <v>17</v>
      </c>
      <c r="E92" s="1">
        <v>12</v>
      </c>
      <c r="F92" s="1">
        <v>6</v>
      </c>
      <c r="G92" s="1" t="s">
        <v>17</v>
      </c>
      <c r="H92" s="1">
        <v>8</v>
      </c>
      <c r="I92" s="1">
        <v>0</v>
      </c>
      <c r="J92" s="1" t="s">
        <v>17</v>
      </c>
      <c r="K92" s="1">
        <v>0</v>
      </c>
      <c r="L92" s="1" t="s">
        <v>19</v>
      </c>
      <c r="M92" s="1" t="s">
        <v>20</v>
      </c>
      <c r="N92" s="1" t="s">
        <v>17</v>
      </c>
      <c r="O92" s="1">
        <v>226.79999900000001</v>
      </c>
      <c r="P92" s="1">
        <v>216.72566</v>
      </c>
      <c r="Q92" s="2">
        <f t="shared" si="2"/>
        <v>4.4419484322837273E-2</v>
      </c>
      <c r="R92" s="4">
        <v>20.04</v>
      </c>
      <c r="S92" s="5">
        <v>9.7899988759309053E-5</v>
      </c>
    </row>
    <row r="93" spans="1:19">
      <c r="A93" s="1" t="s">
        <v>111</v>
      </c>
      <c r="B93" s="1">
        <v>6</v>
      </c>
      <c r="C93" s="1">
        <v>1</v>
      </c>
      <c r="D93" s="1" t="s">
        <v>17</v>
      </c>
      <c r="E93" s="1">
        <v>10</v>
      </c>
      <c r="F93" s="1">
        <v>4</v>
      </c>
      <c r="G93" s="1" t="s">
        <v>17</v>
      </c>
      <c r="H93" s="1">
        <v>16</v>
      </c>
      <c r="I93" s="1">
        <v>2</v>
      </c>
      <c r="J93" s="1" t="s">
        <v>17</v>
      </c>
      <c r="K93" s="1">
        <v>3</v>
      </c>
      <c r="L93" s="1" t="s">
        <v>19</v>
      </c>
      <c r="M93" s="1" t="s">
        <v>20</v>
      </c>
      <c r="N93" s="1" t="s">
        <v>18</v>
      </c>
      <c r="O93" s="1">
        <v>772.24000999999998</v>
      </c>
      <c r="P93" s="1">
        <v>756.111717</v>
      </c>
      <c r="Q93" s="2">
        <f t="shared" si="2"/>
        <v>2.0885078202565528E-2</v>
      </c>
      <c r="R93" s="4">
        <v>19.55</v>
      </c>
      <c r="S93" s="5">
        <v>9.5099967438727617E-5</v>
      </c>
    </row>
    <row r="94" spans="1:19">
      <c r="A94" s="1" t="s">
        <v>112</v>
      </c>
      <c r="B94" s="1">
        <v>9</v>
      </c>
      <c r="C94" s="1">
        <v>3</v>
      </c>
      <c r="D94" s="1" t="s">
        <v>17</v>
      </c>
      <c r="E94" s="1">
        <v>9</v>
      </c>
      <c r="F94" s="1">
        <v>4</v>
      </c>
      <c r="G94" s="1" t="s">
        <v>18</v>
      </c>
      <c r="H94" s="1">
        <v>16</v>
      </c>
      <c r="I94" s="1">
        <v>6</v>
      </c>
      <c r="J94" s="1" t="s">
        <v>17</v>
      </c>
      <c r="K94" s="1">
        <v>2</v>
      </c>
      <c r="L94" s="1" t="s">
        <v>19</v>
      </c>
      <c r="M94" s="1" t="s">
        <v>20</v>
      </c>
      <c r="N94" s="1" t="s">
        <v>17</v>
      </c>
      <c r="O94" s="1">
        <v>605.91998699999999</v>
      </c>
      <c r="P94" s="1">
        <v>625.933449</v>
      </c>
      <c r="Q94" s="2">
        <f t="shared" si="2"/>
        <v>3.302987593970886E-2</v>
      </c>
      <c r="R94" s="4">
        <v>19.28</v>
      </c>
      <c r="S94" s="5">
        <v>9.6099975053220987E-5</v>
      </c>
    </row>
    <row r="95" spans="1:19">
      <c r="A95" s="1" t="s">
        <v>113</v>
      </c>
      <c r="B95" s="1">
        <v>9</v>
      </c>
      <c r="C95" s="1">
        <v>1</v>
      </c>
      <c r="D95" s="1" t="s">
        <v>17</v>
      </c>
      <c r="E95" s="1">
        <v>8</v>
      </c>
      <c r="F95" s="1">
        <v>3</v>
      </c>
      <c r="G95" s="1" t="s">
        <v>18</v>
      </c>
      <c r="H95" s="1">
        <v>10</v>
      </c>
      <c r="I95" s="1">
        <v>2</v>
      </c>
      <c r="J95" s="1" t="s">
        <v>17</v>
      </c>
      <c r="K95" s="1">
        <v>3</v>
      </c>
      <c r="L95" s="1" t="s">
        <v>19</v>
      </c>
      <c r="M95" s="1" t="s">
        <v>20</v>
      </c>
      <c r="N95" s="1" t="s">
        <v>18</v>
      </c>
      <c r="O95" s="1">
        <v>537.60000600000001</v>
      </c>
      <c r="P95" s="1">
        <v>569.35563400000001</v>
      </c>
      <c r="Q95" s="2">
        <f t="shared" si="2"/>
        <v>5.9069247852649769E-2</v>
      </c>
      <c r="R95" s="4">
        <v>19.86</v>
      </c>
      <c r="S95" s="5">
        <v>9.5200026407837868E-5</v>
      </c>
    </row>
    <row r="96" spans="1:19">
      <c r="A96" s="1" t="s">
        <v>114</v>
      </c>
      <c r="B96" s="1">
        <v>6</v>
      </c>
      <c r="C96" s="1">
        <v>3</v>
      </c>
      <c r="D96" s="1" t="s">
        <v>18</v>
      </c>
      <c r="E96" s="1">
        <v>12</v>
      </c>
      <c r="F96" s="1">
        <v>4</v>
      </c>
      <c r="G96" s="1" t="s">
        <v>18</v>
      </c>
      <c r="H96" s="1">
        <v>10</v>
      </c>
      <c r="I96" s="1">
        <v>0</v>
      </c>
      <c r="J96" s="1" t="s">
        <v>18</v>
      </c>
      <c r="K96" s="1">
        <v>2</v>
      </c>
      <c r="L96" s="1" t="s">
        <v>19</v>
      </c>
      <c r="M96" s="1" t="s">
        <v>20</v>
      </c>
      <c r="N96" s="1" t="s">
        <v>18</v>
      </c>
      <c r="O96" s="1">
        <v>385.28000300000002</v>
      </c>
      <c r="P96" s="1">
        <v>396.52036500000003</v>
      </c>
      <c r="Q96" s="2">
        <f t="shared" si="2"/>
        <v>2.9174527389110316E-2</v>
      </c>
      <c r="R96" s="4">
        <v>19.52</v>
      </c>
      <c r="S96" s="5">
        <v>1.003000070340931E-4</v>
      </c>
    </row>
    <row r="97" spans="1:19">
      <c r="A97" s="1" t="s">
        <v>115</v>
      </c>
      <c r="B97" s="1">
        <v>12</v>
      </c>
      <c r="C97" s="1">
        <v>1</v>
      </c>
      <c r="D97" s="1" t="s">
        <v>18</v>
      </c>
      <c r="E97" s="1">
        <v>9</v>
      </c>
      <c r="F97" s="1">
        <v>1</v>
      </c>
      <c r="G97" s="1" t="s">
        <v>18</v>
      </c>
      <c r="H97" s="1">
        <v>12</v>
      </c>
      <c r="I97" s="1">
        <v>4</v>
      </c>
      <c r="J97" s="1" t="s">
        <v>18</v>
      </c>
      <c r="K97" s="1">
        <v>2</v>
      </c>
      <c r="L97" s="1" t="s">
        <v>19</v>
      </c>
      <c r="M97" s="1" t="s">
        <v>20</v>
      </c>
      <c r="N97" s="1" t="s">
        <v>17</v>
      </c>
      <c r="O97" s="1">
        <v>461.43999100000002</v>
      </c>
      <c r="P97" s="1">
        <v>465.273661</v>
      </c>
      <c r="Q97" s="2">
        <f t="shared" si="2"/>
        <v>8.3080575476172456E-3</v>
      </c>
      <c r="R97" s="4">
        <v>20.04</v>
      </c>
      <c r="S97" s="5">
        <v>9.699998190626502E-5</v>
      </c>
    </row>
    <row r="98" spans="1:19">
      <c r="A98" s="1" t="s">
        <v>116</v>
      </c>
      <c r="B98" s="1">
        <v>12</v>
      </c>
      <c r="C98" s="1">
        <v>2</v>
      </c>
      <c r="D98" s="1" t="s">
        <v>18</v>
      </c>
      <c r="E98" s="1">
        <v>9</v>
      </c>
      <c r="F98" s="1">
        <v>2</v>
      </c>
      <c r="G98" s="1" t="s">
        <v>17</v>
      </c>
      <c r="H98" s="1">
        <v>8</v>
      </c>
      <c r="I98" s="1">
        <v>2</v>
      </c>
      <c r="J98" s="1" t="s">
        <v>17</v>
      </c>
      <c r="K98" s="1">
        <v>3</v>
      </c>
      <c r="L98" s="1" t="s">
        <v>19</v>
      </c>
      <c r="M98" s="1" t="s">
        <v>20</v>
      </c>
      <c r="N98" s="1" t="s">
        <v>18</v>
      </c>
      <c r="O98" s="1">
        <v>485.52000500000003</v>
      </c>
      <c r="P98" s="1">
        <v>469.48590799999999</v>
      </c>
      <c r="Q98" s="2">
        <f t="shared" ref="Q98:Q129" si="3">ABS(P98-O98)/O98</f>
        <v>3.3024585670779989E-2</v>
      </c>
      <c r="R98" s="4">
        <v>19.28</v>
      </c>
      <c r="S98" s="5">
        <v>9.3900016508996487E-5</v>
      </c>
    </row>
    <row r="99" spans="1:19">
      <c r="A99" s="1" t="s">
        <v>117</v>
      </c>
      <c r="B99" s="1">
        <v>14</v>
      </c>
      <c r="C99" s="1">
        <v>3</v>
      </c>
      <c r="D99" s="1" t="s">
        <v>18</v>
      </c>
      <c r="E99" s="1">
        <v>6</v>
      </c>
      <c r="F99" s="1">
        <v>3</v>
      </c>
      <c r="G99" s="1" t="s">
        <v>17</v>
      </c>
      <c r="H99" s="1">
        <v>8</v>
      </c>
      <c r="I99" s="1">
        <v>4</v>
      </c>
      <c r="J99" s="1" t="s">
        <v>17</v>
      </c>
      <c r="K99" s="1">
        <v>3</v>
      </c>
      <c r="L99" s="1" t="s">
        <v>19</v>
      </c>
      <c r="M99" s="1" t="s">
        <v>20</v>
      </c>
      <c r="N99" s="1" t="s">
        <v>18</v>
      </c>
      <c r="O99" s="1">
        <v>439.60000400000001</v>
      </c>
      <c r="P99" s="1">
        <v>411.92512299999999</v>
      </c>
      <c r="Q99" s="2">
        <f t="shared" si="3"/>
        <v>6.2954687780212182E-2</v>
      </c>
      <c r="R99" s="4">
        <v>20.02</v>
      </c>
      <c r="S99" s="5">
        <v>9.4300019554793835E-5</v>
      </c>
    </row>
    <row r="100" spans="1:19">
      <c r="A100" s="1" t="s">
        <v>118</v>
      </c>
      <c r="B100" s="1">
        <v>16</v>
      </c>
      <c r="C100" s="1">
        <v>4</v>
      </c>
      <c r="D100" s="1" t="s">
        <v>18</v>
      </c>
      <c r="E100" s="1">
        <v>12</v>
      </c>
      <c r="F100" s="1">
        <v>1</v>
      </c>
      <c r="G100" s="1" t="s">
        <v>17</v>
      </c>
      <c r="H100" s="1">
        <v>9</v>
      </c>
      <c r="I100" s="1">
        <v>3</v>
      </c>
      <c r="J100" s="1" t="s">
        <v>17</v>
      </c>
      <c r="K100" s="1">
        <v>2</v>
      </c>
      <c r="L100" s="1" t="s">
        <v>19</v>
      </c>
      <c r="M100" s="1" t="s">
        <v>20</v>
      </c>
      <c r="N100" s="1" t="s">
        <v>17</v>
      </c>
      <c r="O100" s="1">
        <v>447.43999200000002</v>
      </c>
      <c r="P100" s="1">
        <v>410.57278000000002</v>
      </c>
      <c r="Q100" s="2">
        <f t="shared" si="3"/>
        <v>8.2395880250239223E-2</v>
      </c>
      <c r="R100" s="4">
        <v>19.2</v>
      </c>
      <c r="S100" s="5">
        <v>9.7199983429163694E-5</v>
      </c>
    </row>
    <row r="101" spans="1:19">
      <c r="A101" s="1" t="s">
        <v>119</v>
      </c>
      <c r="B101" s="1">
        <v>8</v>
      </c>
      <c r="C101" s="1">
        <v>3</v>
      </c>
      <c r="D101" s="1" t="s">
        <v>18</v>
      </c>
      <c r="E101" s="1">
        <v>6</v>
      </c>
      <c r="F101" s="1">
        <v>2</v>
      </c>
      <c r="G101" s="1" t="s">
        <v>18</v>
      </c>
      <c r="H101" s="1">
        <v>16</v>
      </c>
      <c r="I101" s="1">
        <v>3</v>
      </c>
      <c r="J101" s="1" t="s">
        <v>18</v>
      </c>
      <c r="K101" s="1">
        <v>4</v>
      </c>
      <c r="L101" s="1" t="s">
        <v>19</v>
      </c>
      <c r="M101" s="1" t="s">
        <v>20</v>
      </c>
      <c r="N101" s="1" t="s">
        <v>17</v>
      </c>
      <c r="O101" s="1">
        <v>675.919984</v>
      </c>
      <c r="P101" s="1">
        <v>669.72579599999995</v>
      </c>
      <c r="Q101" s="2">
        <f t="shared" si="3"/>
        <v>9.1640847239694186E-3</v>
      </c>
      <c r="R101" s="4">
        <v>19.97</v>
      </c>
      <c r="S101" s="5">
        <v>9.5900031737983227E-5</v>
      </c>
    </row>
    <row r="102" spans="1:19">
      <c r="Q102" s="6">
        <f>AVERAGE(Q2:Q101)</f>
        <v>3.5804586159284127E-2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2"/>
  <sheetViews>
    <sheetView topLeftCell="D1" workbookViewId="0">
      <pane ySplit="1" topLeftCell="A83" activePane="bottomLeft" state="frozen"/>
      <selection pane="bottomLeft" activeCell="R103" sqref="R103"/>
    </sheetView>
  </sheetViews>
  <sheetFormatPr defaultRowHeight="14"/>
  <cols>
    <col min="1" max="1" width="6.6640625" customWidth="1"/>
    <col min="2" max="2" width="13.4140625" customWidth="1"/>
    <col min="3" max="3" width="14.1640625" customWidth="1"/>
    <col min="4" max="4" width="18.75" customWidth="1"/>
    <col min="5" max="5" width="13.4140625" customWidth="1"/>
    <col min="6" max="6" width="14.1640625" customWidth="1"/>
    <col min="7" max="7" width="18.75" customWidth="1"/>
    <col min="8" max="8" width="13.5" customWidth="1"/>
    <col min="9" max="9" width="14.25" customWidth="1"/>
    <col min="10" max="10" width="18.9140625" customWidth="1"/>
    <col min="11" max="11" width="6.75" customWidth="1"/>
    <col min="12" max="12" width="9.9140625" customWidth="1"/>
    <col min="13" max="13" width="9.75" customWidth="1"/>
    <col min="14" max="14" width="9.1640625" customWidth="1"/>
    <col min="15" max="15" width="8.9140625" customWidth="1"/>
    <col min="16" max="16" width="15" customWidth="1"/>
    <col min="17" max="17" width="10.25" customWidth="1"/>
    <col min="18" max="18" width="6" customWidth="1"/>
    <col min="19" max="19" width="9.9140625" customWidth="1"/>
  </cols>
  <sheetData>
    <row r="1" spans="1:20">
      <c r="A1" s="3" t="s">
        <v>0</v>
      </c>
      <c r="B1" s="3" t="s">
        <v>253</v>
      </c>
      <c r="C1" s="3" t="s">
        <v>254</v>
      </c>
      <c r="D1" s="3" t="s">
        <v>255</v>
      </c>
      <c r="E1" s="3" t="s">
        <v>256</v>
      </c>
      <c r="F1" s="3" t="s">
        <v>257</v>
      </c>
      <c r="G1" s="3" t="s">
        <v>258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260</v>
      </c>
      <c r="P1" s="3" t="s">
        <v>11</v>
      </c>
      <c r="Q1" s="3" t="s">
        <v>261</v>
      </c>
      <c r="R1" s="3" t="s">
        <v>13</v>
      </c>
      <c r="S1" s="3" t="s">
        <v>14</v>
      </c>
      <c r="T1" s="3" t="s">
        <v>15</v>
      </c>
    </row>
    <row r="2" spans="1:20">
      <c r="A2" s="1" t="s">
        <v>16</v>
      </c>
      <c r="B2" s="1">
        <v>10</v>
      </c>
      <c r="C2" s="1">
        <v>1</v>
      </c>
      <c r="D2" s="1" t="s">
        <v>18</v>
      </c>
      <c r="E2" s="1">
        <v>5</v>
      </c>
      <c r="F2" s="1">
        <v>2</v>
      </c>
      <c r="G2" s="1" t="s">
        <v>18</v>
      </c>
      <c r="H2" s="1">
        <v>5</v>
      </c>
      <c r="I2" s="1">
        <v>0</v>
      </c>
      <c r="J2" s="1" t="s">
        <v>18</v>
      </c>
      <c r="K2" s="1">
        <v>4</v>
      </c>
      <c r="L2" s="1" t="s">
        <v>19</v>
      </c>
      <c r="M2" s="1" t="s">
        <v>20</v>
      </c>
      <c r="N2" s="1" t="s">
        <v>18</v>
      </c>
      <c r="O2" s="1" t="s">
        <v>262</v>
      </c>
      <c r="P2" s="1">
        <v>2279.4799859999998</v>
      </c>
      <c r="Q2" s="1">
        <v>2292.63321</v>
      </c>
      <c r="R2" s="2">
        <f t="shared" ref="R2:R33" si="0">ABS(Q2-P2)/P2</f>
        <v>5.7702739575622389E-3</v>
      </c>
      <c r="S2" s="4">
        <v>22.87</v>
      </c>
      <c r="T2" s="5">
        <v>9.9929998395964503E-4</v>
      </c>
    </row>
    <row r="3" spans="1:20">
      <c r="A3" s="1" t="s">
        <v>21</v>
      </c>
      <c r="B3" s="1">
        <v>14</v>
      </c>
      <c r="C3" s="1">
        <v>2</v>
      </c>
      <c r="D3" s="1" t="s">
        <v>17</v>
      </c>
      <c r="E3" s="1">
        <v>9</v>
      </c>
      <c r="F3" s="1">
        <v>6</v>
      </c>
      <c r="G3" s="1" t="s">
        <v>17</v>
      </c>
      <c r="H3" s="1">
        <v>12</v>
      </c>
      <c r="I3" s="1">
        <v>6</v>
      </c>
      <c r="J3" s="1" t="s">
        <v>17</v>
      </c>
      <c r="K3" s="1">
        <v>3</v>
      </c>
      <c r="L3" s="1" t="s">
        <v>19</v>
      </c>
      <c r="M3" s="1" t="s">
        <v>20</v>
      </c>
      <c r="N3" s="1" t="s">
        <v>18</v>
      </c>
      <c r="O3" s="1" t="s">
        <v>263</v>
      </c>
      <c r="P3" s="1">
        <v>6964.4399659999999</v>
      </c>
      <c r="Q3" s="1">
        <v>6931.2972920000002</v>
      </c>
      <c r="R3" s="2">
        <f t="shared" si="0"/>
        <v>4.758842658103217E-3</v>
      </c>
      <c r="S3" s="4">
        <v>24.74</v>
      </c>
      <c r="T3" s="5">
        <v>1.0796000133268539E-3</v>
      </c>
    </row>
    <row r="4" spans="1:20">
      <c r="A4" s="1" t="s">
        <v>22</v>
      </c>
      <c r="B4" s="1">
        <v>12</v>
      </c>
      <c r="C4" s="1">
        <v>6</v>
      </c>
      <c r="D4" s="1" t="s">
        <v>18</v>
      </c>
      <c r="E4" s="1">
        <v>6</v>
      </c>
      <c r="F4" s="1">
        <v>4</v>
      </c>
      <c r="G4" s="1" t="s">
        <v>17</v>
      </c>
      <c r="H4" s="1">
        <v>6</v>
      </c>
      <c r="I4" s="1">
        <v>4</v>
      </c>
      <c r="J4" s="1" t="s">
        <v>17</v>
      </c>
      <c r="K4" s="1">
        <v>0</v>
      </c>
      <c r="L4" s="1" t="s">
        <v>19</v>
      </c>
      <c r="M4" s="1" t="s">
        <v>20</v>
      </c>
      <c r="N4" s="1" t="s">
        <v>18</v>
      </c>
      <c r="O4" s="1" t="s">
        <v>262</v>
      </c>
      <c r="P4" s="1">
        <v>3315.1999759999999</v>
      </c>
      <c r="Q4" s="1">
        <v>3237.2938119999999</v>
      </c>
      <c r="R4" s="2">
        <f t="shared" si="0"/>
        <v>2.3499687670123219E-2</v>
      </c>
      <c r="S4" s="4">
        <v>24.98</v>
      </c>
      <c r="T4" s="5">
        <v>1.000599993858486E-3</v>
      </c>
    </row>
    <row r="5" spans="1:20">
      <c r="A5" s="1" t="s">
        <v>23</v>
      </c>
      <c r="B5" s="1">
        <v>14</v>
      </c>
      <c r="C5" s="1">
        <v>6</v>
      </c>
      <c r="D5" s="1" t="s">
        <v>18</v>
      </c>
      <c r="E5" s="1">
        <v>10</v>
      </c>
      <c r="F5" s="1">
        <v>2</v>
      </c>
      <c r="G5" s="1" t="s">
        <v>17</v>
      </c>
      <c r="H5" s="1">
        <v>8</v>
      </c>
      <c r="I5" s="1">
        <v>4</v>
      </c>
      <c r="J5" s="1" t="s">
        <v>17</v>
      </c>
      <c r="K5" s="1">
        <v>6</v>
      </c>
      <c r="L5" s="1" t="s">
        <v>19</v>
      </c>
      <c r="M5" s="1" t="s">
        <v>20</v>
      </c>
      <c r="N5" s="1" t="s">
        <v>17</v>
      </c>
      <c r="O5" s="1" t="s">
        <v>262</v>
      </c>
      <c r="P5" s="1">
        <v>6426.8399399999998</v>
      </c>
      <c r="Q5" s="1">
        <v>6411.0588749999997</v>
      </c>
      <c r="R5" s="2">
        <f t="shared" si="0"/>
        <v>2.4554937025551824E-3</v>
      </c>
      <c r="S5" s="4">
        <v>25.68</v>
      </c>
      <c r="T5" s="5">
        <v>1.119900029152632E-3</v>
      </c>
    </row>
    <row r="6" spans="1:20">
      <c r="A6" s="1" t="s">
        <v>24</v>
      </c>
      <c r="B6" s="1">
        <v>9</v>
      </c>
      <c r="C6" s="1">
        <v>6</v>
      </c>
      <c r="D6" s="1" t="s">
        <v>18</v>
      </c>
      <c r="E6" s="1">
        <v>12</v>
      </c>
      <c r="F6" s="1">
        <v>1</v>
      </c>
      <c r="G6" s="1" t="s">
        <v>18</v>
      </c>
      <c r="H6" s="1">
        <v>12</v>
      </c>
      <c r="I6" s="1">
        <v>1</v>
      </c>
      <c r="J6" s="1" t="s">
        <v>18</v>
      </c>
      <c r="K6" s="1">
        <v>0</v>
      </c>
      <c r="L6" s="1" t="s">
        <v>19</v>
      </c>
      <c r="M6" s="1" t="s">
        <v>20</v>
      </c>
      <c r="N6" s="1" t="s">
        <v>18</v>
      </c>
      <c r="O6" s="1" t="s">
        <v>262</v>
      </c>
      <c r="P6" s="1">
        <v>4156.5999650000003</v>
      </c>
      <c r="Q6" s="1">
        <v>4202.6617489999999</v>
      </c>
      <c r="R6" s="2">
        <f t="shared" si="0"/>
        <v>1.1081601402072747E-2</v>
      </c>
      <c r="S6" s="4">
        <v>25.4</v>
      </c>
      <c r="T6" s="5">
        <v>1.0253000073134899E-3</v>
      </c>
    </row>
    <row r="7" spans="1:20">
      <c r="A7" s="1" t="s">
        <v>25</v>
      </c>
      <c r="B7" s="1">
        <v>16</v>
      </c>
      <c r="C7" s="1">
        <v>3</v>
      </c>
      <c r="D7" s="1" t="s">
        <v>17</v>
      </c>
      <c r="E7" s="1">
        <v>6</v>
      </c>
      <c r="F7" s="1">
        <v>1</v>
      </c>
      <c r="G7" s="1" t="s">
        <v>17</v>
      </c>
      <c r="H7" s="1">
        <v>10</v>
      </c>
      <c r="I7" s="1">
        <v>0</v>
      </c>
      <c r="J7" s="1" t="s">
        <v>17</v>
      </c>
      <c r="K7" s="1">
        <v>2</v>
      </c>
      <c r="L7" s="1" t="s">
        <v>19</v>
      </c>
      <c r="M7" s="1" t="s">
        <v>20</v>
      </c>
      <c r="N7" s="1" t="s">
        <v>17</v>
      </c>
      <c r="O7" s="1" t="s">
        <v>262</v>
      </c>
      <c r="P7" s="1">
        <v>4826.9199660000004</v>
      </c>
      <c r="Q7" s="1">
        <v>4704.56268</v>
      </c>
      <c r="R7" s="2">
        <f t="shared" si="0"/>
        <v>2.5348936146002875E-2</v>
      </c>
      <c r="S7" s="4">
        <v>26.75</v>
      </c>
      <c r="T7" s="5">
        <v>1.0069999843835831E-3</v>
      </c>
    </row>
    <row r="8" spans="1:20">
      <c r="A8" s="1" t="s">
        <v>26</v>
      </c>
      <c r="B8" s="1">
        <v>10</v>
      </c>
      <c r="C8" s="1">
        <v>1</v>
      </c>
      <c r="D8" s="1" t="s">
        <v>17</v>
      </c>
      <c r="E8" s="1">
        <v>12</v>
      </c>
      <c r="F8" s="1">
        <v>6</v>
      </c>
      <c r="G8" s="1" t="s">
        <v>17</v>
      </c>
      <c r="H8" s="1">
        <v>6</v>
      </c>
      <c r="I8" s="1">
        <v>3</v>
      </c>
      <c r="J8" s="1" t="s">
        <v>17</v>
      </c>
      <c r="K8" s="1">
        <v>2</v>
      </c>
      <c r="L8" s="1" t="s">
        <v>19</v>
      </c>
      <c r="M8" s="1" t="s">
        <v>20</v>
      </c>
      <c r="N8" s="1" t="s">
        <v>18</v>
      </c>
      <c r="O8" s="1" t="s">
        <v>262</v>
      </c>
      <c r="P8" s="1">
        <v>5417.4399679999997</v>
      </c>
      <c r="Q8" s="1">
        <v>5199.7083309999998</v>
      </c>
      <c r="R8" s="2">
        <f t="shared" si="0"/>
        <v>4.0190872125230329E-2</v>
      </c>
      <c r="S8" s="4">
        <v>26.57</v>
      </c>
      <c r="T8" s="5">
        <v>1.0046999668702481E-3</v>
      </c>
    </row>
    <row r="9" spans="1:20">
      <c r="A9" s="1" t="s">
        <v>27</v>
      </c>
      <c r="B9" s="1">
        <v>14</v>
      </c>
      <c r="C9" s="1">
        <v>1</v>
      </c>
      <c r="D9" s="1" t="s">
        <v>18</v>
      </c>
      <c r="E9" s="1">
        <v>14</v>
      </c>
      <c r="F9" s="1">
        <v>6</v>
      </c>
      <c r="G9" s="1" t="s">
        <v>17</v>
      </c>
      <c r="H9" s="1">
        <v>6</v>
      </c>
      <c r="I9" s="1">
        <v>1</v>
      </c>
      <c r="J9" s="1" t="s">
        <v>17</v>
      </c>
      <c r="K9" s="1">
        <v>2</v>
      </c>
      <c r="L9" s="1" t="s">
        <v>19</v>
      </c>
      <c r="M9" s="1" t="s">
        <v>20</v>
      </c>
      <c r="N9" s="1" t="s">
        <v>18</v>
      </c>
      <c r="O9" s="1" t="s">
        <v>263</v>
      </c>
      <c r="P9" s="1">
        <v>9280.0399340000004</v>
      </c>
      <c r="Q9" s="1">
        <v>9116.1900029999997</v>
      </c>
      <c r="R9" s="2">
        <f t="shared" si="0"/>
        <v>1.7656166586060798E-2</v>
      </c>
      <c r="S9" s="4">
        <v>25.75</v>
      </c>
      <c r="T9" s="5">
        <v>1.144499983638525E-3</v>
      </c>
    </row>
    <row r="10" spans="1:20">
      <c r="A10" s="1" t="s">
        <v>28</v>
      </c>
      <c r="B10" s="1">
        <v>10</v>
      </c>
      <c r="C10" s="1">
        <v>8</v>
      </c>
      <c r="D10" s="1" t="s">
        <v>18</v>
      </c>
      <c r="E10" s="1">
        <v>14</v>
      </c>
      <c r="F10" s="1">
        <v>3</v>
      </c>
      <c r="G10" s="1" t="s">
        <v>18</v>
      </c>
      <c r="H10" s="1">
        <v>5</v>
      </c>
      <c r="I10" s="1">
        <v>2</v>
      </c>
      <c r="J10" s="1" t="s">
        <v>18</v>
      </c>
      <c r="K10" s="1">
        <v>3</v>
      </c>
      <c r="L10" s="1" t="s">
        <v>19</v>
      </c>
      <c r="M10" s="1" t="s">
        <v>20</v>
      </c>
      <c r="N10" s="1" t="s">
        <v>18</v>
      </c>
      <c r="O10" s="1" t="s">
        <v>263</v>
      </c>
      <c r="P10" s="1">
        <v>5842.4799540000004</v>
      </c>
      <c r="Q10" s="1">
        <v>5668.8322909999997</v>
      </c>
      <c r="R10" s="2">
        <f t="shared" si="0"/>
        <v>2.9721567616353459E-2</v>
      </c>
      <c r="S10" s="4">
        <v>23.27</v>
      </c>
      <c r="T10" s="5">
        <v>1.121400040574372E-3</v>
      </c>
    </row>
    <row r="11" spans="1:20">
      <c r="A11" s="1" t="s">
        <v>29</v>
      </c>
      <c r="B11" s="1">
        <v>9</v>
      </c>
      <c r="C11" s="1">
        <v>2</v>
      </c>
      <c r="D11" s="1" t="s">
        <v>17</v>
      </c>
      <c r="E11" s="1">
        <v>8</v>
      </c>
      <c r="F11" s="1">
        <v>2</v>
      </c>
      <c r="G11" s="1" t="s">
        <v>17</v>
      </c>
      <c r="H11" s="1">
        <v>10</v>
      </c>
      <c r="I11" s="1">
        <v>6</v>
      </c>
      <c r="J11" s="1" t="s">
        <v>17</v>
      </c>
      <c r="K11" s="1">
        <v>6</v>
      </c>
      <c r="L11" s="1" t="s">
        <v>19</v>
      </c>
      <c r="M11" s="1" t="s">
        <v>20</v>
      </c>
      <c r="N11" s="1" t="s">
        <v>17</v>
      </c>
      <c r="O11" s="1" t="s">
        <v>263</v>
      </c>
      <c r="P11" s="1">
        <v>4647.4399549999998</v>
      </c>
      <c r="Q11" s="1">
        <v>4574.7207280000002</v>
      </c>
      <c r="R11" s="2">
        <f t="shared" si="0"/>
        <v>1.5647157941602624E-2</v>
      </c>
      <c r="S11" s="4">
        <v>23.25</v>
      </c>
      <c r="T11" s="5">
        <v>1.030399987939745E-3</v>
      </c>
    </row>
    <row r="12" spans="1:20">
      <c r="A12" s="1" t="s">
        <v>30</v>
      </c>
      <c r="B12" s="1">
        <v>14</v>
      </c>
      <c r="C12" s="1">
        <v>1</v>
      </c>
      <c r="D12" s="1" t="s">
        <v>17</v>
      </c>
      <c r="E12" s="1">
        <v>12</v>
      </c>
      <c r="F12" s="1">
        <v>4</v>
      </c>
      <c r="G12" s="1" t="s">
        <v>18</v>
      </c>
      <c r="H12" s="1">
        <v>5</v>
      </c>
      <c r="I12" s="1">
        <v>2</v>
      </c>
      <c r="J12" s="1" t="s">
        <v>17</v>
      </c>
      <c r="K12" s="1">
        <v>1</v>
      </c>
      <c r="L12" s="1" t="s">
        <v>19</v>
      </c>
      <c r="M12" s="1" t="s">
        <v>20</v>
      </c>
      <c r="N12" s="1" t="s">
        <v>17</v>
      </c>
      <c r="O12" s="1" t="s">
        <v>262</v>
      </c>
      <c r="P12" s="1">
        <v>6733.43995</v>
      </c>
      <c r="Q12" s="1">
        <v>6773.7883250000004</v>
      </c>
      <c r="R12" s="2">
        <f t="shared" si="0"/>
        <v>5.9922380387457804E-3</v>
      </c>
      <c r="S12" s="4">
        <v>27.03</v>
      </c>
      <c r="T12" s="5">
        <v>1.037900045048445E-3</v>
      </c>
    </row>
    <row r="13" spans="1:20">
      <c r="A13" s="1" t="s">
        <v>31</v>
      </c>
      <c r="B13" s="1">
        <v>16</v>
      </c>
      <c r="C13" s="1">
        <v>8</v>
      </c>
      <c r="D13" s="1" t="s">
        <v>18</v>
      </c>
      <c r="E13" s="1">
        <v>5</v>
      </c>
      <c r="F13" s="1">
        <v>2</v>
      </c>
      <c r="G13" s="1" t="s">
        <v>17</v>
      </c>
      <c r="H13" s="1">
        <v>12</v>
      </c>
      <c r="I13" s="1">
        <v>4</v>
      </c>
      <c r="J13" s="1" t="s">
        <v>17</v>
      </c>
      <c r="K13" s="1">
        <v>0</v>
      </c>
      <c r="L13" s="1" t="s">
        <v>19</v>
      </c>
      <c r="M13" s="1" t="s">
        <v>20</v>
      </c>
      <c r="N13" s="1" t="s">
        <v>18</v>
      </c>
      <c r="O13" s="1" t="s">
        <v>262</v>
      </c>
      <c r="P13" s="1">
        <v>3783.919973</v>
      </c>
      <c r="Q13" s="1">
        <v>3816.1527270000001</v>
      </c>
      <c r="R13" s="2">
        <f t="shared" si="0"/>
        <v>8.5183498144769335E-3</v>
      </c>
      <c r="S13" s="4">
        <v>25.64</v>
      </c>
      <c r="T13" s="5">
        <v>1.011500018648803E-3</v>
      </c>
    </row>
    <row r="14" spans="1:20">
      <c r="A14" s="1" t="s">
        <v>32</v>
      </c>
      <c r="B14" s="1">
        <v>9</v>
      </c>
      <c r="C14" s="1">
        <v>1</v>
      </c>
      <c r="D14" s="1" t="s">
        <v>17</v>
      </c>
      <c r="E14" s="1">
        <v>12</v>
      </c>
      <c r="F14" s="1">
        <v>6</v>
      </c>
      <c r="G14" s="1" t="s">
        <v>17</v>
      </c>
      <c r="H14" s="1">
        <v>16</v>
      </c>
      <c r="I14" s="1">
        <v>8</v>
      </c>
      <c r="J14" s="1" t="s">
        <v>17</v>
      </c>
      <c r="K14" s="1">
        <v>0</v>
      </c>
      <c r="L14" s="1" t="s">
        <v>19</v>
      </c>
      <c r="M14" s="1" t="s">
        <v>20</v>
      </c>
      <c r="N14" s="1" t="s">
        <v>18</v>
      </c>
      <c r="O14" s="1" t="s">
        <v>262</v>
      </c>
      <c r="P14" s="1">
        <v>5123.439961</v>
      </c>
      <c r="Q14" s="1">
        <v>5046.5383830000001</v>
      </c>
      <c r="R14" s="2">
        <f t="shared" si="0"/>
        <v>1.5009754888391473E-2</v>
      </c>
      <c r="S14" s="4">
        <v>26.86</v>
      </c>
      <c r="T14" s="5">
        <v>1.0943999513983731E-3</v>
      </c>
    </row>
    <row r="15" spans="1:20">
      <c r="A15" s="1" t="s">
        <v>33</v>
      </c>
      <c r="B15" s="1">
        <v>16</v>
      </c>
      <c r="C15" s="1">
        <v>4</v>
      </c>
      <c r="D15" s="1" t="s">
        <v>17</v>
      </c>
      <c r="E15" s="1">
        <v>5</v>
      </c>
      <c r="F15" s="1">
        <v>2</v>
      </c>
      <c r="G15" s="1" t="s">
        <v>17</v>
      </c>
      <c r="H15" s="1">
        <v>16</v>
      </c>
      <c r="I15" s="1">
        <v>4</v>
      </c>
      <c r="J15" s="1" t="s">
        <v>17</v>
      </c>
      <c r="K15" s="1">
        <v>3</v>
      </c>
      <c r="L15" s="1" t="s">
        <v>19</v>
      </c>
      <c r="M15" s="1" t="s">
        <v>20</v>
      </c>
      <c r="N15" s="1" t="s">
        <v>17</v>
      </c>
      <c r="O15" s="1" t="s">
        <v>262</v>
      </c>
      <c r="P15" s="1">
        <v>4801.7199570000002</v>
      </c>
      <c r="Q15" s="1">
        <v>4781.5975959999996</v>
      </c>
      <c r="R15" s="2">
        <f t="shared" si="0"/>
        <v>4.1906569271425416E-3</v>
      </c>
      <c r="S15" s="4">
        <v>25.34</v>
      </c>
      <c r="T15" s="5">
        <v>1.0551000013947489E-3</v>
      </c>
    </row>
    <row r="16" spans="1:20">
      <c r="A16" s="1" t="s">
        <v>34</v>
      </c>
      <c r="B16" s="1">
        <v>16</v>
      </c>
      <c r="C16" s="1">
        <v>2</v>
      </c>
      <c r="D16" s="1" t="s">
        <v>17</v>
      </c>
      <c r="E16" s="1">
        <v>10</v>
      </c>
      <c r="F16" s="1">
        <v>6</v>
      </c>
      <c r="G16" s="1" t="s">
        <v>18</v>
      </c>
      <c r="H16" s="1">
        <v>10</v>
      </c>
      <c r="I16" s="1">
        <v>3</v>
      </c>
      <c r="J16" s="1" t="s">
        <v>17</v>
      </c>
      <c r="K16" s="1">
        <v>4</v>
      </c>
      <c r="L16" s="1" t="s">
        <v>19</v>
      </c>
      <c r="M16" s="1" t="s">
        <v>20</v>
      </c>
      <c r="N16" s="1" t="s">
        <v>17</v>
      </c>
      <c r="O16" s="1" t="s">
        <v>263</v>
      </c>
      <c r="P16" s="1">
        <v>8273.9999320000006</v>
      </c>
      <c r="Q16" s="1">
        <v>8187.960016</v>
      </c>
      <c r="R16" s="2">
        <f t="shared" si="0"/>
        <v>1.0398829672120019E-2</v>
      </c>
      <c r="S16" s="4">
        <v>25.7</v>
      </c>
      <c r="T16" s="5">
        <v>1.13940000301227E-3</v>
      </c>
    </row>
    <row r="17" spans="1:20">
      <c r="A17" s="1" t="s">
        <v>35</v>
      </c>
      <c r="B17" s="1">
        <v>8</v>
      </c>
      <c r="C17" s="1">
        <v>2</v>
      </c>
      <c r="D17" s="1" t="s">
        <v>18</v>
      </c>
      <c r="E17" s="1">
        <v>10</v>
      </c>
      <c r="F17" s="1">
        <v>6</v>
      </c>
      <c r="G17" s="1" t="s">
        <v>17</v>
      </c>
      <c r="H17" s="1">
        <v>9</v>
      </c>
      <c r="I17" s="1">
        <v>1</v>
      </c>
      <c r="J17" s="1" t="s">
        <v>17</v>
      </c>
      <c r="K17" s="1">
        <v>6</v>
      </c>
      <c r="L17" s="1" t="s">
        <v>19</v>
      </c>
      <c r="M17" s="1" t="s">
        <v>20</v>
      </c>
      <c r="N17" s="1" t="s">
        <v>18</v>
      </c>
      <c r="O17" s="1" t="s">
        <v>262</v>
      </c>
      <c r="P17" s="1">
        <v>4446.3999869999998</v>
      </c>
      <c r="Q17" s="1">
        <v>4367.1882740000001</v>
      </c>
      <c r="R17" s="2">
        <f t="shared" si="0"/>
        <v>1.7814796966442979E-2</v>
      </c>
      <c r="S17" s="4">
        <v>25.08</v>
      </c>
      <c r="T17" s="5">
        <v>1.0402000043541191E-3</v>
      </c>
    </row>
    <row r="18" spans="1:20">
      <c r="A18" s="1" t="s">
        <v>36</v>
      </c>
      <c r="B18" s="1">
        <v>14</v>
      </c>
      <c r="C18" s="1">
        <v>3</v>
      </c>
      <c r="D18" s="1" t="s">
        <v>17</v>
      </c>
      <c r="E18" s="1">
        <v>14</v>
      </c>
      <c r="F18" s="1">
        <v>3</v>
      </c>
      <c r="G18" s="1" t="s">
        <v>17</v>
      </c>
      <c r="H18" s="1">
        <v>9</v>
      </c>
      <c r="I18" s="1">
        <v>2</v>
      </c>
      <c r="J18" s="1" t="s">
        <v>17</v>
      </c>
      <c r="K18" s="1">
        <v>0</v>
      </c>
      <c r="L18" s="1" t="s">
        <v>19</v>
      </c>
      <c r="M18" s="1" t="s">
        <v>20</v>
      </c>
      <c r="N18" s="1" t="s">
        <v>17</v>
      </c>
      <c r="O18" s="1" t="s">
        <v>263</v>
      </c>
      <c r="P18" s="1">
        <v>9701.9999189999999</v>
      </c>
      <c r="Q18" s="1">
        <v>9530.9367120000006</v>
      </c>
      <c r="R18" s="2">
        <f t="shared" si="0"/>
        <v>1.7631746900450499E-2</v>
      </c>
      <c r="S18" s="4">
        <v>25.86</v>
      </c>
      <c r="T18" s="5">
        <v>1.100599998608232E-3</v>
      </c>
    </row>
    <row r="19" spans="1:20">
      <c r="A19" s="1" t="s">
        <v>37</v>
      </c>
      <c r="B19" s="1">
        <v>12</v>
      </c>
      <c r="C19" s="1">
        <v>4</v>
      </c>
      <c r="D19" s="1" t="s">
        <v>17</v>
      </c>
      <c r="E19" s="1">
        <v>12</v>
      </c>
      <c r="F19" s="1">
        <v>4</v>
      </c>
      <c r="G19" s="1" t="s">
        <v>17</v>
      </c>
      <c r="H19" s="1">
        <v>5</v>
      </c>
      <c r="I19" s="1">
        <v>1</v>
      </c>
      <c r="J19" s="1" t="s">
        <v>17</v>
      </c>
      <c r="K19" s="1">
        <v>2</v>
      </c>
      <c r="L19" s="1" t="s">
        <v>19</v>
      </c>
      <c r="M19" s="1" t="s">
        <v>20</v>
      </c>
      <c r="N19" s="1" t="s">
        <v>17</v>
      </c>
      <c r="O19" s="1" t="s">
        <v>263</v>
      </c>
      <c r="P19" s="1">
        <v>7346.3599459999996</v>
      </c>
      <c r="Q19" s="1">
        <v>7188.1469559999996</v>
      </c>
      <c r="R19" s="2">
        <f t="shared" si="0"/>
        <v>2.1536242596735949E-2</v>
      </c>
      <c r="S19" s="4">
        <v>23.96</v>
      </c>
      <c r="T19" s="5">
        <v>1.0592999751679599E-3</v>
      </c>
    </row>
    <row r="20" spans="1:20">
      <c r="A20" s="1" t="s">
        <v>38</v>
      </c>
      <c r="B20" s="1">
        <v>8</v>
      </c>
      <c r="C20" s="1">
        <v>4</v>
      </c>
      <c r="D20" s="1" t="s">
        <v>17</v>
      </c>
      <c r="E20" s="1">
        <v>14</v>
      </c>
      <c r="F20" s="1">
        <v>6</v>
      </c>
      <c r="G20" s="1" t="s">
        <v>17</v>
      </c>
      <c r="H20" s="1">
        <v>5</v>
      </c>
      <c r="I20" s="1">
        <v>1</v>
      </c>
      <c r="J20" s="1" t="s">
        <v>17</v>
      </c>
      <c r="K20" s="1">
        <v>6</v>
      </c>
      <c r="L20" s="1" t="s">
        <v>19</v>
      </c>
      <c r="M20" s="1" t="s">
        <v>20</v>
      </c>
      <c r="N20" s="1" t="s">
        <v>17</v>
      </c>
      <c r="O20" s="1" t="s">
        <v>262</v>
      </c>
      <c r="P20" s="1">
        <v>5533.0799539999998</v>
      </c>
      <c r="Q20" s="1">
        <v>5144.6540160000004</v>
      </c>
      <c r="R20" s="2">
        <f t="shared" si="0"/>
        <v>7.020067326502244E-2</v>
      </c>
      <c r="S20" s="4">
        <v>26.18</v>
      </c>
      <c r="T20" s="5">
        <v>1.1908999877050519E-3</v>
      </c>
    </row>
    <row r="21" spans="1:20">
      <c r="A21" s="1" t="s">
        <v>39</v>
      </c>
      <c r="B21" s="1">
        <v>8</v>
      </c>
      <c r="C21" s="1">
        <v>6</v>
      </c>
      <c r="D21" s="1" t="s">
        <v>18</v>
      </c>
      <c r="E21" s="1">
        <v>10</v>
      </c>
      <c r="F21" s="1">
        <v>0</v>
      </c>
      <c r="G21" s="1" t="s">
        <v>18</v>
      </c>
      <c r="H21" s="1">
        <v>9</v>
      </c>
      <c r="I21" s="1">
        <v>0</v>
      </c>
      <c r="J21" s="1" t="s">
        <v>18</v>
      </c>
      <c r="K21" s="1">
        <v>3</v>
      </c>
      <c r="L21" s="1" t="s">
        <v>19</v>
      </c>
      <c r="M21" s="1" t="s">
        <v>20</v>
      </c>
      <c r="N21" s="1" t="s">
        <v>18</v>
      </c>
      <c r="O21" s="1" t="s">
        <v>262</v>
      </c>
      <c r="P21" s="1">
        <v>3495.2399789999999</v>
      </c>
      <c r="Q21" s="1">
        <v>3482.8267919999998</v>
      </c>
      <c r="R21" s="2">
        <f t="shared" si="0"/>
        <v>3.5514548570572146E-3</v>
      </c>
      <c r="S21" s="4">
        <v>23.95</v>
      </c>
      <c r="T21" s="5">
        <v>1.1631000088527801E-3</v>
      </c>
    </row>
    <row r="22" spans="1:20">
      <c r="A22" s="1" t="s">
        <v>40</v>
      </c>
      <c r="B22" s="1">
        <v>8</v>
      </c>
      <c r="C22" s="1">
        <v>6</v>
      </c>
      <c r="D22" s="1" t="s">
        <v>17</v>
      </c>
      <c r="E22" s="1">
        <v>4</v>
      </c>
      <c r="F22" s="1">
        <v>3</v>
      </c>
      <c r="G22" s="1" t="s">
        <v>17</v>
      </c>
      <c r="H22" s="1">
        <v>8</v>
      </c>
      <c r="I22" s="1">
        <v>1</v>
      </c>
      <c r="J22" s="1" t="s">
        <v>17</v>
      </c>
      <c r="K22" s="1">
        <v>4</v>
      </c>
      <c r="L22" s="1" t="s">
        <v>19</v>
      </c>
      <c r="M22" s="1" t="s">
        <v>20</v>
      </c>
      <c r="N22" s="1" t="s">
        <v>18</v>
      </c>
      <c r="O22" s="1" t="s">
        <v>262</v>
      </c>
      <c r="P22" s="1">
        <v>2367.6799959999998</v>
      </c>
      <c r="Q22" s="1">
        <v>2236.682546</v>
      </c>
      <c r="R22" s="2">
        <f t="shared" si="0"/>
        <v>5.5327345849654194E-2</v>
      </c>
      <c r="S22" s="4">
        <v>24.91</v>
      </c>
      <c r="T22" s="5">
        <v>1.090899982955307E-3</v>
      </c>
    </row>
    <row r="23" spans="1:20">
      <c r="A23" s="1" t="s">
        <v>41</v>
      </c>
      <c r="B23" s="1">
        <v>6</v>
      </c>
      <c r="C23" s="1">
        <v>2</v>
      </c>
      <c r="D23" s="1" t="s">
        <v>18</v>
      </c>
      <c r="E23" s="1">
        <v>5</v>
      </c>
      <c r="F23" s="1">
        <v>4</v>
      </c>
      <c r="G23" s="1" t="s">
        <v>17</v>
      </c>
      <c r="H23" s="1">
        <v>6</v>
      </c>
      <c r="I23" s="1">
        <v>0</v>
      </c>
      <c r="J23" s="1" t="s">
        <v>17</v>
      </c>
      <c r="K23" s="1">
        <v>2</v>
      </c>
      <c r="L23" s="1" t="s">
        <v>19</v>
      </c>
      <c r="M23" s="1" t="s">
        <v>20</v>
      </c>
      <c r="N23" s="1" t="s">
        <v>17</v>
      </c>
      <c r="O23" s="1" t="s">
        <v>263</v>
      </c>
      <c r="P23" s="1">
        <v>1847.719985</v>
      </c>
      <c r="Q23" s="1">
        <v>1872.2680330000001</v>
      </c>
      <c r="R23" s="2">
        <f t="shared" si="0"/>
        <v>1.3285588833418452E-2</v>
      </c>
      <c r="S23" s="4">
        <v>21.6</v>
      </c>
      <c r="T23" s="5">
        <v>1.051800034474581E-3</v>
      </c>
    </row>
    <row r="24" spans="1:20">
      <c r="A24" s="1" t="s">
        <v>42</v>
      </c>
      <c r="B24" s="1">
        <v>9</v>
      </c>
      <c r="C24" s="1">
        <v>1</v>
      </c>
      <c r="D24" s="1" t="s">
        <v>18</v>
      </c>
      <c r="E24" s="1">
        <v>8</v>
      </c>
      <c r="F24" s="1">
        <v>6</v>
      </c>
      <c r="G24" s="1" t="s">
        <v>17</v>
      </c>
      <c r="H24" s="1">
        <v>12</v>
      </c>
      <c r="I24" s="1">
        <v>8</v>
      </c>
      <c r="J24" s="1" t="s">
        <v>17</v>
      </c>
      <c r="K24" s="1">
        <v>3</v>
      </c>
      <c r="L24" s="1" t="s">
        <v>19</v>
      </c>
      <c r="M24" s="1" t="s">
        <v>20</v>
      </c>
      <c r="N24" s="1" t="s">
        <v>17</v>
      </c>
      <c r="O24" s="1" t="s">
        <v>262</v>
      </c>
      <c r="P24" s="1">
        <v>3863.1599630000001</v>
      </c>
      <c r="Q24" s="1">
        <v>3927.2763960000002</v>
      </c>
      <c r="R24" s="2">
        <f t="shared" si="0"/>
        <v>1.659688793994683E-2</v>
      </c>
      <c r="S24" s="4">
        <v>24.68</v>
      </c>
      <c r="T24" s="5">
        <v>1.0617000516504049E-3</v>
      </c>
    </row>
    <row r="25" spans="1:20">
      <c r="A25" s="1" t="s">
        <v>43</v>
      </c>
      <c r="B25" s="1">
        <v>14</v>
      </c>
      <c r="C25" s="1">
        <v>6</v>
      </c>
      <c r="D25" s="1" t="s">
        <v>17</v>
      </c>
      <c r="E25" s="1">
        <v>12</v>
      </c>
      <c r="F25" s="1">
        <v>6</v>
      </c>
      <c r="G25" s="1" t="s">
        <v>18</v>
      </c>
      <c r="H25" s="1">
        <v>16</v>
      </c>
      <c r="I25" s="1">
        <v>2</v>
      </c>
      <c r="J25" s="1" t="s">
        <v>17</v>
      </c>
      <c r="K25" s="1">
        <v>3</v>
      </c>
      <c r="L25" s="1" t="s">
        <v>19</v>
      </c>
      <c r="M25" s="1" t="s">
        <v>20</v>
      </c>
      <c r="N25" s="1" t="s">
        <v>18</v>
      </c>
      <c r="O25" s="1" t="s">
        <v>262</v>
      </c>
      <c r="P25" s="1">
        <v>7665.2799610000002</v>
      </c>
      <c r="Q25" s="1">
        <v>7742.1740790000003</v>
      </c>
      <c r="R25" s="2">
        <f t="shared" si="0"/>
        <v>1.0031482006036043E-2</v>
      </c>
      <c r="S25" s="4">
        <v>27.55</v>
      </c>
      <c r="T25" s="5">
        <v>1.0577999637462201E-3</v>
      </c>
    </row>
    <row r="26" spans="1:20">
      <c r="A26" s="1" t="s">
        <v>44</v>
      </c>
      <c r="B26" s="1">
        <v>8</v>
      </c>
      <c r="C26" s="1">
        <v>1</v>
      </c>
      <c r="D26" s="1" t="s">
        <v>17</v>
      </c>
      <c r="E26" s="1">
        <v>6</v>
      </c>
      <c r="F26" s="1">
        <v>2</v>
      </c>
      <c r="G26" s="1" t="s">
        <v>17</v>
      </c>
      <c r="H26" s="1">
        <v>10</v>
      </c>
      <c r="I26" s="1">
        <v>0</v>
      </c>
      <c r="J26" s="1" t="s">
        <v>17</v>
      </c>
      <c r="K26" s="1">
        <v>3</v>
      </c>
      <c r="L26" s="1" t="s">
        <v>19</v>
      </c>
      <c r="M26" s="1" t="s">
        <v>20</v>
      </c>
      <c r="N26" s="1" t="s">
        <v>17</v>
      </c>
      <c r="O26" s="1" t="s">
        <v>262</v>
      </c>
      <c r="P26" s="1">
        <v>3037.9999720000001</v>
      </c>
      <c r="Q26" s="1">
        <v>2967.125012</v>
      </c>
      <c r="R26" s="2">
        <f t="shared" si="0"/>
        <v>2.3329480136018942E-2</v>
      </c>
      <c r="S26" s="4">
        <v>24.25</v>
      </c>
      <c r="T26" s="5">
        <v>9.6440000925213099E-4</v>
      </c>
    </row>
    <row r="27" spans="1:20">
      <c r="A27" s="1" t="s">
        <v>45</v>
      </c>
      <c r="B27" s="1">
        <v>9</v>
      </c>
      <c r="C27" s="1">
        <v>3</v>
      </c>
      <c r="D27" s="1" t="s">
        <v>18</v>
      </c>
      <c r="E27" s="1">
        <v>10</v>
      </c>
      <c r="F27" s="1">
        <v>3</v>
      </c>
      <c r="G27" s="1" t="s">
        <v>17</v>
      </c>
      <c r="H27" s="1">
        <v>10</v>
      </c>
      <c r="I27" s="1">
        <v>1</v>
      </c>
      <c r="J27" s="1" t="s">
        <v>17</v>
      </c>
      <c r="K27" s="1">
        <v>4</v>
      </c>
      <c r="L27" s="1" t="s">
        <v>19</v>
      </c>
      <c r="M27" s="1" t="s">
        <v>20</v>
      </c>
      <c r="N27" s="1" t="s">
        <v>17</v>
      </c>
      <c r="O27" s="1" t="s">
        <v>262</v>
      </c>
      <c r="P27" s="1">
        <v>4677.3999549999999</v>
      </c>
      <c r="Q27" s="1">
        <v>4668.3038919999999</v>
      </c>
      <c r="R27" s="2">
        <f t="shared" si="0"/>
        <v>1.9446836036068587E-3</v>
      </c>
      <c r="S27" s="4">
        <v>25.52</v>
      </c>
      <c r="T27" s="5">
        <v>9.9879998015239835E-4</v>
      </c>
    </row>
    <row r="28" spans="1:20">
      <c r="A28" s="1" t="s">
        <v>46</v>
      </c>
      <c r="B28" s="1">
        <v>8</v>
      </c>
      <c r="C28" s="1">
        <v>4</v>
      </c>
      <c r="D28" s="1" t="s">
        <v>18</v>
      </c>
      <c r="E28" s="1">
        <v>12</v>
      </c>
      <c r="F28" s="1">
        <v>2</v>
      </c>
      <c r="G28" s="1" t="s">
        <v>17</v>
      </c>
      <c r="H28" s="1">
        <v>16</v>
      </c>
      <c r="I28" s="1">
        <v>1</v>
      </c>
      <c r="J28" s="1" t="s">
        <v>17</v>
      </c>
      <c r="K28" s="1">
        <v>2</v>
      </c>
      <c r="L28" s="1" t="s">
        <v>19</v>
      </c>
      <c r="M28" s="1" t="s">
        <v>20</v>
      </c>
      <c r="N28" s="1" t="s">
        <v>18</v>
      </c>
      <c r="O28" s="1" t="s">
        <v>262</v>
      </c>
      <c r="P28" s="1">
        <v>4989.8799769999996</v>
      </c>
      <c r="Q28" s="1">
        <v>5020.1247499999999</v>
      </c>
      <c r="R28" s="2">
        <f t="shared" si="0"/>
        <v>6.0612225423073238E-3</v>
      </c>
      <c r="S28" s="4">
        <v>26.04</v>
      </c>
      <c r="T28" s="5">
        <v>1.000599993858486E-3</v>
      </c>
    </row>
    <row r="29" spans="1:20">
      <c r="A29" s="1" t="s">
        <v>47</v>
      </c>
      <c r="B29" s="1">
        <v>9</v>
      </c>
      <c r="C29" s="1">
        <v>6</v>
      </c>
      <c r="D29" s="1" t="s">
        <v>17</v>
      </c>
      <c r="E29" s="1">
        <v>5</v>
      </c>
      <c r="F29" s="1">
        <v>0</v>
      </c>
      <c r="G29" s="1" t="s">
        <v>17</v>
      </c>
      <c r="H29" s="1">
        <v>10</v>
      </c>
      <c r="I29" s="1">
        <v>4</v>
      </c>
      <c r="J29" s="1" t="s">
        <v>17</v>
      </c>
      <c r="K29" s="1">
        <v>1</v>
      </c>
      <c r="L29" s="1" t="s">
        <v>19</v>
      </c>
      <c r="M29" s="1" t="s">
        <v>20</v>
      </c>
      <c r="N29" s="1" t="s">
        <v>17</v>
      </c>
      <c r="O29" s="1" t="s">
        <v>262</v>
      </c>
      <c r="P29" s="1">
        <v>2637.0399809999999</v>
      </c>
      <c r="Q29" s="1">
        <v>2592.4389809999998</v>
      </c>
      <c r="R29" s="2">
        <f t="shared" si="0"/>
        <v>1.6913281679971661E-2</v>
      </c>
      <c r="S29" s="4">
        <v>23.95</v>
      </c>
      <c r="T29" s="5">
        <v>9.7160000586882234E-4</v>
      </c>
    </row>
    <row r="30" spans="1:20">
      <c r="A30" s="1" t="s">
        <v>48</v>
      </c>
      <c r="B30" s="1">
        <v>9</v>
      </c>
      <c r="C30" s="1">
        <v>3</v>
      </c>
      <c r="D30" s="1" t="s">
        <v>17</v>
      </c>
      <c r="E30" s="1">
        <v>8</v>
      </c>
      <c r="F30" s="1">
        <v>4</v>
      </c>
      <c r="G30" s="1" t="s">
        <v>17</v>
      </c>
      <c r="H30" s="1">
        <v>8</v>
      </c>
      <c r="I30" s="1">
        <v>1</v>
      </c>
      <c r="J30" s="1" t="s">
        <v>17</v>
      </c>
      <c r="K30" s="1">
        <v>0</v>
      </c>
      <c r="L30" s="1" t="s">
        <v>19</v>
      </c>
      <c r="M30" s="1" t="s">
        <v>20</v>
      </c>
      <c r="N30" s="1" t="s">
        <v>17</v>
      </c>
      <c r="O30" s="1" t="s">
        <v>263</v>
      </c>
      <c r="P30" s="1">
        <v>4096.119968</v>
      </c>
      <c r="Q30" s="1">
        <v>3944.1607279999998</v>
      </c>
      <c r="R30" s="2">
        <f t="shared" si="0"/>
        <v>3.7098337252606597E-2</v>
      </c>
      <c r="S30" s="4">
        <v>23.72</v>
      </c>
      <c r="T30" s="5">
        <v>1.0217999806627629E-3</v>
      </c>
    </row>
    <row r="31" spans="1:20">
      <c r="A31" s="1" t="s">
        <v>49</v>
      </c>
      <c r="B31" s="1">
        <v>6</v>
      </c>
      <c r="C31" s="1">
        <v>3</v>
      </c>
      <c r="D31" s="1" t="s">
        <v>17</v>
      </c>
      <c r="E31" s="1">
        <v>4</v>
      </c>
      <c r="F31" s="1">
        <v>1</v>
      </c>
      <c r="G31" s="1" t="s">
        <v>18</v>
      </c>
      <c r="H31" s="1">
        <v>5</v>
      </c>
      <c r="I31" s="1">
        <v>0</v>
      </c>
      <c r="J31" s="1" t="s">
        <v>17</v>
      </c>
      <c r="K31" s="1">
        <v>3</v>
      </c>
      <c r="L31" s="1" t="s">
        <v>19</v>
      </c>
      <c r="M31" s="1" t="s">
        <v>20</v>
      </c>
      <c r="N31" s="1" t="s">
        <v>18</v>
      </c>
      <c r="O31" s="1" t="s">
        <v>262</v>
      </c>
      <c r="P31" s="1">
        <v>1600.479996</v>
      </c>
      <c r="Q31" s="1">
        <v>1588.771659</v>
      </c>
      <c r="R31" s="2">
        <f t="shared" si="0"/>
        <v>7.3155159884922601E-3</v>
      </c>
      <c r="S31" s="4">
        <v>22.43</v>
      </c>
      <c r="T31" s="5">
        <v>9.5800001872703433E-4</v>
      </c>
    </row>
    <row r="32" spans="1:20">
      <c r="A32" s="1" t="s">
        <v>50</v>
      </c>
      <c r="B32" s="1">
        <v>16</v>
      </c>
      <c r="C32" s="1">
        <v>3</v>
      </c>
      <c r="D32" s="1" t="s">
        <v>18</v>
      </c>
      <c r="E32" s="1">
        <v>12</v>
      </c>
      <c r="F32" s="1">
        <v>6</v>
      </c>
      <c r="G32" s="1" t="s">
        <v>18</v>
      </c>
      <c r="H32" s="1">
        <v>8</v>
      </c>
      <c r="I32" s="1">
        <v>3</v>
      </c>
      <c r="J32" s="1" t="s">
        <v>18</v>
      </c>
      <c r="K32" s="1">
        <v>1</v>
      </c>
      <c r="L32" s="1" t="s">
        <v>19</v>
      </c>
      <c r="M32" s="1" t="s">
        <v>20</v>
      </c>
      <c r="N32" s="1" t="s">
        <v>18</v>
      </c>
      <c r="O32" s="1" t="s">
        <v>263</v>
      </c>
      <c r="P32" s="1">
        <v>7829.079933</v>
      </c>
      <c r="Q32" s="1">
        <v>7711.0245720000003</v>
      </c>
      <c r="R32" s="2">
        <f t="shared" si="0"/>
        <v>1.5079084900179639E-2</v>
      </c>
      <c r="S32" s="4">
        <v>24.51</v>
      </c>
      <c r="T32" s="5">
        <v>1.107899995986372E-3</v>
      </c>
    </row>
    <row r="33" spans="1:20">
      <c r="A33" s="1" t="s">
        <v>51</v>
      </c>
      <c r="B33" s="1">
        <v>12</v>
      </c>
      <c r="C33" s="1">
        <v>3</v>
      </c>
      <c r="D33" s="1" t="s">
        <v>18</v>
      </c>
      <c r="E33" s="1">
        <v>8</v>
      </c>
      <c r="F33" s="1">
        <v>4</v>
      </c>
      <c r="G33" s="1" t="s">
        <v>17</v>
      </c>
      <c r="H33" s="1">
        <v>8</v>
      </c>
      <c r="I33" s="1">
        <v>3</v>
      </c>
      <c r="J33" s="1" t="s">
        <v>17</v>
      </c>
      <c r="K33" s="1">
        <v>2</v>
      </c>
      <c r="L33" s="1" t="s">
        <v>19</v>
      </c>
      <c r="M33" s="1" t="s">
        <v>20</v>
      </c>
      <c r="N33" s="1" t="s">
        <v>17</v>
      </c>
      <c r="O33" s="1" t="s">
        <v>263</v>
      </c>
      <c r="P33" s="1">
        <v>4920.4399620000004</v>
      </c>
      <c r="Q33" s="1">
        <v>4864.7127659999996</v>
      </c>
      <c r="R33" s="2">
        <f t="shared" si="0"/>
        <v>1.1325653077849857E-2</v>
      </c>
      <c r="S33" s="4">
        <v>22.9</v>
      </c>
      <c r="T33" s="5">
        <v>1.1177000124007459E-3</v>
      </c>
    </row>
    <row r="34" spans="1:20">
      <c r="A34" s="1" t="s">
        <v>52</v>
      </c>
      <c r="B34" s="1">
        <v>9</v>
      </c>
      <c r="C34" s="1">
        <v>4</v>
      </c>
      <c r="D34" s="1" t="s">
        <v>18</v>
      </c>
      <c r="E34" s="1">
        <v>12</v>
      </c>
      <c r="F34" s="1">
        <v>0</v>
      </c>
      <c r="G34" s="1" t="s">
        <v>17</v>
      </c>
      <c r="H34" s="1">
        <v>10</v>
      </c>
      <c r="I34" s="1">
        <v>8</v>
      </c>
      <c r="J34" s="1" t="s">
        <v>17</v>
      </c>
      <c r="K34" s="1">
        <v>2</v>
      </c>
      <c r="L34" s="1" t="s">
        <v>19</v>
      </c>
      <c r="M34" s="1" t="s">
        <v>20</v>
      </c>
      <c r="N34" s="1" t="s">
        <v>17</v>
      </c>
      <c r="O34" s="1" t="s">
        <v>262</v>
      </c>
      <c r="P34" s="1">
        <v>4793.5999629999997</v>
      </c>
      <c r="Q34" s="1">
        <v>4801.0792190000002</v>
      </c>
      <c r="R34" s="2">
        <f t="shared" ref="R34:R65" si="1">ABS(Q34-P34)/P34</f>
        <v>1.5602586902808129E-3</v>
      </c>
      <c r="S34" s="4">
        <v>25.72</v>
      </c>
      <c r="T34" s="5">
        <v>1.123499998357147E-3</v>
      </c>
    </row>
    <row r="35" spans="1:20">
      <c r="A35" s="1" t="s">
        <v>53</v>
      </c>
      <c r="B35" s="1">
        <v>6</v>
      </c>
      <c r="C35" s="1">
        <v>4</v>
      </c>
      <c r="D35" s="1" t="s">
        <v>18</v>
      </c>
      <c r="E35" s="1">
        <v>6</v>
      </c>
      <c r="F35" s="1">
        <v>0</v>
      </c>
      <c r="G35" s="1" t="s">
        <v>17</v>
      </c>
      <c r="H35" s="1">
        <v>8</v>
      </c>
      <c r="I35" s="1">
        <v>3</v>
      </c>
      <c r="J35" s="1" t="s">
        <v>17</v>
      </c>
      <c r="K35" s="1">
        <v>2</v>
      </c>
      <c r="L35" s="1" t="s">
        <v>19</v>
      </c>
      <c r="M35" s="1" t="s">
        <v>20</v>
      </c>
      <c r="N35" s="1" t="s">
        <v>17</v>
      </c>
      <c r="O35" s="1" t="s">
        <v>263</v>
      </c>
      <c r="P35" s="1">
        <v>2197.7199820000001</v>
      </c>
      <c r="Q35" s="1">
        <v>2300.3317520000001</v>
      </c>
      <c r="R35" s="2">
        <f t="shared" si="1"/>
        <v>4.6690101942204562E-2</v>
      </c>
      <c r="S35" s="4">
        <v>21.81</v>
      </c>
      <c r="T35" s="5">
        <v>1.0427000233903529E-3</v>
      </c>
    </row>
    <row r="36" spans="1:20">
      <c r="A36" s="1" t="s">
        <v>54</v>
      </c>
      <c r="B36" s="1">
        <v>10</v>
      </c>
      <c r="C36" s="1">
        <v>4</v>
      </c>
      <c r="D36" s="1" t="s">
        <v>18</v>
      </c>
      <c r="E36" s="1">
        <v>5</v>
      </c>
      <c r="F36" s="1">
        <v>3</v>
      </c>
      <c r="G36" s="1" t="s">
        <v>17</v>
      </c>
      <c r="H36" s="1">
        <v>9</v>
      </c>
      <c r="I36" s="1">
        <v>0</v>
      </c>
      <c r="J36" s="1" t="s">
        <v>17</v>
      </c>
      <c r="K36" s="1">
        <v>0</v>
      </c>
      <c r="L36" s="1" t="s">
        <v>19</v>
      </c>
      <c r="M36" s="1" t="s">
        <v>20</v>
      </c>
      <c r="N36" s="1" t="s">
        <v>18</v>
      </c>
      <c r="O36" s="1" t="s">
        <v>263</v>
      </c>
      <c r="P36" s="1">
        <v>2805.8799779999999</v>
      </c>
      <c r="Q36" s="1">
        <v>2672.572048</v>
      </c>
      <c r="R36" s="2">
        <f t="shared" si="1"/>
        <v>4.7510203945009918E-2</v>
      </c>
      <c r="S36" s="4">
        <v>22.43</v>
      </c>
      <c r="T36" s="5">
        <v>1.0098000057041649E-3</v>
      </c>
    </row>
    <row r="37" spans="1:20">
      <c r="A37" s="1" t="s">
        <v>55</v>
      </c>
      <c r="B37" s="1">
        <v>16</v>
      </c>
      <c r="C37" s="1">
        <v>4</v>
      </c>
      <c r="D37" s="1" t="s">
        <v>18</v>
      </c>
      <c r="E37" s="1">
        <v>5</v>
      </c>
      <c r="F37" s="1">
        <v>4</v>
      </c>
      <c r="G37" s="1" t="s">
        <v>17</v>
      </c>
      <c r="H37" s="1">
        <v>9</v>
      </c>
      <c r="I37" s="1">
        <v>8</v>
      </c>
      <c r="J37" s="1" t="s">
        <v>17</v>
      </c>
      <c r="K37" s="1">
        <v>4</v>
      </c>
      <c r="L37" s="1" t="s">
        <v>19</v>
      </c>
      <c r="M37" s="1" t="s">
        <v>20</v>
      </c>
      <c r="N37" s="1" t="s">
        <v>17</v>
      </c>
      <c r="O37" s="1" t="s">
        <v>263</v>
      </c>
      <c r="P37" s="1">
        <v>4407.479961</v>
      </c>
      <c r="Q37" s="1">
        <v>4369.3104560000002</v>
      </c>
      <c r="R37" s="2">
        <f t="shared" si="1"/>
        <v>8.6601652957577317E-3</v>
      </c>
      <c r="S37" s="4">
        <v>23.03</v>
      </c>
      <c r="T37" s="5">
        <v>1.02680001873523E-3</v>
      </c>
    </row>
    <row r="38" spans="1:20">
      <c r="A38" s="1" t="s">
        <v>56</v>
      </c>
      <c r="B38" s="1">
        <v>10</v>
      </c>
      <c r="C38" s="1">
        <v>2</v>
      </c>
      <c r="D38" s="1" t="s">
        <v>18</v>
      </c>
      <c r="E38" s="1">
        <v>9</v>
      </c>
      <c r="F38" s="1">
        <v>2</v>
      </c>
      <c r="G38" s="1" t="s">
        <v>18</v>
      </c>
      <c r="H38" s="1">
        <v>8</v>
      </c>
      <c r="I38" s="1">
        <v>4</v>
      </c>
      <c r="J38" s="1" t="s">
        <v>18</v>
      </c>
      <c r="K38" s="1">
        <v>0</v>
      </c>
      <c r="L38" s="1" t="s">
        <v>19</v>
      </c>
      <c r="M38" s="1" t="s">
        <v>20</v>
      </c>
      <c r="N38" s="1" t="s">
        <v>18</v>
      </c>
      <c r="O38" s="1" t="s">
        <v>262</v>
      </c>
      <c r="P38" s="1">
        <v>3324.1599719999999</v>
      </c>
      <c r="Q38" s="1">
        <v>3531.4463380000002</v>
      </c>
      <c r="R38" s="2">
        <f t="shared" si="1"/>
        <v>6.2357518213927966E-2</v>
      </c>
      <c r="S38" s="4">
        <v>24.65</v>
      </c>
      <c r="T38" s="5">
        <v>1.001199998427182E-3</v>
      </c>
    </row>
    <row r="39" spans="1:20">
      <c r="A39" s="1" t="s">
        <v>57</v>
      </c>
      <c r="B39" s="1">
        <v>12</v>
      </c>
      <c r="C39" s="1">
        <v>1</v>
      </c>
      <c r="D39" s="1" t="s">
        <v>18</v>
      </c>
      <c r="E39" s="1">
        <v>8</v>
      </c>
      <c r="F39" s="1">
        <v>1</v>
      </c>
      <c r="G39" s="1" t="s">
        <v>18</v>
      </c>
      <c r="H39" s="1">
        <v>8</v>
      </c>
      <c r="I39" s="1">
        <v>0</v>
      </c>
      <c r="J39" s="1" t="s">
        <v>18</v>
      </c>
      <c r="K39" s="1">
        <v>6</v>
      </c>
      <c r="L39" s="1" t="s">
        <v>19</v>
      </c>
      <c r="M39" s="1" t="s">
        <v>20</v>
      </c>
      <c r="N39" s="1" t="s">
        <v>18</v>
      </c>
      <c r="O39" s="1" t="s">
        <v>263</v>
      </c>
      <c r="P39" s="1">
        <v>4429.3199780000004</v>
      </c>
      <c r="Q39" s="1">
        <v>4298.5244860000003</v>
      </c>
      <c r="R39" s="2">
        <f t="shared" si="1"/>
        <v>2.9529474648399445E-2</v>
      </c>
      <c r="S39" s="4">
        <v>22.49</v>
      </c>
      <c r="T39" s="5">
        <v>1.0496000177226961E-3</v>
      </c>
    </row>
    <row r="40" spans="1:20">
      <c r="A40" s="1" t="s">
        <v>58</v>
      </c>
      <c r="B40" s="1">
        <v>10</v>
      </c>
      <c r="C40" s="1">
        <v>3</v>
      </c>
      <c r="D40" s="1" t="s">
        <v>18</v>
      </c>
      <c r="E40" s="1">
        <v>4</v>
      </c>
      <c r="F40" s="1">
        <v>2</v>
      </c>
      <c r="G40" s="1" t="s">
        <v>18</v>
      </c>
      <c r="H40" s="1">
        <v>12</v>
      </c>
      <c r="I40" s="1">
        <v>6</v>
      </c>
      <c r="J40" s="1" t="s">
        <v>18</v>
      </c>
      <c r="K40" s="1">
        <v>6</v>
      </c>
      <c r="L40" s="1" t="s">
        <v>19</v>
      </c>
      <c r="M40" s="1" t="s">
        <v>20</v>
      </c>
      <c r="N40" s="1" t="s">
        <v>18</v>
      </c>
      <c r="O40" s="1" t="s">
        <v>263</v>
      </c>
      <c r="P40" s="1">
        <v>2346.9600019999998</v>
      </c>
      <c r="Q40" s="1">
        <v>2259.599725</v>
      </c>
      <c r="R40" s="2">
        <f t="shared" si="1"/>
        <v>3.7222737893084799E-2</v>
      </c>
      <c r="S40" s="4">
        <v>21.31</v>
      </c>
      <c r="T40" s="5">
        <v>1.0033999569714069E-3</v>
      </c>
    </row>
    <row r="41" spans="1:20">
      <c r="A41" s="1" t="s">
        <v>59</v>
      </c>
      <c r="B41" s="1">
        <v>14</v>
      </c>
      <c r="C41" s="1">
        <v>2</v>
      </c>
      <c r="D41" s="1" t="s">
        <v>18</v>
      </c>
      <c r="E41" s="1">
        <v>9</v>
      </c>
      <c r="F41" s="1">
        <v>4</v>
      </c>
      <c r="G41" s="1" t="s">
        <v>17</v>
      </c>
      <c r="H41" s="1">
        <v>8</v>
      </c>
      <c r="I41" s="1">
        <v>1</v>
      </c>
      <c r="J41" s="1" t="s">
        <v>17</v>
      </c>
      <c r="K41" s="1">
        <v>3</v>
      </c>
      <c r="L41" s="1" t="s">
        <v>19</v>
      </c>
      <c r="M41" s="1" t="s">
        <v>20</v>
      </c>
      <c r="N41" s="1" t="s">
        <v>18</v>
      </c>
      <c r="O41" s="1" t="s">
        <v>262</v>
      </c>
      <c r="P41" s="1">
        <v>5601.9599680000001</v>
      </c>
      <c r="Q41" s="1">
        <v>5543.4475199999997</v>
      </c>
      <c r="R41" s="2">
        <f t="shared" si="1"/>
        <v>1.0444995739748279E-2</v>
      </c>
      <c r="S41" s="4">
        <v>26.27</v>
      </c>
      <c r="T41" s="5">
        <v>9.9209998734295368E-4</v>
      </c>
    </row>
    <row r="42" spans="1:20">
      <c r="A42" s="1" t="s">
        <v>60</v>
      </c>
      <c r="B42" s="1">
        <v>8</v>
      </c>
      <c r="C42" s="1">
        <v>3</v>
      </c>
      <c r="D42" s="1" t="s">
        <v>18</v>
      </c>
      <c r="E42" s="1">
        <v>14</v>
      </c>
      <c r="F42" s="1">
        <v>0</v>
      </c>
      <c r="G42" s="1" t="s">
        <v>18</v>
      </c>
      <c r="H42" s="1">
        <v>10</v>
      </c>
      <c r="I42" s="1">
        <v>1</v>
      </c>
      <c r="J42" s="1" t="s">
        <v>18</v>
      </c>
      <c r="K42" s="1">
        <v>4</v>
      </c>
      <c r="L42" s="1" t="s">
        <v>19</v>
      </c>
      <c r="M42" s="1" t="s">
        <v>20</v>
      </c>
      <c r="N42" s="1" t="s">
        <v>17</v>
      </c>
      <c r="O42" s="1" t="s">
        <v>263</v>
      </c>
      <c r="P42" s="1">
        <v>5172.9999420000004</v>
      </c>
      <c r="Q42" s="1">
        <v>4907.0005780000001</v>
      </c>
      <c r="R42" s="2">
        <f t="shared" si="1"/>
        <v>5.1420716602049443E-2</v>
      </c>
      <c r="S42" s="4">
        <v>22.78</v>
      </c>
      <c r="T42" s="5">
        <v>1.100199995562434E-3</v>
      </c>
    </row>
    <row r="43" spans="1:20">
      <c r="A43" s="1" t="s">
        <v>61</v>
      </c>
      <c r="B43" s="1">
        <v>10</v>
      </c>
      <c r="C43" s="1">
        <v>6</v>
      </c>
      <c r="D43" s="1" t="s">
        <v>18</v>
      </c>
      <c r="E43" s="1">
        <v>14</v>
      </c>
      <c r="F43" s="1">
        <v>2</v>
      </c>
      <c r="G43" s="1" t="s">
        <v>17</v>
      </c>
      <c r="H43" s="1">
        <v>12</v>
      </c>
      <c r="I43" s="1">
        <v>1</v>
      </c>
      <c r="J43" s="1" t="s">
        <v>17</v>
      </c>
      <c r="K43" s="1">
        <v>3</v>
      </c>
      <c r="L43" s="1" t="s">
        <v>19</v>
      </c>
      <c r="M43" s="1" t="s">
        <v>20</v>
      </c>
      <c r="N43" s="1" t="s">
        <v>17</v>
      </c>
      <c r="O43" s="1" t="s">
        <v>263</v>
      </c>
      <c r="P43" s="1">
        <v>7389.1999379999997</v>
      </c>
      <c r="Q43" s="1">
        <v>7320.7755559999996</v>
      </c>
      <c r="R43" s="2">
        <f t="shared" si="1"/>
        <v>9.260052857430227E-3</v>
      </c>
      <c r="S43" s="4">
        <v>24.75</v>
      </c>
      <c r="T43" s="5">
        <v>1.097500033210963E-3</v>
      </c>
    </row>
    <row r="44" spans="1:20">
      <c r="A44" s="1" t="s">
        <v>62</v>
      </c>
      <c r="B44" s="1">
        <v>6</v>
      </c>
      <c r="C44" s="1">
        <v>3</v>
      </c>
      <c r="D44" s="1" t="s">
        <v>18</v>
      </c>
      <c r="E44" s="1">
        <v>9</v>
      </c>
      <c r="F44" s="1">
        <v>4</v>
      </c>
      <c r="G44" s="1" t="s">
        <v>17</v>
      </c>
      <c r="H44" s="1">
        <v>16</v>
      </c>
      <c r="I44" s="1">
        <v>6</v>
      </c>
      <c r="J44" s="1" t="s">
        <v>17</v>
      </c>
      <c r="K44" s="1">
        <v>1</v>
      </c>
      <c r="L44" s="1" t="s">
        <v>19</v>
      </c>
      <c r="M44" s="1" t="s">
        <v>20</v>
      </c>
      <c r="N44" s="1" t="s">
        <v>17</v>
      </c>
      <c r="O44" s="1" t="s">
        <v>262</v>
      </c>
      <c r="P44" s="1">
        <v>3210.1999730000002</v>
      </c>
      <c r="Q44" s="1">
        <v>3291.420854</v>
      </c>
      <c r="R44" s="2">
        <f t="shared" si="1"/>
        <v>2.5300878974245673E-2</v>
      </c>
      <c r="S44" s="4">
        <v>24.07</v>
      </c>
      <c r="T44" s="5">
        <v>9.8160002380609512E-4</v>
      </c>
    </row>
    <row r="45" spans="1:20">
      <c r="A45" s="1" t="s">
        <v>63</v>
      </c>
      <c r="B45" s="1">
        <v>8</v>
      </c>
      <c r="C45" s="1">
        <v>1</v>
      </c>
      <c r="D45" s="1" t="s">
        <v>18</v>
      </c>
      <c r="E45" s="1">
        <v>14</v>
      </c>
      <c r="F45" s="1">
        <v>0</v>
      </c>
      <c r="G45" s="1" t="s">
        <v>17</v>
      </c>
      <c r="H45" s="1">
        <v>9</v>
      </c>
      <c r="I45" s="1">
        <v>8</v>
      </c>
      <c r="J45" s="1" t="s">
        <v>17</v>
      </c>
      <c r="K45" s="1">
        <v>4</v>
      </c>
      <c r="L45" s="1" t="s">
        <v>19</v>
      </c>
      <c r="M45" s="1" t="s">
        <v>20</v>
      </c>
      <c r="N45" s="1" t="s">
        <v>17</v>
      </c>
      <c r="O45" s="1" t="s">
        <v>262</v>
      </c>
      <c r="P45" s="1">
        <v>4296.3199599999998</v>
      </c>
      <c r="Q45" s="1">
        <v>4775.3575129999999</v>
      </c>
      <c r="R45" s="2">
        <f t="shared" si="1"/>
        <v>0.11149950596323839</v>
      </c>
      <c r="S45" s="4">
        <v>26.04</v>
      </c>
      <c r="T45" s="5">
        <v>1.0068000410683451E-3</v>
      </c>
    </row>
    <row r="46" spans="1:20">
      <c r="A46" s="1" t="s">
        <v>64</v>
      </c>
      <c r="B46" s="1">
        <v>12</v>
      </c>
      <c r="C46" s="1">
        <v>1</v>
      </c>
      <c r="D46" s="1" t="s">
        <v>17</v>
      </c>
      <c r="E46" s="1">
        <v>4</v>
      </c>
      <c r="F46" s="1">
        <v>1</v>
      </c>
      <c r="G46" s="1" t="s">
        <v>17</v>
      </c>
      <c r="H46" s="1">
        <v>5</v>
      </c>
      <c r="I46" s="1">
        <v>1</v>
      </c>
      <c r="J46" s="1" t="s">
        <v>17</v>
      </c>
      <c r="K46" s="1">
        <v>3</v>
      </c>
      <c r="L46" s="1" t="s">
        <v>19</v>
      </c>
      <c r="M46" s="1" t="s">
        <v>20</v>
      </c>
      <c r="N46" s="1" t="s">
        <v>17</v>
      </c>
      <c r="O46" s="1" t="s">
        <v>263</v>
      </c>
      <c r="P46" s="1">
        <v>2899.6799799999999</v>
      </c>
      <c r="Q46" s="1">
        <v>2919.2502239999999</v>
      </c>
      <c r="R46" s="2">
        <f t="shared" si="1"/>
        <v>6.7491047753483486E-3</v>
      </c>
      <c r="S46" s="4">
        <v>23.08</v>
      </c>
      <c r="T46" s="5">
        <v>1.0026000090874729E-3</v>
      </c>
    </row>
    <row r="47" spans="1:20">
      <c r="A47" s="1" t="s">
        <v>65</v>
      </c>
      <c r="B47" s="1">
        <v>10</v>
      </c>
      <c r="C47" s="1">
        <v>3</v>
      </c>
      <c r="D47" s="1" t="s">
        <v>17</v>
      </c>
      <c r="E47" s="1">
        <v>10</v>
      </c>
      <c r="F47" s="1">
        <v>1</v>
      </c>
      <c r="G47" s="1" t="s">
        <v>18</v>
      </c>
      <c r="H47" s="1">
        <v>9</v>
      </c>
      <c r="I47" s="1">
        <v>0</v>
      </c>
      <c r="J47" s="1" t="s">
        <v>17</v>
      </c>
      <c r="K47" s="1">
        <v>0</v>
      </c>
      <c r="L47" s="1" t="s">
        <v>19</v>
      </c>
      <c r="M47" s="1" t="s">
        <v>20</v>
      </c>
      <c r="N47" s="1" t="s">
        <v>18</v>
      </c>
      <c r="O47" s="1" t="s">
        <v>263</v>
      </c>
      <c r="P47" s="1">
        <v>5033.8399609999997</v>
      </c>
      <c r="Q47" s="1">
        <v>4978.4422690000001</v>
      </c>
      <c r="R47" s="2">
        <f t="shared" si="1"/>
        <v>1.1005056265037576E-2</v>
      </c>
      <c r="S47" s="4">
        <v>23.29</v>
      </c>
      <c r="T47" s="5">
        <v>1.0455000447109339E-3</v>
      </c>
    </row>
    <row r="48" spans="1:20">
      <c r="A48" s="1" t="s">
        <v>66</v>
      </c>
      <c r="B48" s="1">
        <v>14</v>
      </c>
      <c r="C48" s="1">
        <v>4</v>
      </c>
      <c r="D48" s="1" t="s">
        <v>17</v>
      </c>
      <c r="E48" s="1">
        <v>10</v>
      </c>
      <c r="F48" s="1">
        <v>4</v>
      </c>
      <c r="G48" s="1" t="s">
        <v>18</v>
      </c>
      <c r="H48" s="1">
        <v>8</v>
      </c>
      <c r="I48" s="1">
        <v>6</v>
      </c>
      <c r="J48" s="1" t="s">
        <v>17</v>
      </c>
      <c r="K48" s="1">
        <v>3</v>
      </c>
      <c r="L48" s="1" t="s">
        <v>19</v>
      </c>
      <c r="M48" s="1" t="s">
        <v>20</v>
      </c>
      <c r="N48" s="1" t="s">
        <v>17</v>
      </c>
      <c r="O48" s="1" t="s">
        <v>263</v>
      </c>
      <c r="P48" s="1">
        <v>7093.7999440000003</v>
      </c>
      <c r="Q48" s="1">
        <v>7009.2357240000001</v>
      </c>
      <c r="R48" s="2">
        <f t="shared" si="1"/>
        <v>1.1920863383175245E-2</v>
      </c>
      <c r="S48" s="4">
        <v>25.12</v>
      </c>
      <c r="T48" s="5">
        <v>1.0460999910719691E-3</v>
      </c>
    </row>
    <row r="49" spans="1:20">
      <c r="A49" s="1" t="s">
        <v>67</v>
      </c>
      <c r="B49" s="1">
        <v>16</v>
      </c>
      <c r="C49" s="1">
        <v>1</v>
      </c>
      <c r="D49" s="1" t="s">
        <v>17</v>
      </c>
      <c r="E49" s="1">
        <v>10</v>
      </c>
      <c r="F49" s="1">
        <v>2</v>
      </c>
      <c r="G49" s="1" t="s">
        <v>18</v>
      </c>
      <c r="H49" s="1">
        <v>8</v>
      </c>
      <c r="I49" s="1">
        <v>3</v>
      </c>
      <c r="J49" s="1" t="s">
        <v>17</v>
      </c>
      <c r="K49" s="1">
        <v>2</v>
      </c>
      <c r="L49" s="1" t="s">
        <v>19</v>
      </c>
      <c r="M49" s="1" t="s">
        <v>20</v>
      </c>
      <c r="N49" s="1" t="s">
        <v>18</v>
      </c>
      <c r="O49" s="1" t="s">
        <v>262</v>
      </c>
      <c r="P49" s="1">
        <v>6654.7599600000003</v>
      </c>
      <c r="Q49" s="1">
        <v>6800.4619949999997</v>
      </c>
      <c r="R49" s="2">
        <f t="shared" si="1"/>
        <v>2.1894408795475072E-2</v>
      </c>
      <c r="S49" s="4">
        <v>27.72</v>
      </c>
      <c r="T49" s="5">
        <v>1.0291000362485649E-3</v>
      </c>
    </row>
    <row r="50" spans="1:20">
      <c r="A50" s="1" t="s">
        <v>68</v>
      </c>
      <c r="B50" s="1">
        <v>6</v>
      </c>
      <c r="C50" s="1">
        <v>4</v>
      </c>
      <c r="D50" s="1" t="s">
        <v>17</v>
      </c>
      <c r="E50" s="1">
        <v>8</v>
      </c>
      <c r="F50" s="1">
        <v>2</v>
      </c>
      <c r="G50" s="1" t="s">
        <v>17</v>
      </c>
      <c r="H50" s="1">
        <v>10</v>
      </c>
      <c r="I50" s="1">
        <v>6</v>
      </c>
      <c r="J50" s="1" t="s">
        <v>17</v>
      </c>
      <c r="K50" s="1">
        <v>2</v>
      </c>
      <c r="L50" s="1" t="s">
        <v>19</v>
      </c>
      <c r="M50" s="1" t="s">
        <v>20</v>
      </c>
      <c r="N50" s="1" t="s">
        <v>17</v>
      </c>
      <c r="O50" s="1" t="s">
        <v>262</v>
      </c>
      <c r="P50" s="1">
        <v>2899.119976</v>
      </c>
      <c r="Q50" s="1">
        <v>2832.3700869999998</v>
      </c>
      <c r="R50" s="2">
        <f t="shared" si="1"/>
        <v>2.3024189944735204E-2</v>
      </c>
      <c r="S50" s="4">
        <v>24.55</v>
      </c>
      <c r="T50" s="5">
        <v>9.6019997727125883E-4</v>
      </c>
    </row>
    <row r="51" spans="1:20">
      <c r="A51" s="1" t="s">
        <v>69</v>
      </c>
      <c r="B51" s="1">
        <v>12</v>
      </c>
      <c r="C51" s="1">
        <v>8</v>
      </c>
      <c r="D51" s="1" t="s">
        <v>17</v>
      </c>
      <c r="E51" s="1">
        <v>8</v>
      </c>
      <c r="F51" s="1">
        <v>1</v>
      </c>
      <c r="G51" s="1" t="s">
        <v>18</v>
      </c>
      <c r="H51" s="1">
        <v>9</v>
      </c>
      <c r="I51" s="1">
        <v>3</v>
      </c>
      <c r="J51" s="1" t="s">
        <v>17</v>
      </c>
      <c r="K51" s="1">
        <v>1</v>
      </c>
      <c r="L51" s="1" t="s">
        <v>19</v>
      </c>
      <c r="M51" s="1" t="s">
        <v>20</v>
      </c>
      <c r="N51" s="1" t="s">
        <v>17</v>
      </c>
      <c r="O51" s="1" t="s">
        <v>262</v>
      </c>
      <c r="P51" s="1">
        <v>4459.5599679999996</v>
      </c>
      <c r="Q51" s="1">
        <v>4469.3711599999997</v>
      </c>
      <c r="R51" s="2">
        <f t="shared" si="1"/>
        <v>2.2000358937655888E-3</v>
      </c>
      <c r="S51" s="4">
        <v>25.86</v>
      </c>
      <c r="T51" s="5">
        <v>1.9186999998055401E-3</v>
      </c>
    </row>
    <row r="52" spans="1:20">
      <c r="A52" s="1" t="s">
        <v>70</v>
      </c>
      <c r="B52" s="1">
        <v>10</v>
      </c>
      <c r="C52" s="1">
        <v>2</v>
      </c>
      <c r="D52" s="1" t="s">
        <v>17</v>
      </c>
      <c r="E52" s="1">
        <v>8</v>
      </c>
      <c r="F52" s="1">
        <v>0</v>
      </c>
      <c r="G52" s="1" t="s">
        <v>18</v>
      </c>
      <c r="H52" s="1">
        <v>9</v>
      </c>
      <c r="I52" s="1">
        <v>3</v>
      </c>
      <c r="J52" s="1" t="s">
        <v>17</v>
      </c>
      <c r="K52" s="1">
        <v>2</v>
      </c>
      <c r="L52" s="1" t="s">
        <v>19</v>
      </c>
      <c r="M52" s="1" t="s">
        <v>20</v>
      </c>
      <c r="N52" s="1" t="s">
        <v>17</v>
      </c>
      <c r="O52" s="1" t="s">
        <v>263</v>
      </c>
      <c r="P52" s="1">
        <v>4258.2399679999999</v>
      </c>
      <c r="Q52" s="1">
        <v>4276.4861739999997</v>
      </c>
      <c r="R52" s="2">
        <f t="shared" si="1"/>
        <v>4.2849172750049676E-3</v>
      </c>
      <c r="S52" s="4">
        <v>23.07</v>
      </c>
      <c r="T52" s="5">
        <v>1.9872999982908368E-3</v>
      </c>
    </row>
    <row r="53" spans="1:20">
      <c r="A53" s="1" t="s">
        <v>71</v>
      </c>
      <c r="B53" s="1">
        <v>10</v>
      </c>
      <c r="C53" s="1">
        <v>4</v>
      </c>
      <c r="D53" s="1" t="s">
        <v>17</v>
      </c>
      <c r="E53" s="1">
        <v>5</v>
      </c>
      <c r="F53" s="1">
        <v>3</v>
      </c>
      <c r="G53" s="1" t="s">
        <v>18</v>
      </c>
      <c r="H53" s="1">
        <v>10</v>
      </c>
      <c r="I53" s="1">
        <v>1</v>
      </c>
      <c r="J53" s="1" t="s">
        <v>17</v>
      </c>
      <c r="K53" s="1">
        <v>6</v>
      </c>
      <c r="L53" s="1" t="s">
        <v>19</v>
      </c>
      <c r="M53" s="1" t="s">
        <v>20</v>
      </c>
      <c r="N53" s="1" t="s">
        <v>17</v>
      </c>
      <c r="O53" s="1" t="s">
        <v>262</v>
      </c>
      <c r="P53" s="1">
        <v>3587.919958</v>
      </c>
      <c r="Q53" s="1">
        <v>3518.4161210000002</v>
      </c>
      <c r="R53" s="2">
        <f t="shared" si="1"/>
        <v>1.9371624176015064E-2</v>
      </c>
      <c r="S53" s="4">
        <v>24.68</v>
      </c>
      <c r="T53" s="5">
        <v>9.8390004131942987E-4</v>
      </c>
    </row>
    <row r="54" spans="1:20">
      <c r="A54" s="1" t="s">
        <v>72</v>
      </c>
      <c r="B54" s="1">
        <v>9</v>
      </c>
      <c r="C54" s="1">
        <v>4</v>
      </c>
      <c r="D54" s="1" t="s">
        <v>17</v>
      </c>
      <c r="E54" s="1">
        <v>6</v>
      </c>
      <c r="F54" s="1">
        <v>0</v>
      </c>
      <c r="G54" s="1" t="s">
        <v>17</v>
      </c>
      <c r="H54" s="1">
        <v>10</v>
      </c>
      <c r="I54" s="1">
        <v>8</v>
      </c>
      <c r="J54" s="1" t="s">
        <v>17</v>
      </c>
      <c r="K54" s="1">
        <v>6</v>
      </c>
      <c r="L54" s="1" t="s">
        <v>19</v>
      </c>
      <c r="M54" s="1" t="s">
        <v>20</v>
      </c>
      <c r="N54" s="1" t="s">
        <v>17</v>
      </c>
      <c r="O54" s="1" t="s">
        <v>262</v>
      </c>
      <c r="P54" s="1">
        <v>3295.3199669999999</v>
      </c>
      <c r="Q54" s="1">
        <v>3117.1535370000001</v>
      </c>
      <c r="R54" s="2">
        <f t="shared" si="1"/>
        <v>5.4066503946261488E-2</v>
      </c>
      <c r="S54" s="4">
        <v>23.6</v>
      </c>
      <c r="T54" s="5">
        <v>9.6819997997954488E-4</v>
      </c>
    </row>
    <row r="55" spans="1:20">
      <c r="A55" s="1" t="s">
        <v>73</v>
      </c>
      <c r="B55" s="1">
        <v>12</v>
      </c>
      <c r="C55" s="1">
        <v>4</v>
      </c>
      <c r="D55" s="1" t="s">
        <v>18</v>
      </c>
      <c r="E55" s="1">
        <v>8</v>
      </c>
      <c r="F55" s="1">
        <v>6</v>
      </c>
      <c r="G55" s="1" t="s">
        <v>17</v>
      </c>
      <c r="H55" s="1">
        <v>10</v>
      </c>
      <c r="I55" s="1">
        <v>3</v>
      </c>
      <c r="J55" s="1" t="s">
        <v>17</v>
      </c>
      <c r="K55" s="1">
        <v>4</v>
      </c>
      <c r="L55" s="1" t="s">
        <v>19</v>
      </c>
      <c r="M55" s="1" t="s">
        <v>20</v>
      </c>
      <c r="N55" s="1" t="s">
        <v>17</v>
      </c>
      <c r="O55" s="1" t="s">
        <v>262</v>
      </c>
      <c r="P55" s="1">
        <v>4885.7199540000001</v>
      </c>
      <c r="Q55" s="1">
        <v>4818.5784940000003</v>
      </c>
      <c r="R55" s="2">
        <f t="shared" si="1"/>
        <v>1.3742388149986016E-2</v>
      </c>
      <c r="S55" s="4">
        <v>25.38</v>
      </c>
      <c r="T55" s="5">
        <v>1.1386999976821239E-3</v>
      </c>
    </row>
    <row r="56" spans="1:20">
      <c r="A56" s="1" t="s">
        <v>74</v>
      </c>
      <c r="B56" s="1">
        <v>14</v>
      </c>
      <c r="C56" s="1">
        <v>4</v>
      </c>
      <c r="D56" s="1" t="s">
        <v>18</v>
      </c>
      <c r="E56" s="1">
        <v>10</v>
      </c>
      <c r="F56" s="1">
        <v>1</v>
      </c>
      <c r="G56" s="1" t="s">
        <v>18</v>
      </c>
      <c r="H56" s="1">
        <v>12</v>
      </c>
      <c r="I56" s="1">
        <v>1</v>
      </c>
      <c r="J56" s="1" t="s">
        <v>18</v>
      </c>
      <c r="K56" s="1">
        <v>0</v>
      </c>
      <c r="L56" s="1" t="s">
        <v>19</v>
      </c>
      <c r="M56" s="1" t="s">
        <v>20</v>
      </c>
      <c r="N56" s="1" t="s">
        <v>18</v>
      </c>
      <c r="O56" s="1" t="s">
        <v>262</v>
      </c>
      <c r="P56" s="1">
        <v>5136.5999570000004</v>
      </c>
      <c r="Q56" s="1">
        <v>5309.7276009999996</v>
      </c>
      <c r="R56" s="2">
        <f t="shared" si="1"/>
        <v>3.3704716242125538E-2</v>
      </c>
      <c r="S56" s="4">
        <v>26.83</v>
      </c>
      <c r="T56" s="5">
        <v>1.051200029905885E-3</v>
      </c>
    </row>
    <row r="57" spans="1:20">
      <c r="A57" s="1" t="s">
        <v>75</v>
      </c>
      <c r="B57" s="1">
        <v>12</v>
      </c>
      <c r="C57" s="1">
        <v>8</v>
      </c>
      <c r="D57" s="1" t="s">
        <v>18</v>
      </c>
      <c r="E57" s="1">
        <v>4</v>
      </c>
      <c r="F57" s="1">
        <v>1</v>
      </c>
      <c r="G57" s="1" t="s">
        <v>17</v>
      </c>
      <c r="H57" s="1">
        <v>12</v>
      </c>
      <c r="I57" s="1">
        <v>4</v>
      </c>
      <c r="J57" s="1" t="s">
        <v>17</v>
      </c>
      <c r="K57" s="1">
        <v>2</v>
      </c>
      <c r="L57" s="1" t="s">
        <v>19</v>
      </c>
      <c r="M57" s="1" t="s">
        <v>20</v>
      </c>
      <c r="N57" s="1" t="s">
        <v>18</v>
      </c>
      <c r="O57" s="1" t="s">
        <v>262</v>
      </c>
      <c r="P57" s="1">
        <v>2831.9199899999999</v>
      </c>
      <c r="Q57" s="1">
        <v>2877.2470880000001</v>
      </c>
      <c r="R57" s="2">
        <f t="shared" si="1"/>
        <v>1.6005783411981285E-2</v>
      </c>
      <c r="S57" s="4">
        <v>24.62</v>
      </c>
      <c r="T57" s="5">
        <v>1.019300019834191E-3</v>
      </c>
    </row>
    <row r="58" spans="1:20">
      <c r="A58" s="1" t="s">
        <v>76</v>
      </c>
      <c r="B58" s="1">
        <v>16</v>
      </c>
      <c r="C58" s="1">
        <v>1</v>
      </c>
      <c r="D58" s="1" t="s">
        <v>18</v>
      </c>
      <c r="E58" s="1">
        <v>9</v>
      </c>
      <c r="F58" s="1">
        <v>1</v>
      </c>
      <c r="G58" s="1" t="s">
        <v>17</v>
      </c>
      <c r="H58" s="1">
        <v>5</v>
      </c>
      <c r="I58" s="1">
        <v>4</v>
      </c>
      <c r="J58" s="1" t="s">
        <v>17</v>
      </c>
      <c r="K58" s="1">
        <v>2</v>
      </c>
      <c r="L58" s="1" t="s">
        <v>19</v>
      </c>
      <c r="M58" s="1" t="s">
        <v>20</v>
      </c>
      <c r="N58" s="1" t="s">
        <v>18</v>
      </c>
      <c r="O58" s="1" t="s">
        <v>263</v>
      </c>
      <c r="P58" s="1">
        <v>5940.7599490000002</v>
      </c>
      <c r="Q58" s="1">
        <v>6548.1311310000001</v>
      </c>
      <c r="R58" s="2">
        <f t="shared" si="1"/>
        <v>0.10223796066734489</v>
      </c>
      <c r="S58" s="4">
        <v>23.41</v>
      </c>
      <c r="T58" s="5">
        <v>1.0674999793991451E-3</v>
      </c>
    </row>
    <row r="59" spans="1:20">
      <c r="A59" s="1" t="s">
        <v>77</v>
      </c>
      <c r="B59" s="1">
        <v>9</v>
      </c>
      <c r="C59" s="1">
        <v>2</v>
      </c>
      <c r="D59" s="1" t="s">
        <v>18</v>
      </c>
      <c r="E59" s="1">
        <v>4</v>
      </c>
      <c r="F59" s="1">
        <v>1</v>
      </c>
      <c r="G59" s="1" t="s">
        <v>17</v>
      </c>
      <c r="H59" s="1">
        <v>5</v>
      </c>
      <c r="I59" s="1">
        <v>1</v>
      </c>
      <c r="J59" s="1" t="s">
        <v>17</v>
      </c>
      <c r="K59" s="1">
        <v>1</v>
      </c>
      <c r="L59" s="1" t="s">
        <v>19</v>
      </c>
      <c r="M59" s="1" t="s">
        <v>20</v>
      </c>
      <c r="N59" s="1" t="s">
        <v>17</v>
      </c>
      <c r="O59" s="1" t="s">
        <v>262</v>
      </c>
      <c r="P59" s="1">
        <v>1862.8399870000001</v>
      </c>
      <c r="Q59" s="1">
        <v>1891.6302579999999</v>
      </c>
      <c r="R59" s="2">
        <f t="shared" si="1"/>
        <v>1.545504240885712E-2</v>
      </c>
      <c r="S59" s="4">
        <v>22.93</v>
      </c>
      <c r="T59" s="5">
        <v>9.7339996136724949E-4</v>
      </c>
    </row>
    <row r="60" spans="1:20">
      <c r="A60" s="1" t="s">
        <v>78</v>
      </c>
      <c r="B60" s="1">
        <v>10</v>
      </c>
      <c r="C60" s="1">
        <v>6</v>
      </c>
      <c r="D60" s="1" t="s">
        <v>17</v>
      </c>
      <c r="E60" s="1">
        <v>10</v>
      </c>
      <c r="F60" s="1">
        <v>3</v>
      </c>
      <c r="G60" s="1" t="s">
        <v>18</v>
      </c>
      <c r="H60" s="1">
        <v>10</v>
      </c>
      <c r="I60" s="1">
        <v>8</v>
      </c>
      <c r="J60" s="1" t="s">
        <v>17</v>
      </c>
      <c r="K60" s="1">
        <v>4</v>
      </c>
      <c r="L60" s="1" t="s">
        <v>19</v>
      </c>
      <c r="M60" s="1" t="s">
        <v>20</v>
      </c>
      <c r="N60" s="1" t="s">
        <v>18</v>
      </c>
      <c r="O60" s="1" t="s">
        <v>263</v>
      </c>
      <c r="P60" s="1">
        <v>5419.119976</v>
      </c>
      <c r="Q60" s="1">
        <v>5468.4772940000003</v>
      </c>
      <c r="R60" s="2">
        <f t="shared" si="1"/>
        <v>9.1079950653597235E-3</v>
      </c>
      <c r="S60" s="4">
        <v>23.65</v>
      </c>
      <c r="T60" s="5">
        <v>1.0335000115446751E-3</v>
      </c>
    </row>
    <row r="61" spans="1:20">
      <c r="A61" s="1" t="s">
        <v>79</v>
      </c>
      <c r="B61" s="1">
        <v>6</v>
      </c>
      <c r="C61" s="1">
        <v>1</v>
      </c>
      <c r="D61" s="1" t="s">
        <v>18</v>
      </c>
      <c r="E61" s="1">
        <v>12</v>
      </c>
      <c r="F61" s="1">
        <v>3</v>
      </c>
      <c r="G61" s="1" t="s">
        <v>17</v>
      </c>
      <c r="H61" s="1">
        <v>12</v>
      </c>
      <c r="I61" s="1">
        <v>2</v>
      </c>
      <c r="J61" s="1" t="s">
        <v>17</v>
      </c>
      <c r="K61" s="1">
        <v>6</v>
      </c>
      <c r="L61" s="1" t="s">
        <v>19</v>
      </c>
      <c r="M61" s="1" t="s">
        <v>20</v>
      </c>
      <c r="N61" s="1" t="s">
        <v>17</v>
      </c>
      <c r="O61" s="1" t="s">
        <v>263</v>
      </c>
      <c r="P61" s="1">
        <v>4946.7599449999998</v>
      </c>
      <c r="Q61" s="1">
        <v>4873.8211810000003</v>
      </c>
      <c r="R61" s="2">
        <f t="shared" si="1"/>
        <v>1.4744755114653041E-2</v>
      </c>
      <c r="S61" s="4">
        <v>23.03</v>
      </c>
      <c r="T61" s="5">
        <v>9.9209998734295368E-4</v>
      </c>
    </row>
    <row r="62" spans="1:20">
      <c r="A62" s="1" t="s">
        <v>80</v>
      </c>
      <c r="B62" s="1">
        <v>16</v>
      </c>
      <c r="C62" s="1">
        <v>8</v>
      </c>
      <c r="D62" s="1" t="s">
        <v>17</v>
      </c>
      <c r="E62" s="1">
        <v>9</v>
      </c>
      <c r="F62" s="1">
        <v>6</v>
      </c>
      <c r="G62" s="1" t="s">
        <v>18</v>
      </c>
      <c r="H62" s="1">
        <v>16</v>
      </c>
      <c r="I62" s="1">
        <v>1</v>
      </c>
      <c r="J62" s="1" t="s">
        <v>17</v>
      </c>
      <c r="K62" s="1">
        <v>0</v>
      </c>
      <c r="L62" s="1" t="s">
        <v>19</v>
      </c>
      <c r="M62" s="1" t="s">
        <v>20</v>
      </c>
      <c r="N62" s="1" t="s">
        <v>18</v>
      </c>
      <c r="O62" s="1" t="s">
        <v>262</v>
      </c>
      <c r="P62" s="1">
        <v>6512.5199519999996</v>
      </c>
      <c r="Q62" s="1">
        <v>6449.6218769999996</v>
      </c>
      <c r="R62" s="2">
        <f t="shared" si="1"/>
        <v>9.6580241540272001E-3</v>
      </c>
      <c r="S62" s="4">
        <v>27.65</v>
      </c>
      <c r="T62" s="5">
        <v>1.1213999823667109E-3</v>
      </c>
    </row>
    <row r="63" spans="1:20">
      <c r="A63" s="1" t="s">
        <v>81</v>
      </c>
      <c r="B63" s="1">
        <v>6</v>
      </c>
      <c r="C63" s="1">
        <v>1</v>
      </c>
      <c r="D63" s="1" t="s">
        <v>17</v>
      </c>
      <c r="E63" s="1">
        <v>10</v>
      </c>
      <c r="F63" s="1">
        <v>2</v>
      </c>
      <c r="G63" s="1" t="s">
        <v>17</v>
      </c>
      <c r="H63" s="1">
        <v>16</v>
      </c>
      <c r="I63" s="1">
        <v>8</v>
      </c>
      <c r="J63" s="1" t="s">
        <v>17</v>
      </c>
      <c r="K63" s="1">
        <v>2</v>
      </c>
      <c r="L63" s="1" t="s">
        <v>19</v>
      </c>
      <c r="M63" s="1" t="s">
        <v>20</v>
      </c>
      <c r="N63" s="1" t="s">
        <v>17</v>
      </c>
      <c r="O63" s="1" t="s">
        <v>263</v>
      </c>
      <c r="P63" s="1">
        <v>3777.1999689999998</v>
      </c>
      <c r="Q63" s="1">
        <v>3789.2150809999998</v>
      </c>
      <c r="R63" s="2">
        <f t="shared" si="1"/>
        <v>3.1809573489912429E-3</v>
      </c>
      <c r="S63" s="4">
        <v>23.11</v>
      </c>
      <c r="T63" s="5">
        <v>1.126400020439178E-3</v>
      </c>
    </row>
    <row r="64" spans="1:20">
      <c r="A64" s="1" t="s">
        <v>82</v>
      </c>
      <c r="B64" s="1">
        <v>12</v>
      </c>
      <c r="C64" s="1">
        <v>3</v>
      </c>
      <c r="D64" s="1" t="s">
        <v>17</v>
      </c>
      <c r="E64" s="1">
        <v>6</v>
      </c>
      <c r="F64" s="1">
        <v>3</v>
      </c>
      <c r="G64" s="1" t="s">
        <v>17</v>
      </c>
      <c r="H64" s="1">
        <v>5</v>
      </c>
      <c r="I64" s="1">
        <v>2</v>
      </c>
      <c r="J64" s="1" t="s">
        <v>17</v>
      </c>
      <c r="K64" s="1">
        <v>3</v>
      </c>
      <c r="L64" s="1" t="s">
        <v>19</v>
      </c>
      <c r="M64" s="1" t="s">
        <v>20</v>
      </c>
      <c r="N64" s="1" t="s">
        <v>18</v>
      </c>
      <c r="O64" s="1" t="s">
        <v>262</v>
      </c>
      <c r="P64" s="1">
        <v>3655.3999840000001</v>
      </c>
      <c r="Q64" s="1">
        <v>3462.104867</v>
      </c>
      <c r="R64" s="2">
        <f t="shared" si="1"/>
        <v>5.287933409368864E-2</v>
      </c>
      <c r="S64" s="4">
        <v>25.05</v>
      </c>
      <c r="T64" s="5">
        <v>1.337099994998425E-3</v>
      </c>
    </row>
    <row r="65" spans="1:20">
      <c r="A65" s="1" t="s">
        <v>83</v>
      </c>
      <c r="B65" s="1">
        <v>14</v>
      </c>
      <c r="C65" s="1">
        <v>3</v>
      </c>
      <c r="D65" s="1" t="s">
        <v>18</v>
      </c>
      <c r="E65" s="1">
        <v>8</v>
      </c>
      <c r="F65" s="1">
        <v>6</v>
      </c>
      <c r="G65" s="1" t="s">
        <v>17</v>
      </c>
      <c r="H65" s="1">
        <v>12</v>
      </c>
      <c r="I65" s="1">
        <v>4</v>
      </c>
      <c r="J65" s="1" t="s">
        <v>17</v>
      </c>
      <c r="K65" s="1">
        <v>6</v>
      </c>
      <c r="L65" s="1" t="s">
        <v>19</v>
      </c>
      <c r="M65" s="1" t="s">
        <v>20</v>
      </c>
      <c r="N65" s="1" t="s">
        <v>17</v>
      </c>
      <c r="O65" s="1" t="s">
        <v>262</v>
      </c>
      <c r="P65" s="1">
        <v>5887.5599380000003</v>
      </c>
      <c r="Q65" s="1">
        <v>5895.4673480000001</v>
      </c>
      <c r="R65" s="2">
        <f t="shared" si="1"/>
        <v>1.3430708278591116E-3</v>
      </c>
      <c r="S65" s="4">
        <v>27.32</v>
      </c>
      <c r="T65" s="5">
        <v>1.081900030840188E-3</v>
      </c>
    </row>
    <row r="66" spans="1:20">
      <c r="A66" s="1" t="s">
        <v>84</v>
      </c>
      <c r="B66" s="1">
        <v>14</v>
      </c>
      <c r="C66" s="1">
        <v>8</v>
      </c>
      <c r="D66" s="1" t="s">
        <v>17</v>
      </c>
      <c r="E66" s="1">
        <v>8</v>
      </c>
      <c r="F66" s="1">
        <v>6</v>
      </c>
      <c r="G66" s="1" t="s">
        <v>17</v>
      </c>
      <c r="H66" s="1">
        <v>8</v>
      </c>
      <c r="I66" s="1">
        <v>4</v>
      </c>
      <c r="J66" s="1" t="s">
        <v>17</v>
      </c>
      <c r="K66" s="1">
        <v>4</v>
      </c>
      <c r="L66" s="1" t="s">
        <v>19</v>
      </c>
      <c r="M66" s="1" t="s">
        <v>20</v>
      </c>
      <c r="N66" s="1" t="s">
        <v>17</v>
      </c>
      <c r="O66" s="1" t="s">
        <v>263</v>
      </c>
      <c r="P66" s="1">
        <v>6250.4399530000001</v>
      </c>
      <c r="Q66" s="1">
        <v>6154.3922910000001</v>
      </c>
      <c r="R66" s="2">
        <f t="shared" ref="R66:R97" si="2">ABS(Q66-P66)/P66</f>
        <v>1.5366544230842553E-2</v>
      </c>
      <c r="S66" s="4">
        <v>24.75</v>
      </c>
      <c r="T66" s="5">
        <v>1.133200014010072E-3</v>
      </c>
    </row>
    <row r="67" spans="1:20">
      <c r="A67" s="1" t="s">
        <v>85</v>
      </c>
      <c r="B67" s="1">
        <v>16</v>
      </c>
      <c r="C67" s="1">
        <v>2</v>
      </c>
      <c r="D67" s="1" t="s">
        <v>18</v>
      </c>
      <c r="E67" s="1">
        <v>12</v>
      </c>
      <c r="F67" s="1">
        <v>4</v>
      </c>
      <c r="G67" s="1" t="s">
        <v>18</v>
      </c>
      <c r="H67" s="1">
        <v>9</v>
      </c>
      <c r="I67" s="1">
        <v>2</v>
      </c>
      <c r="J67" s="1" t="s">
        <v>18</v>
      </c>
      <c r="K67" s="1">
        <v>0</v>
      </c>
      <c r="L67" s="1" t="s">
        <v>19</v>
      </c>
      <c r="M67" s="1" t="s">
        <v>20</v>
      </c>
      <c r="N67" s="1" t="s">
        <v>17</v>
      </c>
      <c r="O67" s="1" t="s">
        <v>262</v>
      </c>
      <c r="P67" s="1">
        <v>6740.999941</v>
      </c>
      <c r="Q67" s="1">
        <v>7048.9236330000003</v>
      </c>
      <c r="R67" s="2">
        <f t="shared" si="2"/>
        <v>4.5679230781052502E-2</v>
      </c>
      <c r="S67" s="4">
        <v>28.42</v>
      </c>
      <c r="T67" s="5">
        <v>1.0654999641701579E-3</v>
      </c>
    </row>
    <row r="68" spans="1:20">
      <c r="A68" s="1" t="s">
        <v>86</v>
      </c>
      <c r="B68" s="1">
        <v>9</v>
      </c>
      <c r="C68" s="1">
        <v>8</v>
      </c>
      <c r="D68" s="1" t="s">
        <v>17</v>
      </c>
      <c r="E68" s="1">
        <v>9</v>
      </c>
      <c r="F68" s="1">
        <v>3</v>
      </c>
      <c r="G68" s="1" t="s">
        <v>17</v>
      </c>
      <c r="H68" s="1">
        <v>8</v>
      </c>
      <c r="I68" s="1">
        <v>6</v>
      </c>
      <c r="J68" s="1" t="s">
        <v>17</v>
      </c>
      <c r="K68" s="1">
        <v>3</v>
      </c>
      <c r="L68" s="1" t="s">
        <v>19</v>
      </c>
      <c r="M68" s="1" t="s">
        <v>20</v>
      </c>
      <c r="N68" s="1" t="s">
        <v>18</v>
      </c>
      <c r="O68" s="1" t="s">
        <v>262</v>
      </c>
      <c r="P68" s="1">
        <v>4184.879981</v>
      </c>
      <c r="Q68" s="1">
        <v>4014.0863479999998</v>
      </c>
      <c r="R68" s="2">
        <f t="shared" si="2"/>
        <v>4.0812074366631694E-2</v>
      </c>
      <c r="S68" s="4">
        <v>24.48</v>
      </c>
      <c r="T68" s="5">
        <v>9.926999919116497E-4</v>
      </c>
    </row>
    <row r="69" spans="1:20">
      <c r="A69" s="1" t="s">
        <v>87</v>
      </c>
      <c r="B69" s="1">
        <v>16</v>
      </c>
      <c r="C69" s="1">
        <v>6</v>
      </c>
      <c r="D69" s="1" t="s">
        <v>17</v>
      </c>
      <c r="E69" s="1">
        <v>14</v>
      </c>
      <c r="F69" s="1">
        <v>4</v>
      </c>
      <c r="G69" s="1" t="s">
        <v>17</v>
      </c>
      <c r="H69" s="1">
        <v>5</v>
      </c>
      <c r="I69" s="1">
        <v>4</v>
      </c>
      <c r="J69" s="1" t="s">
        <v>17</v>
      </c>
      <c r="K69" s="1">
        <v>6</v>
      </c>
      <c r="L69" s="1" t="s">
        <v>19</v>
      </c>
      <c r="M69" s="1" t="s">
        <v>20</v>
      </c>
      <c r="N69" s="1" t="s">
        <v>17</v>
      </c>
      <c r="O69" s="1" t="s">
        <v>262</v>
      </c>
      <c r="P69" s="1">
        <v>9338.5599249999996</v>
      </c>
      <c r="Q69" s="1">
        <v>9074.838581</v>
      </c>
      <c r="R69" s="2">
        <f t="shared" si="2"/>
        <v>2.8240044087953914E-2</v>
      </c>
      <c r="S69" s="4">
        <v>29.52</v>
      </c>
      <c r="T69" s="5">
        <v>1.044100034050643E-3</v>
      </c>
    </row>
    <row r="70" spans="1:20">
      <c r="A70" s="1" t="s">
        <v>88</v>
      </c>
      <c r="B70" s="1">
        <v>9</v>
      </c>
      <c r="C70" s="1">
        <v>8</v>
      </c>
      <c r="D70" s="1" t="s">
        <v>18</v>
      </c>
      <c r="E70" s="1">
        <v>14</v>
      </c>
      <c r="F70" s="1">
        <v>6</v>
      </c>
      <c r="G70" s="1" t="s">
        <v>17</v>
      </c>
      <c r="H70" s="1">
        <v>10</v>
      </c>
      <c r="I70" s="1">
        <v>3</v>
      </c>
      <c r="J70" s="1" t="s">
        <v>17</v>
      </c>
      <c r="K70" s="1">
        <v>0</v>
      </c>
      <c r="L70" s="1" t="s">
        <v>19</v>
      </c>
      <c r="M70" s="1" t="s">
        <v>20</v>
      </c>
      <c r="N70" s="1" t="s">
        <v>18</v>
      </c>
      <c r="O70" s="1" t="s">
        <v>262</v>
      </c>
      <c r="P70" s="1">
        <v>5656.5599570000004</v>
      </c>
      <c r="Q70" s="1">
        <v>5500.4769139999999</v>
      </c>
      <c r="R70" s="2">
        <f t="shared" si="2"/>
        <v>2.7593280047681201E-2</v>
      </c>
      <c r="S70" s="4">
        <v>27.16</v>
      </c>
      <c r="T70" s="5">
        <v>1.014100038446486E-3</v>
      </c>
    </row>
    <row r="71" spans="1:20">
      <c r="A71" s="1" t="s">
        <v>89</v>
      </c>
      <c r="B71" s="1">
        <v>16</v>
      </c>
      <c r="C71" s="1">
        <v>6</v>
      </c>
      <c r="D71" s="1" t="s">
        <v>18</v>
      </c>
      <c r="E71" s="1">
        <v>10</v>
      </c>
      <c r="F71" s="1">
        <v>3</v>
      </c>
      <c r="G71" s="1" t="s">
        <v>18</v>
      </c>
      <c r="H71" s="1">
        <v>16</v>
      </c>
      <c r="I71" s="1">
        <v>0</v>
      </c>
      <c r="J71" s="1" t="s">
        <v>18</v>
      </c>
      <c r="K71" s="1">
        <v>1</v>
      </c>
      <c r="L71" s="1" t="s">
        <v>19</v>
      </c>
      <c r="M71" s="1" t="s">
        <v>20</v>
      </c>
      <c r="N71" s="1" t="s">
        <v>18</v>
      </c>
      <c r="O71" s="1" t="s">
        <v>262</v>
      </c>
      <c r="P71" s="1">
        <v>6177.9199520000002</v>
      </c>
      <c r="Q71" s="1">
        <v>6195.2650800000001</v>
      </c>
      <c r="R71" s="2">
        <f t="shared" si="2"/>
        <v>2.8075999907355115E-3</v>
      </c>
      <c r="S71" s="4">
        <v>26.81</v>
      </c>
      <c r="T71" s="5">
        <v>1.0499000200070441E-3</v>
      </c>
    </row>
    <row r="72" spans="1:20">
      <c r="A72" s="1" t="s">
        <v>90</v>
      </c>
      <c r="B72" s="1">
        <v>6</v>
      </c>
      <c r="C72" s="1">
        <v>2</v>
      </c>
      <c r="D72" s="1" t="s">
        <v>17</v>
      </c>
      <c r="E72" s="1">
        <v>4</v>
      </c>
      <c r="F72" s="1">
        <v>1</v>
      </c>
      <c r="G72" s="1" t="s">
        <v>18</v>
      </c>
      <c r="H72" s="1">
        <v>8</v>
      </c>
      <c r="I72" s="1">
        <v>2</v>
      </c>
      <c r="J72" s="1" t="s">
        <v>17</v>
      </c>
      <c r="K72" s="1">
        <v>1</v>
      </c>
      <c r="L72" s="1" t="s">
        <v>19</v>
      </c>
      <c r="M72" s="1" t="s">
        <v>20</v>
      </c>
      <c r="N72" s="1" t="s">
        <v>17</v>
      </c>
      <c r="O72" s="1" t="s">
        <v>263</v>
      </c>
      <c r="P72" s="1">
        <v>1535.7999890000001</v>
      </c>
      <c r="Q72" s="1">
        <v>1670.849248</v>
      </c>
      <c r="R72" s="2">
        <f t="shared" si="2"/>
        <v>8.7934145049664986E-2</v>
      </c>
      <c r="S72" s="4">
        <v>21.41</v>
      </c>
      <c r="T72" s="5">
        <v>9.6849998226389289E-4</v>
      </c>
    </row>
    <row r="73" spans="1:20">
      <c r="A73" s="1" t="s">
        <v>91</v>
      </c>
      <c r="B73" s="1">
        <v>12</v>
      </c>
      <c r="C73" s="1">
        <v>6</v>
      </c>
      <c r="D73" s="1" t="s">
        <v>17</v>
      </c>
      <c r="E73" s="1">
        <v>10</v>
      </c>
      <c r="F73" s="1">
        <v>3</v>
      </c>
      <c r="G73" s="1" t="s">
        <v>18</v>
      </c>
      <c r="H73" s="1">
        <v>10</v>
      </c>
      <c r="I73" s="1">
        <v>2</v>
      </c>
      <c r="J73" s="1" t="s">
        <v>17</v>
      </c>
      <c r="K73" s="1">
        <v>2</v>
      </c>
      <c r="L73" s="1" t="s">
        <v>19</v>
      </c>
      <c r="M73" s="1" t="s">
        <v>20</v>
      </c>
      <c r="N73" s="1" t="s">
        <v>18</v>
      </c>
      <c r="O73" s="1" t="s">
        <v>262</v>
      </c>
      <c r="P73" s="1">
        <v>5451.5999680000004</v>
      </c>
      <c r="Q73" s="1">
        <v>5461.4255030000004</v>
      </c>
      <c r="R73" s="2">
        <f t="shared" si="2"/>
        <v>1.8023213474345563E-3</v>
      </c>
      <c r="S73" s="4">
        <v>25.89</v>
      </c>
      <c r="T73" s="5">
        <v>1.0030000121332709E-3</v>
      </c>
    </row>
    <row r="74" spans="1:20">
      <c r="A74" s="1" t="s">
        <v>92</v>
      </c>
      <c r="B74" s="1">
        <v>14</v>
      </c>
      <c r="C74" s="1">
        <v>8</v>
      </c>
      <c r="D74" s="1" t="s">
        <v>18</v>
      </c>
      <c r="E74" s="1">
        <v>12</v>
      </c>
      <c r="F74" s="1">
        <v>6</v>
      </c>
      <c r="G74" s="1" t="s">
        <v>17</v>
      </c>
      <c r="H74" s="1">
        <v>5</v>
      </c>
      <c r="I74" s="1">
        <v>3</v>
      </c>
      <c r="J74" s="1" t="s">
        <v>17</v>
      </c>
      <c r="K74" s="1">
        <v>3</v>
      </c>
      <c r="L74" s="1" t="s">
        <v>19</v>
      </c>
      <c r="M74" s="1" t="s">
        <v>20</v>
      </c>
      <c r="N74" s="1" t="s">
        <v>17</v>
      </c>
      <c r="O74" s="1" t="s">
        <v>262</v>
      </c>
      <c r="P74" s="1">
        <v>7010.9199440000002</v>
      </c>
      <c r="Q74" s="1">
        <v>6848.5181979999998</v>
      </c>
      <c r="R74" s="2">
        <f t="shared" si="2"/>
        <v>2.3164113596673593E-2</v>
      </c>
      <c r="S74" s="4">
        <v>27.85</v>
      </c>
      <c r="T74" s="5">
        <v>1.0353000252507629E-3</v>
      </c>
    </row>
    <row r="75" spans="1:20">
      <c r="A75" s="1" t="s">
        <v>93</v>
      </c>
      <c r="B75" s="1">
        <v>8</v>
      </c>
      <c r="C75" s="1">
        <v>3</v>
      </c>
      <c r="D75" s="1" t="s">
        <v>17</v>
      </c>
      <c r="E75" s="1">
        <v>10</v>
      </c>
      <c r="F75" s="1">
        <v>1</v>
      </c>
      <c r="G75" s="1" t="s">
        <v>17</v>
      </c>
      <c r="H75" s="1">
        <v>16</v>
      </c>
      <c r="I75" s="1">
        <v>8</v>
      </c>
      <c r="J75" s="1" t="s">
        <v>17</v>
      </c>
      <c r="K75" s="1">
        <v>3</v>
      </c>
      <c r="L75" s="1" t="s">
        <v>19</v>
      </c>
      <c r="M75" s="1" t="s">
        <v>20</v>
      </c>
      <c r="N75" s="1" t="s">
        <v>18</v>
      </c>
      <c r="O75" s="1" t="s">
        <v>263</v>
      </c>
      <c r="P75" s="1">
        <v>4822.7199799999999</v>
      </c>
      <c r="Q75" s="1">
        <v>4874.6419079999996</v>
      </c>
      <c r="R75" s="2">
        <f t="shared" si="2"/>
        <v>1.0766108796555042E-2</v>
      </c>
      <c r="S75" s="4">
        <v>23.88</v>
      </c>
      <c r="T75" s="5">
        <v>9.8359998082742095E-4</v>
      </c>
    </row>
    <row r="76" spans="1:20">
      <c r="A76" s="1" t="s">
        <v>94</v>
      </c>
      <c r="B76" s="1">
        <v>12</v>
      </c>
      <c r="C76" s="1">
        <v>2</v>
      </c>
      <c r="D76" s="1" t="s">
        <v>17</v>
      </c>
      <c r="E76" s="1">
        <v>4</v>
      </c>
      <c r="F76" s="1">
        <v>1</v>
      </c>
      <c r="G76" s="1" t="s">
        <v>17</v>
      </c>
      <c r="H76" s="1">
        <v>12</v>
      </c>
      <c r="I76" s="1">
        <v>1</v>
      </c>
      <c r="J76" s="1" t="s">
        <v>17</v>
      </c>
      <c r="K76" s="1">
        <v>6</v>
      </c>
      <c r="L76" s="1" t="s">
        <v>19</v>
      </c>
      <c r="M76" s="1" t="s">
        <v>20</v>
      </c>
      <c r="N76" s="1" t="s">
        <v>18</v>
      </c>
      <c r="O76" s="1" t="s">
        <v>263</v>
      </c>
      <c r="P76" s="1">
        <v>3679.4800019999998</v>
      </c>
      <c r="Q76" s="1">
        <v>3842.9354020000001</v>
      </c>
      <c r="R76" s="2">
        <f t="shared" si="2"/>
        <v>4.4423505471195189E-2</v>
      </c>
      <c r="S76" s="4">
        <v>22.82</v>
      </c>
      <c r="T76" s="5">
        <v>1.0066000395454471E-3</v>
      </c>
    </row>
    <row r="77" spans="1:20">
      <c r="A77" s="1" t="s">
        <v>95</v>
      </c>
      <c r="B77" s="1">
        <v>10</v>
      </c>
      <c r="C77" s="1">
        <v>8</v>
      </c>
      <c r="D77" s="1" t="s">
        <v>17</v>
      </c>
      <c r="E77" s="1">
        <v>8</v>
      </c>
      <c r="F77" s="1">
        <v>2</v>
      </c>
      <c r="G77" s="1" t="s">
        <v>17</v>
      </c>
      <c r="H77" s="1">
        <v>12</v>
      </c>
      <c r="I77" s="1">
        <v>8</v>
      </c>
      <c r="J77" s="1" t="s">
        <v>17</v>
      </c>
      <c r="K77" s="1">
        <v>4</v>
      </c>
      <c r="L77" s="1" t="s">
        <v>19</v>
      </c>
      <c r="M77" s="1" t="s">
        <v>20</v>
      </c>
      <c r="N77" s="1" t="s">
        <v>18</v>
      </c>
      <c r="O77" s="1" t="s">
        <v>262</v>
      </c>
      <c r="P77" s="1">
        <v>4489.799986</v>
      </c>
      <c r="Q77" s="1">
        <v>4423.5761060000004</v>
      </c>
      <c r="R77" s="2">
        <f t="shared" si="2"/>
        <v>1.474985081885551E-2</v>
      </c>
      <c r="S77" s="4">
        <v>25.11</v>
      </c>
      <c r="T77" s="5">
        <v>9.9080003565177321E-4</v>
      </c>
    </row>
    <row r="78" spans="1:20">
      <c r="A78" s="1" t="s">
        <v>96</v>
      </c>
      <c r="B78" s="1">
        <v>12</v>
      </c>
      <c r="C78" s="1">
        <v>2</v>
      </c>
      <c r="D78" s="1" t="s">
        <v>18</v>
      </c>
      <c r="E78" s="1">
        <v>12</v>
      </c>
      <c r="F78" s="1">
        <v>4</v>
      </c>
      <c r="G78" s="1" t="s">
        <v>17</v>
      </c>
      <c r="H78" s="1">
        <v>8</v>
      </c>
      <c r="I78" s="1">
        <v>0</v>
      </c>
      <c r="J78" s="1" t="s">
        <v>17</v>
      </c>
      <c r="K78" s="1">
        <v>6</v>
      </c>
      <c r="L78" s="1" t="s">
        <v>19</v>
      </c>
      <c r="M78" s="1" t="s">
        <v>20</v>
      </c>
      <c r="N78" s="1" t="s">
        <v>17</v>
      </c>
      <c r="O78" s="1" t="s">
        <v>263</v>
      </c>
      <c r="P78" s="1">
        <v>7571.4799300000004</v>
      </c>
      <c r="Q78" s="1">
        <v>7462.8411319999996</v>
      </c>
      <c r="R78" s="2">
        <f t="shared" si="2"/>
        <v>1.4348423162233866E-2</v>
      </c>
      <c r="S78" s="4">
        <v>24.09</v>
      </c>
      <c r="T78" s="5">
        <v>1.0599999804981051E-3</v>
      </c>
    </row>
    <row r="79" spans="1:20">
      <c r="A79" s="1" t="s">
        <v>97</v>
      </c>
      <c r="B79" s="1">
        <v>8</v>
      </c>
      <c r="C79" s="1">
        <v>2</v>
      </c>
      <c r="D79" s="1" t="s">
        <v>17</v>
      </c>
      <c r="E79" s="1">
        <v>12</v>
      </c>
      <c r="F79" s="1">
        <v>6</v>
      </c>
      <c r="G79" s="1" t="s">
        <v>17</v>
      </c>
      <c r="H79" s="1">
        <v>9</v>
      </c>
      <c r="I79" s="1">
        <v>3</v>
      </c>
      <c r="J79" s="1" t="s">
        <v>17</v>
      </c>
      <c r="K79" s="1">
        <v>3</v>
      </c>
      <c r="L79" s="1" t="s">
        <v>19</v>
      </c>
      <c r="M79" s="1" t="s">
        <v>20</v>
      </c>
      <c r="N79" s="1" t="s">
        <v>18</v>
      </c>
      <c r="O79" s="1" t="s">
        <v>262</v>
      </c>
      <c r="P79" s="1">
        <v>4866.9599770000004</v>
      </c>
      <c r="Q79" s="1">
        <v>4639.0314959999996</v>
      </c>
      <c r="R79" s="2">
        <f t="shared" si="2"/>
        <v>4.6831796866448901E-2</v>
      </c>
      <c r="S79" s="4">
        <v>26.35</v>
      </c>
      <c r="T79" s="5">
        <v>1.1026000138372181E-3</v>
      </c>
    </row>
    <row r="80" spans="1:20">
      <c r="A80" s="1" t="s">
        <v>98</v>
      </c>
      <c r="B80" s="1">
        <v>10</v>
      </c>
      <c r="C80" s="1">
        <v>1</v>
      </c>
      <c r="D80" s="1" t="s">
        <v>18</v>
      </c>
      <c r="E80" s="1">
        <v>9</v>
      </c>
      <c r="F80" s="1">
        <v>1</v>
      </c>
      <c r="G80" s="1" t="s">
        <v>17</v>
      </c>
      <c r="H80" s="1">
        <v>9</v>
      </c>
      <c r="I80" s="1">
        <v>0</v>
      </c>
      <c r="J80" s="1" t="s">
        <v>17</v>
      </c>
      <c r="K80" s="1">
        <v>4</v>
      </c>
      <c r="L80" s="1" t="s">
        <v>19</v>
      </c>
      <c r="M80" s="1" t="s">
        <v>20</v>
      </c>
      <c r="N80" s="1" t="s">
        <v>18</v>
      </c>
      <c r="O80" s="1" t="s">
        <v>262</v>
      </c>
      <c r="P80" s="1">
        <v>4454.7999810000001</v>
      </c>
      <c r="Q80" s="1">
        <v>4481.4395789999999</v>
      </c>
      <c r="R80" s="2">
        <f t="shared" si="2"/>
        <v>5.9799762309462375E-3</v>
      </c>
      <c r="S80" s="4">
        <v>24.43</v>
      </c>
      <c r="T80" s="5">
        <v>1.003299956209958E-3</v>
      </c>
    </row>
    <row r="81" spans="1:20">
      <c r="A81" s="1" t="s">
        <v>99</v>
      </c>
      <c r="B81" s="1">
        <v>14</v>
      </c>
      <c r="C81" s="1">
        <v>2</v>
      </c>
      <c r="D81" s="1" t="s">
        <v>17</v>
      </c>
      <c r="E81" s="1">
        <v>5</v>
      </c>
      <c r="F81" s="1">
        <v>0</v>
      </c>
      <c r="G81" s="1" t="s">
        <v>17</v>
      </c>
      <c r="H81" s="1">
        <v>5</v>
      </c>
      <c r="I81" s="1">
        <v>3</v>
      </c>
      <c r="J81" s="1" t="s">
        <v>17</v>
      </c>
      <c r="K81" s="1">
        <v>2</v>
      </c>
      <c r="L81" s="1" t="s">
        <v>19</v>
      </c>
      <c r="M81" s="1" t="s">
        <v>20</v>
      </c>
      <c r="N81" s="1" t="s">
        <v>17</v>
      </c>
      <c r="O81" s="1" t="s">
        <v>263</v>
      </c>
      <c r="P81" s="1">
        <v>3349.9199720000001</v>
      </c>
      <c r="Q81" s="1">
        <v>3800.997492</v>
      </c>
      <c r="R81" s="2">
        <f t="shared" si="2"/>
        <v>0.13465322269495691</v>
      </c>
      <c r="S81" s="4">
        <v>22.44</v>
      </c>
      <c r="T81" s="5">
        <v>1.122199988458306E-3</v>
      </c>
    </row>
    <row r="82" spans="1:20">
      <c r="A82" s="1" t="s">
        <v>100</v>
      </c>
      <c r="B82" s="1">
        <v>12</v>
      </c>
      <c r="C82" s="1">
        <v>6</v>
      </c>
      <c r="D82" s="1" t="s">
        <v>18</v>
      </c>
      <c r="E82" s="1">
        <v>4</v>
      </c>
      <c r="F82" s="1">
        <v>0</v>
      </c>
      <c r="G82" s="1" t="s">
        <v>18</v>
      </c>
      <c r="H82" s="1">
        <v>16</v>
      </c>
      <c r="I82" s="1">
        <v>3</v>
      </c>
      <c r="J82" s="1" t="s">
        <v>18</v>
      </c>
      <c r="K82" s="1">
        <v>3</v>
      </c>
      <c r="L82" s="1" t="s">
        <v>19</v>
      </c>
      <c r="M82" s="1" t="s">
        <v>20</v>
      </c>
      <c r="N82" s="1" t="s">
        <v>17</v>
      </c>
      <c r="O82" s="1" t="s">
        <v>263</v>
      </c>
      <c r="P82" s="1">
        <v>2547.4399659999999</v>
      </c>
      <c r="Q82" s="1">
        <v>2450.7012089999998</v>
      </c>
      <c r="R82" s="2">
        <f t="shared" si="2"/>
        <v>3.797489177022674E-2</v>
      </c>
      <c r="S82" s="4">
        <v>21.13</v>
      </c>
      <c r="T82" s="5">
        <v>1.0483000078238549E-3</v>
      </c>
    </row>
    <row r="83" spans="1:20">
      <c r="A83" s="1" t="s">
        <v>101</v>
      </c>
      <c r="B83" s="1">
        <v>14</v>
      </c>
      <c r="C83" s="1">
        <v>6</v>
      </c>
      <c r="D83" s="1" t="s">
        <v>18</v>
      </c>
      <c r="E83" s="1">
        <v>6</v>
      </c>
      <c r="F83" s="1">
        <v>2</v>
      </c>
      <c r="G83" s="1" t="s">
        <v>17</v>
      </c>
      <c r="H83" s="1">
        <v>10</v>
      </c>
      <c r="I83" s="1">
        <v>1</v>
      </c>
      <c r="J83" s="1" t="s">
        <v>17</v>
      </c>
      <c r="K83" s="1">
        <v>1</v>
      </c>
      <c r="L83" s="1" t="s">
        <v>19</v>
      </c>
      <c r="M83" s="1" t="s">
        <v>20</v>
      </c>
      <c r="N83" s="1" t="s">
        <v>17</v>
      </c>
      <c r="O83" s="1" t="s">
        <v>263</v>
      </c>
      <c r="P83" s="1">
        <v>4245.9199710000003</v>
      </c>
      <c r="Q83" s="1">
        <v>4273.0909110000002</v>
      </c>
      <c r="R83" s="2">
        <f t="shared" si="2"/>
        <v>6.3993057301079239E-3</v>
      </c>
      <c r="S83" s="4">
        <v>22.56</v>
      </c>
      <c r="T83" s="5">
        <v>1.117900013923645E-3</v>
      </c>
    </row>
    <row r="84" spans="1:20">
      <c r="A84" s="1" t="s">
        <v>102</v>
      </c>
      <c r="B84" s="1">
        <v>9</v>
      </c>
      <c r="C84" s="1">
        <v>6</v>
      </c>
      <c r="D84" s="1" t="s">
        <v>18</v>
      </c>
      <c r="E84" s="1">
        <v>14</v>
      </c>
      <c r="F84" s="1">
        <v>6</v>
      </c>
      <c r="G84" s="1" t="s">
        <v>18</v>
      </c>
      <c r="H84" s="1">
        <v>6</v>
      </c>
      <c r="I84" s="1">
        <v>3</v>
      </c>
      <c r="J84" s="1" t="s">
        <v>18</v>
      </c>
      <c r="K84" s="1">
        <v>1</v>
      </c>
      <c r="L84" s="1" t="s">
        <v>19</v>
      </c>
      <c r="M84" s="1" t="s">
        <v>20</v>
      </c>
      <c r="N84" s="1" t="s">
        <v>18</v>
      </c>
      <c r="O84" s="1" t="s">
        <v>262</v>
      </c>
      <c r="P84" s="1">
        <v>4743.4799590000002</v>
      </c>
      <c r="Q84" s="1">
        <v>4817.6732019999999</v>
      </c>
      <c r="R84" s="2">
        <f t="shared" si="2"/>
        <v>1.564109970765868E-2</v>
      </c>
      <c r="S84" s="4">
        <v>25.37</v>
      </c>
      <c r="T84" s="5">
        <v>1.073900028131902E-3</v>
      </c>
    </row>
    <row r="85" spans="1:20">
      <c r="A85" s="1" t="s">
        <v>103</v>
      </c>
      <c r="B85" s="1">
        <v>16</v>
      </c>
      <c r="C85" s="1">
        <v>3</v>
      </c>
      <c r="D85" s="1" t="s">
        <v>17</v>
      </c>
      <c r="E85" s="1">
        <v>12</v>
      </c>
      <c r="F85" s="1">
        <v>1</v>
      </c>
      <c r="G85" s="1" t="s">
        <v>18</v>
      </c>
      <c r="H85" s="1">
        <v>6</v>
      </c>
      <c r="I85" s="1">
        <v>4</v>
      </c>
      <c r="J85" s="1" t="s">
        <v>17</v>
      </c>
      <c r="K85" s="1">
        <v>0</v>
      </c>
      <c r="L85" s="1" t="s">
        <v>19</v>
      </c>
      <c r="M85" s="1" t="s">
        <v>20</v>
      </c>
      <c r="N85" s="1" t="s">
        <v>18</v>
      </c>
      <c r="O85" s="1" t="s">
        <v>263</v>
      </c>
      <c r="P85" s="1">
        <v>9038.3999260000001</v>
      </c>
      <c r="Q85" s="1">
        <v>8857.9378290000004</v>
      </c>
      <c r="R85" s="2">
        <f t="shared" si="2"/>
        <v>1.9966155345801814E-2</v>
      </c>
      <c r="S85" s="4">
        <v>25.98</v>
      </c>
      <c r="T85" s="5">
        <v>1.1326000094413759E-3</v>
      </c>
    </row>
    <row r="86" spans="1:20">
      <c r="A86" s="1" t="s">
        <v>104</v>
      </c>
      <c r="B86" s="1">
        <v>10</v>
      </c>
      <c r="C86" s="1">
        <v>1</v>
      </c>
      <c r="D86" s="1" t="s">
        <v>17</v>
      </c>
      <c r="E86" s="1">
        <v>4</v>
      </c>
      <c r="F86" s="1">
        <v>3</v>
      </c>
      <c r="G86" s="1" t="s">
        <v>17</v>
      </c>
      <c r="H86" s="1">
        <v>9</v>
      </c>
      <c r="I86" s="1">
        <v>0</v>
      </c>
      <c r="J86" s="1" t="s">
        <v>17</v>
      </c>
      <c r="K86" s="1">
        <v>2</v>
      </c>
      <c r="L86" s="1" t="s">
        <v>19</v>
      </c>
      <c r="M86" s="1" t="s">
        <v>20</v>
      </c>
      <c r="N86" s="1" t="s">
        <v>17</v>
      </c>
      <c r="O86" s="1" t="s">
        <v>262</v>
      </c>
      <c r="P86" s="1">
        <v>2567.5999790000001</v>
      </c>
      <c r="Q86" s="1">
        <v>2489.4205480000001</v>
      </c>
      <c r="R86" s="2">
        <f t="shared" si="2"/>
        <v>3.0448446658131095E-2</v>
      </c>
      <c r="S86" s="4">
        <v>23.07</v>
      </c>
      <c r="T86" s="5">
        <v>9.7310001729056239E-4</v>
      </c>
    </row>
    <row r="87" spans="1:20">
      <c r="A87" s="1" t="s">
        <v>105</v>
      </c>
      <c r="B87" s="1">
        <v>14</v>
      </c>
      <c r="C87" s="1">
        <v>1</v>
      </c>
      <c r="D87" s="1" t="s">
        <v>18</v>
      </c>
      <c r="E87" s="1">
        <v>4</v>
      </c>
      <c r="F87" s="1">
        <v>0</v>
      </c>
      <c r="G87" s="1" t="s">
        <v>18</v>
      </c>
      <c r="H87" s="1">
        <v>12</v>
      </c>
      <c r="I87" s="1">
        <v>8</v>
      </c>
      <c r="J87" s="1" t="s">
        <v>18</v>
      </c>
      <c r="K87" s="1">
        <v>6</v>
      </c>
      <c r="L87" s="1" t="s">
        <v>19</v>
      </c>
      <c r="M87" s="1" t="s">
        <v>20</v>
      </c>
      <c r="N87" s="1" t="s">
        <v>18</v>
      </c>
      <c r="O87" s="1" t="s">
        <v>262</v>
      </c>
      <c r="P87" s="1">
        <v>2412.4799899999998</v>
      </c>
      <c r="Q87" s="1">
        <v>2698.6268620000001</v>
      </c>
      <c r="R87" s="2">
        <f t="shared" si="2"/>
        <v>0.11861108617941336</v>
      </c>
      <c r="S87" s="4">
        <v>23.02</v>
      </c>
      <c r="T87" s="5">
        <v>9.6259999554604292E-4</v>
      </c>
    </row>
    <row r="88" spans="1:20">
      <c r="A88" s="1" t="s">
        <v>106</v>
      </c>
      <c r="B88" s="1">
        <v>10</v>
      </c>
      <c r="C88" s="1">
        <v>8</v>
      </c>
      <c r="D88" s="1" t="s">
        <v>18</v>
      </c>
      <c r="E88" s="1">
        <v>4</v>
      </c>
      <c r="F88" s="1">
        <v>1</v>
      </c>
      <c r="G88" s="1" t="s">
        <v>18</v>
      </c>
      <c r="H88" s="1">
        <v>12</v>
      </c>
      <c r="I88" s="1">
        <v>1</v>
      </c>
      <c r="J88" s="1" t="s">
        <v>18</v>
      </c>
      <c r="K88" s="1">
        <v>3</v>
      </c>
      <c r="L88" s="1" t="s">
        <v>19</v>
      </c>
      <c r="M88" s="1" t="s">
        <v>20</v>
      </c>
      <c r="N88" s="1" t="s">
        <v>18</v>
      </c>
      <c r="O88" s="1" t="s">
        <v>263</v>
      </c>
      <c r="P88" s="1">
        <v>1891.6799940000001</v>
      </c>
      <c r="Q88" s="1">
        <v>1911.185266</v>
      </c>
      <c r="R88" s="2">
        <f t="shared" si="2"/>
        <v>1.0311084359863392E-2</v>
      </c>
      <c r="S88" s="4">
        <v>20.65</v>
      </c>
      <c r="T88" s="5">
        <v>1.113100035581738E-3</v>
      </c>
    </row>
    <row r="89" spans="1:20">
      <c r="A89" s="1" t="s">
        <v>107</v>
      </c>
      <c r="B89" s="1">
        <v>9</v>
      </c>
      <c r="C89" s="1">
        <v>2</v>
      </c>
      <c r="D89" s="1" t="s">
        <v>17</v>
      </c>
      <c r="E89" s="1">
        <v>14</v>
      </c>
      <c r="F89" s="1">
        <v>6</v>
      </c>
      <c r="G89" s="1" t="s">
        <v>18</v>
      </c>
      <c r="H89" s="1">
        <v>12</v>
      </c>
      <c r="I89" s="1">
        <v>2</v>
      </c>
      <c r="J89" s="1" t="s">
        <v>17</v>
      </c>
      <c r="K89" s="1">
        <v>4</v>
      </c>
      <c r="L89" s="1" t="s">
        <v>19</v>
      </c>
      <c r="M89" s="1" t="s">
        <v>20</v>
      </c>
      <c r="N89" s="1" t="s">
        <v>18</v>
      </c>
      <c r="O89" s="1" t="s">
        <v>262</v>
      </c>
      <c r="P89" s="1">
        <v>5997.3199729999997</v>
      </c>
      <c r="Q89" s="1">
        <v>6000.5123700000004</v>
      </c>
      <c r="R89" s="2">
        <f t="shared" si="2"/>
        <v>5.3230393148488264E-4</v>
      </c>
      <c r="S89" s="4">
        <v>25.34</v>
      </c>
      <c r="T89" s="5">
        <v>1.0635999497026209E-3</v>
      </c>
    </row>
    <row r="90" spans="1:20">
      <c r="A90" s="1" t="s">
        <v>108</v>
      </c>
      <c r="B90" s="1">
        <v>14</v>
      </c>
      <c r="C90" s="1">
        <v>1</v>
      </c>
      <c r="D90" s="1" t="s">
        <v>17</v>
      </c>
      <c r="E90" s="1">
        <v>8</v>
      </c>
      <c r="F90" s="1">
        <v>0</v>
      </c>
      <c r="G90" s="1" t="s">
        <v>18</v>
      </c>
      <c r="H90" s="1">
        <v>10</v>
      </c>
      <c r="I90" s="1">
        <v>1</v>
      </c>
      <c r="J90" s="1" t="s">
        <v>17</v>
      </c>
      <c r="K90" s="1">
        <v>3</v>
      </c>
      <c r="L90" s="1" t="s">
        <v>19</v>
      </c>
      <c r="M90" s="1" t="s">
        <v>20</v>
      </c>
      <c r="N90" s="1" t="s">
        <v>18</v>
      </c>
      <c r="O90" s="1" t="s">
        <v>263</v>
      </c>
      <c r="P90" s="1">
        <v>5913.8799730000001</v>
      </c>
      <c r="Q90" s="1">
        <v>5930.6134760000004</v>
      </c>
      <c r="R90" s="2">
        <f t="shared" si="2"/>
        <v>2.829530372005807E-3</v>
      </c>
      <c r="S90" s="4">
        <v>22.74</v>
      </c>
      <c r="T90" s="5">
        <v>1.172600022982806E-3</v>
      </c>
    </row>
    <row r="91" spans="1:20">
      <c r="A91" s="1" t="s">
        <v>109</v>
      </c>
      <c r="B91" s="1">
        <v>16</v>
      </c>
      <c r="C91" s="1">
        <v>8</v>
      </c>
      <c r="D91" s="1" t="s">
        <v>18</v>
      </c>
      <c r="E91" s="1">
        <v>10</v>
      </c>
      <c r="F91" s="1">
        <v>2</v>
      </c>
      <c r="G91" s="1" t="s">
        <v>17</v>
      </c>
      <c r="H91" s="1">
        <v>16</v>
      </c>
      <c r="I91" s="1">
        <v>0</v>
      </c>
      <c r="J91" s="1" t="s">
        <v>17</v>
      </c>
      <c r="K91" s="1">
        <v>0</v>
      </c>
      <c r="L91" s="1" t="s">
        <v>19</v>
      </c>
      <c r="M91" s="1" t="s">
        <v>20</v>
      </c>
      <c r="N91" s="1" t="s">
        <v>17</v>
      </c>
      <c r="O91" s="1" t="s">
        <v>262</v>
      </c>
      <c r="P91" s="1">
        <v>6890.7999479999999</v>
      </c>
      <c r="Q91" s="1">
        <v>6829.2037149999996</v>
      </c>
      <c r="R91" s="2">
        <f t="shared" si="2"/>
        <v>8.938908902424025E-3</v>
      </c>
      <c r="S91" s="4">
        <v>27.16</v>
      </c>
      <c r="T91" s="5">
        <v>1.04010000359267E-3</v>
      </c>
    </row>
    <row r="92" spans="1:20">
      <c r="A92" s="1" t="s">
        <v>110</v>
      </c>
      <c r="B92" s="1">
        <v>9</v>
      </c>
      <c r="C92" s="1">
        <v>1</v>
      </c>
      <c r="D92" s="1" t="s">
        <v>17</v>
      </c>
      <c r="E92" s="1">
        <v>10</v>
      </c>
      <c r="F92" s="1">
        <v>4</v>
      </c>
      <c r="G92" s="1" t="s">
        <v>17</v>
      </c>
      <c r="H92" s="1">
        <v>9</v>
      </c>
      <c r="I92" s="1">
        <v>8</v>
      </c>
      <c r="J92" s="1" t="s">
        <v>17</v>
      </c>
      <c r="K92" s="1">
        <v>3</v>
      </c>
      <c r="L92" s="1" t="s">
        <v>19</v>
      </c>
      <c r="M92" s="1" t="s">
        <v>20</v>
      </c>
      <c r="N92" s="1" t="s">
        <v>18</v>
      </c>
      <c r="O92" s="1" t="s">
        <v>263</v>
      </c>
      <c r="P92" s="1">
        <v>4920.7199739999996</v>
      </c>
      <c r="Q92" s="1">
        <v>4882.3276569999998</v>
      </c>
      <c r="R92" s="2">
        <f t="shared" si="2"/>
        <v>7.8021747229788255E-3</v>
      </c>
      <c r="S92" s="4">
        <v>23.32</v>
      </c>
      <c r="T92" s="5">
        <v>1.032200001645833E-3</v>
      </c>
    </row>
    <row r="93" spans="1:20">
      <c r="A93" s="1" t="s">
        <v>111</v>
      </c>
      <c r="B93" s="1">
        <v>16</v>
      </c>
      <c r="C93" s="1">
        <v>4</v>
      </c>
      <c r="D93" s="1" t="s">
        <v>17</v>
      </c>
      <c r="E93" s="1">
        <v>8</v>
      </c>
      <c r="F93" s="1">
        <v>1</v>
      </c>
      <c r="G93" s="1" t="s">
        <v>18</v>
      </c>
      <c r="H93" s="1">
        <v>5</v>
      </c>
      <c r="I93" s="1">
        <v>3</v>
      </c>
      <c r="J93" s="1" t="s">
        <v>17</v>
      </c>
      <c r="K93" s="1">
        <v>2</v>
      </c>
      <c r="L93" s="1" t="s">
        <v>19</v>
      </c>
      <c r="M93" s="1" t="s">
        <v>20</v>
      </c>
      <c r="N93" s="1" t="s">
        <v>17</v>
      </c>
      <c r="O93" s="1" t="s">
        <v>263</v>
      </c>
      <c r="P93" s="1">
        <v>6350.9599580000004</v>
      </c>
      <c r="Q93" s="1">
        <v>6232.4669739999999</v>
      </c>
      <c r="R93" s="2">
        <f t="shared" si="2"/>
        <v>1.8657491904155447E-2</v>
      </c>
      <c r="S93" s="4">
        <v>23.17</v>
      </c>
      <c r="T93" s="5">
        <v>1.144000038038939E-3</v>
      </c>
    </row>
    <row r="94" spans="1:20">
      <c r="A94" s="1" t="s">
        <v>112</v>
      </c>
      <c r="B94" s="1">
        <v>16</v>
      </c>
      <c r="C94" s="1">
        <v>2</v>
      </c>
      <c r="D94" s="1" t="s">
        <v>17</v>
      </c>
      <c r="E94" s="1">
        <v>8</v>
      </c>
      <c r="F94" s="1">
        <v>4</v>
      </c>
      <c r="G94" s="1" t="s">
        <v>18</v>
      </c>
      <c r="H94" s="1">
        <v>10</v>
      </c>
      <c r="I94" s="1">
        <v>4</v>
      </c>
      <c r="J94" s="1" t="s">
        <v>17</v>
      </c>
      <c r="K94" s="1">
        <v>0</v>
      </c>
      <c r="L94" s="1" t="s">
        <v>19</v>
      </c>
      <c r="M94" s="1" t="s">
        <v>20</v>
      </c>
      <c r="N94" s="1" t="s">
        <v>18</v>
      </c>
      <c r="O94" s="1" t="s">
        <v>262</v>
      </c>
      <c r="P94" s="1">
        <v>5566.6799590000001</v>
      </c>
      <c r="Q94" s="1">
        <v>5638.0726160000004</v>
      </c>
      <c r="R94" s="2">
        <f t="shared" si="2"/>
        <v>1.2824997579495359E-2</v>
      </c>
      <c r="S94" s="4">
        <v>26.37</v>
      </c>
      <c r="T94" s="5">
        <v>1.073099963832647E-3</v>
      </c>
    </row>
    <row r="95" spans="1:20">
      <c r="A95" s="1" t="s">
        <v>113</v>
      </c>
      <c r="B95" s="1">
        <v>8</v>
      </c>
      <c r="C95" s="1">
        <v>2</v>
      </c>
      <c r="D95" s="1" t="s">
        <v>18</v>
      </c>
      <c r="E95" s="1">
        <v>12</v>
      </c>
      <c r="F95" s="1">
        <v>3</v>
      </c>
      <c r="G95" s="1" t="s">
        <v>17</v>
      </c>
      <c r="H95" s="1">
        <v>16</v>
      </c>
      <c r="I95" s="1">
        <v>6</v>
      </c>
      <c r="J95" s="1" t="s">
        <v>17</v>
      </c>
      <c r="K95" s="1">
        <v>4</v>
      </c>
      <c r="L95" s="1" t="s">
        <v>19</v>
      </c>
      <c r="M95" s="1" t="s">
        <v>20</v>
      </c>
      <c r="N95" s="1" t="s">
        <v>17</v>
      </c>
      <c r="O95" s="1" t="s">
        <v>263</v>
      </c>
      <c r="P95" s="1">
        <v>5825.399942</v>
      </c>
      <c r="Q95" s="1">
        <v>5857.1929419999997</v>
      </c>
      <c r="R95" s="2">
        <f t="shared" si="2"/>
        <v>5.4576510310954483E-3</v>
      </c>
      <c r="S95" s="4">
        <v>22.75</v>
      </c>
      <c r="T95" s="5">
        <v>1.0473000002093611E-3</v>
      </c>
    </row>
    <row r="96" spans="1:20">
      <c r="A96" s="1" t="s">
        <v>114</v>
      </c>
      <c r="B96" s="1">
        <v>14</v>
      </c>
      <c r="C96" s="1">
        <v>3</v>
      </c>
      <c r="D96" s="1" t="s">
        <v>17</v>
      </c>
      <c r="E96" s="1">
        <v>14</v>
      </c>
      <c r="F96" s="1">
        <v>3</v>
      </c>
      <c r="G96" s="1" t="s">
        <v>18</v>
      </c>
      <c r="H96" s="1">
        <v>9</v>
      </c>
      <c r="I96" s="1">
        <v>1</v>
      </c>
      <c r="J96" s="1" t="s">
        <v>17</v>
      </c>
      <c r="K96" s="1">
        <v>3</v>
      </c>
      <c r="L96" s="1" t="s">
        <v>19</v>
      </c>
      <c r="M96" s="1" t="s">
        <v>20</v>
      </c>
      <c r="N96" s="1" t="s">
        <v>18</v>
      </c>
      <c r="O96" s="1" t="s">
        <v>262</v>
      </c>
      <c r="P96" s="1">
        <v>8080.2399480000004</v>
      </c>
      <c r="Q96" s="1">
        <v>8149.6130720000001</v>
      </c>
      <c r="R96" s="2">
        <f t="shared" si="2"/>
        <v>8.5855277128460503E-3</v>
      </c>
      <c r="S96" s="4">
        <v>27.17</v>
      </c>
      <c r="T96" s="5">
        <v>1.0405000066384671E-3</v>
      </c>
    </row>
    <row r="97" spans="1:20">
      <c r="A97" s="1" t="s">
        <v>115</v>
      </c>
      <c r="B97" s="1">
        <v>12</v>
      </c>
      <c r="C97" s="1">
        <v>4</v>
      </c>
      <c r="D97" s="1" t="s">
        <v>17</v>
      </c>
      <c r="E97" s="1">
        <v>12</v>
      </c>
      <c r="F97" s="1">
        <v>0</v>
      </c>
      <c r="G97" s="1" t="s">
        <v>17</v>
      </c>
      <c r="H97" s="1">
        <v>9</v>
      </c>
      <c r="I97" s="1">
        <v>4</v>
      </c>
      <c r="J97" s="1" t="s">
        <v>17</v>
      </c>
      <c r="K97" s="1">
        <v>6</v>
      </c>
      <c r="L97" s="1" t="s">
        <v>19</v>
      </c>
      <c r="M97" s="1" t="s">
        <v>20</v>
      </c>
      <c r="N97" s="1" t="s">
        <v>17</v>
      </c>
      <c r="O97" s="1" t="s">
        <v>263</v>
      </c>
      <c r="P97" s="1">
        <v>7974.6799279999996</v>
      </c>
      <c r="Q97" s="1">
        <v>7938.6870570000001</v>
      </c>
      <c r="R97" s="2">
        <f t="shared" si="2"/>
        <v>4.5133938070196951E-3</v>
      </c>
      <c r="S97" s="4">
        <v>23.72</v>
      </c>
      <c r="T97" s="5">
        <v>1.163099950645119E-3</v>
      </c>
    </row>
    <row r="98" spans="1:20">
      <c r="A98" s="1" t="s">
        <v>116</v>
      </c>
      <c r="B98" s="1">
        <v>8</v>
      </c>
      <c r="C98" s="1">
        <v>4</v>
      </c>
      <c r="D98" s="1" t="s">
        <v>17</v>
      </c>
      <c r="E98" s="1">
        <v>5</v>
      </c>
      <c r="F98" s="1">
        <v>0</v>
      </c>
      <c r="G98" s="1" t="s">
        <v>17</v>
      </c>
      <c r="H98" s="1">
        <v>10</v>
      </c>
      <c r="I98" s="1">
        <v>3</v>
      </c>
      <c r="J98" s="1" t="s">
        <v>17</v>
      </c>
      <c r="K98" s="1">
        <v>2</v>
      </c>
      <c r="L98" s="1" t="s">
        <v>19</v>
      </c>
      <c r="M98" s="1" t="s">
        <v>20</v>
      </c>
      <c r="N98" s="1" t="s">
        <v>18</v>
      </c>
      <c r="O98" s="1" t="s">
        <v>263</v>
      </c>
      <c r="P98" s="1">
        <v>2606.2399919999998</v>
      </c>
      <c r="Q98" s="1">
        <v>2749.977038</v>
      </c>
      <c r="R98" s="2">
        <f t="shared" ref="R98:R129" si="3">ABS(Q98-P98)/P98</f>
        <v>5.5151116720336242E-2</v>
      </c>
      <c r="S98" s="4">
        <v>21.77</v>
      </c>
      <c r="T98" s="5">
        <v>1.064600015524775E-3</v>
      </c>
    </row>
    <row r="99" spans="1:20">
      <c r="A99" s="1" t="s">
        <v>117</v>
      </c>
      <c r="B99" s="1">
        <v>8</v>
      </c>
      <c r="C99" s="1">
        <v>6</v>
      </c>
      <c r="D99" s="1" t="s">
        <v>18</v>
      </c>
      <c r="E99" s="1">
        <v>4</v>
      </c>
      <c r="F99" s="1">
        <v>2</v>
      </c>
      <c r="G99" s="1" t="s">
        <v>18</v>
      </c>
      <c r="H99" s="1">
        <v>9</v>
      </c>
      <c r="I99" s="1">
        <v>2</v>
      </c>
      <c r="J99" s="1" t="s">
        <v>18</v>
      </c>
      <c r="K99" s="1">
        <v>1</v>
      </c>
      <c r="L99" s="1" t="s">
        <v>19</v>
      </c>
      <c r="M99" s="1" t="s">
        <v>20</v>
      </c>
      <c r="N99" s="1" t="s">
        <v>17</v>
      </c>
      <c r="O99" s="1" t="s">
        <v>263</v>
      </c>
      <c r="P99" s="1">
        <v>1345.119987</v>
      </c>
      <c r="Q99" s="1">
        <v>1297.0948639999999</v>
      </c>
      <c r="R99" s="2">
        <f t="shared" si="3"/>
        <v>3.5703226079563208E-2</v>
      </c>
      <c r="S99" s="4">
        <v>20.3</v>
      </c>
      <c r="T99" s="5">
        <v>1.147900009527802E-3</v>
      </c>
    </row>
    <row r="100" spans="1:20">
      <c r="A100" s="1" t="s">
        <v>118</v>
      </c>
      <c r="B100" s="1">
        <v>8</v>
      </c>
      <c r="C100" s="1">
        <v>6</v>
      </c>
      <c r="D100" s="1" t="s">
        <v>17</v>
      </c>
      <c r="E100" s="1">
        <v>14</v>
      </c>
      <c r="F100" s="1">
        <v>0</v>
      </c>
      <c r="G100" s="1" t="s">
        <v>17</v>
      </c>
      <c r="H100" s="1">
        <v>6</v>
      </c>
      <c r="I100" s="1">
        <v>0</v>
      </c>
      <c r="J100" s="1" t="s">
        <v>17</v>
      </c>
      <c r="K100" s="1">
        <v>4</v>
      </c>
      <c r="L100" s="1" t="s">
        <v>19</v>
      </c>
      <c r="M100" s="1" t="s">
        <v>20</v>
      </c>
      <c r="N100" s="1" t="s">
        <v>17</v>
      </c>
      <c r="O100" s="1" t="s">
        <v>262</v>
      </c>
      <c r="P100" s="1">
        <v>5427.2399569999998</v>
      </c>
      <c r="Q100" s="1">
        <v>5106.8418119999997</v>
      </c>
      <c r="R100" s="2">
        <f t="shared" si="3"/>
        <v>5.9035190545933716E-2</v>
      </c>
      <c r="S100" s="4">
        <v>25.8</v>
      </c>
      <c r="T100" s="5">
        <v>1.062700001057237E-3</v>
      </c>
    </row>
    <row r="101" spans="1:20">
      <c r="A101" s="1" t="s">
        <v>119</v>
      </c>
      <c r="B101" s="1">
        <v>6</v>
      </c>
      <c r="C101" s="1">
        <v>2</v>
      </c>
      <c r="D101" s="1" t="s">
        <v>18</v>
      </c>
      <c r="E101" s="1">
        <v>10</v>
      </c>
      <c r="F101" s="1">
        <v>2</v>
      </c>
      <c r="G101" s="1" t="s">
        <v>18</v>
      </c>
      <c r="H101" s="1">
        <v>12</v>
      </c>
      <c r="I101" s="1">
        <v>0</v>
      </c>
      <c r="J101" s="1" t="s">
        <v>18</v>
      </c>
      <c r="K101" s="1">
        <v>4</v>
      </c>
      <c r="L101" s="1" t="s">
        <v>19</v>
      </c>
      <c r="M101" s="1" t="s">
        <v>20</v>
      </c>
      <c r="N101" s="1" t="s">
        <v>18</v>
      </c>
      <c r="O101" s="1" t="s">
        <v>262</v>
      </c>
      <c r="P101" s="1">
        <v>3161.1999879999998</v>
      </c>
      <c r="Q101" s="1">
        <v>3042.5643209999998</v>
      </c>
      <c r="R101" s="2">
        <f t="shared" si="3"/>
        <v>3.752868133947368E-2</v>
      </c>
      <c r="S101" s="4">
        <v>22.81</v>
      </c>
      <c r="T101" s="5">
        <v>1.0921000503003599E-3</v>
      </c>
    </row>
    <row r="102" spans="1:20">
      <c r="R102" s="6">
        <f>AVERAGE(R2:R101)</f>
        <v>2.4753817521872886E-2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2"/>
  <sheetViews>
    <sheetView workbookViewId="0">
      <pane ySplit="1" topLeftCell="A81" activePane="bottomLeft" state="frozen"/>
      <selection pane="bottomLeft" activeCell="N103" sqref="N103"/>
    </sheetView>
  </sheetViews>
  <sheetFormatPr defaultRowHeight="14"/>
  <cols>
    <col min="1" max="1" width="6.6640625" customWidth="1"/>
    <col min="2" max="2" width="11.6640625" customWidth="1"/>
    <col min="3" max="3" width="12.25" customWidth="1"/>
    <col min="4" max="4" width="17" customWidth="1"/>
    <col min="5" max="5" width="13.5" customWidth="1"/>
    <col min="6" max="6" width="14.25" customWidth="1"/>
    <col min="7" max="7" width="18.9140625" customWidth="1"/>
    <col min="8" max="8" width="6.75" customWidth="1"/>
    <col min="9" max="9" width="9.9140625" customWidth="1"/>
    <col min="10" max="10" width="9.75" customWidth="1"/>
    <col min="11" max="11" width="9.1640625" customWidth="1"/>
    <col min="12" max="12" width="15" customWidth="1"/>
    <col min="13" max="13" width="9.9140625" customWidth="1"/>
    <col min="14" max="14" width="6" customWidth="1"/>
    <col min="15" max="15" width="9.914062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264</v>
      </c>
      <c r="N1" s="3" t="s">
        <v>13</v>
      </c>
      <c r="O1" s="3" t="s">
        <v>14</v>
      </c>
      <c r="P1" s="3" t="s">
        <v>15</v>
      </c>
    </row>
    <row r="2" spans="1:16">
      <c r="A2" s="1" t="s">
        <v>16</v>
      </c>
      <c r="B2" s="1">
        <v>5</v>
      </c>
      <c r="C2" s="1">
        <v>3</v>
      </c>
      <c r="D2" s="1" t="s">
        <v>17</v>
      </c>
      <c r="E2" s="1">
        <v>5</v>
      </c>
      <c r="F2" s="1">
        <v>2</v>
      </c>
      <c r="G2" s="1" t="s">
        <v>18</v>
      </c>
      <c r="H2" s="1">
        <v>6</v>
      </c>
      <c r="I2" s="1" t="s">
        <v>19</v>
      </c>
      <c r="J2" s="1" t="s">
        <v>20</v>
      </c>
      <c r="K2" s="1" t="s">
        <v>18</v>
      </c>
      <c r="L2" s="1">
        <v>312.48000300000001</v>
      </c>
      <c r="M2" s="1">
        <v>305.39603499999998</v>
      </c>
      <c r="N2" s="2">
        <f t="shared" ref="N2:N33" si="0">ABS(M2-L2)/L2</f>
        <v>2.2670148271856063E-2</v>
      </c>
      <c r="O2" s="4">
        <v>19.37</v>
      </c>
      <c r="P2" s="5">
        <v>1.829999964684248E-4</v>
      </c>
    </row>
    <row r="3" spans="1:16">
      <c r="A3" s="1" t="s">
        <v>21</v>
      </c>
      <c r="B3" s="1">
        <v>14</v>
      </c>
      <c r="C3" s="1">
        <v>0</v>
      </c>
      <c r="D3" s="1" t="s">
        <v>18</v>
      </c>
      <c r="E3" s="1">
        <v>12</v>
      </c>
      <c r="F3" s="1">
        <v>0</v>
      </c>
      <c r="G3" s="1" t="s">
        <v>18</v>
      </c>
      <c r="H3" s="1">
        <v>0</v>
      </c>
      <c r="I3" s="1" t="s">
        <v>19</v>
      </c>
      <c r="J3" s="1" t="s">
        <v>20</v>
      </c>
      <c r="K3" s="1" t="s">
        <v>18</v>
      </c>
      <c r="L3" s="1">
        <v>220.36</v>
      </c>
      <c r="M3" s="1">
        <v>221.25800699999999</v>
      </c>
      <c r="N3" s="2">
        <f t="shared" si="0"/>
        <v>4.0751815211471157E-3</v>
      </c>
      <c r="O3" s="4">
        <v>19.04</v>
      </c>
      <c r="P3" s="5">
        <v>2.6659999275580049E-4</v>
      </c>
    </row>
    <row r="4" spans="1:16">
      <c r="A4" s="1" t="s">
        <v>22</v>
      </c>
      <c r="B4" s="1">
        <v>4</v>
      </c>
      <c r="C4" s="1">
        <v>0</v>
      </c>
      <c r="D4" s="1" t="s">
        <v>18</v>
      </c>
      <c r="E4" s="1">
        <v>5</v>
      </c>
      <c r="F4" s="1">
        <v>1</v>
      </c>
      <c r="G4" s="1" t="s">
        <v>18</v>
      </c>
      <c r="H4" s="1">
        <v>4</v>
      </c>
      <c r="I4" s="1" t="s">
        <v>19</v>
      </c>
      <c r="J4" s="1" t="s">
        <v>20</v>
      </c>
      <c r="K4" s="1" t="s">
        <v>18</v>
      </c>
      <c r="L4" s="1">
        <v>154.00000199999999</v>
      </c>
      <c r="M4" s="1">
        <v>155.876272</v>
      </c>
      <c r="N4" s="2">
        <f t="shared" si="0"/>
        <v>1.2183571270343264E-2</v>
      </c>
      <c r="O4" s="4">
        <v>19.13</v>
      </c>
      <c r="P4" s="5">
        <v>1.819999888539314E-4</v>
      </c>
    </row>
    <row r="5" spans="1:16">
      <c r="A5" s="1" t="s">
        <v>23</v>
      </c>
      <c r="B5" s="1">
        <v>8</v>
      </c>
      <c r="C5" s="1">
        <v>4</v>
      </c>
      <c r="D5" s="1" t="s">
        <v>18</v>
      </c>
      <c r="E5" s="1">
        <v>5</v>
      </c>
      <c r="F5" s="1">
        <v>3</v>
      </c>
      <c r="G5" s="1" t="s">
        <v>18</v>
      </c>
      <c r="H5" s="1">
        <v>1</v>
      </c>
      <c r="I5" s="1" t="s">
        <v>19</v>
      </c>
      <c r="J5" s="1" t="s">
        <v>20</v>
      </c>
      <c r="K5" s="1" t="s">
        <v>18</v>
      </c>
      <c r="L5" s="1">
        <v>131.6</v>
      </c>
      <c r="M5" s="1">
        <v>125.98569000000001</v>
      </c>
      <c r="N5" s="2">
        <f t="shared" si="0"/>
        <v>4.2661930091185331E-2</v>
      </c>
      <c r="O5" s="4">
        <v>18.95</v>
      </c>
      <c r="P5" s="5">
        <v>2.5199999799951911E-4</v>
      </c>
    </row>
    <row r="6" spans="1:16">
      <c r="A6" s="1" t="s">
        <v>24</v>
      </c>
      <c r="B6" s="1">
        <v>10</v>
      </c>
      <c r="C6" s="1">
        <v>4</v>
      </c>
      <c r="D6" s="1" t="s">
        <v>18</v>
      </c>
      <c r="E6" s="1">
        <v>9</v>
      </c>
      <c r="F6" s="1">
        <v>0</v>
      </c>
      <c r="G6" s="1" t="s">
        <v>18</v>
      </c>
      <c r="H6" s="1">
        <v>2</v>
      </c>
      <c r="I6" s="1" t="s">
        <v>19</v>
      </c>
      <c r="J6" s="1" t="s">
        <v>20</v>
      </c>
      <c r="K6" s="1" t="s">
        <v>17</v>
      </c>
      <c r="L6" s="1">
        <v>234.919997</v>
      </c>
      <c r="M6" s="1">
        <v>241.28440499999999</v>
      </c>
      <c r="N6" s="2">
        <f t="shared" si="0"/>
        <v>2.709181032383547E-2</v>
      </c>
      <c r="O6" s="4">
        <v>19.649999999999999</v>
      </c>
      <c r="P6" s="5">
        <v>1.8540001474320891E-4</v>
      </c>
    </row>
    <row r="7" spans="1:16">
      <c r="A7" s="1" t="s">
        <v>25</v>
      </c>
      <c r="B7" s="1">
        <v>8</v>
      </c>
      <c r="C7" s="1">
        <v>0</v>
      </c>
      <c r="D7" s="1" t="s">
        <v>18</v>
      </c>
      <c r="E7" s="1">
        <v>10</v>
      </c>
      <c r="F7" s="1">
        <v>3</v>
      </c>
      <c r="G7" s="1" t="s">
        <v>18</v>
      </c>
      <c r="H7" s="1">
        <v>6</v>
      </c>
      <c r="I7" s="1" t="s">
        <v>19</v>
      </c>
      <c r="J7" s="1" t="s">
        <v>20</v>
      </c>
      <c r="K7" s="1" t="s">
        <v>18</v>
      </c>
      <c r="L7" s="1">
        <v>365.680004</v>
      </c>
      <c r="M7" s="1">
        <v>368.739304</v>
      </c>
      <c r="N7" s="2">
        <f t="shared" si="0"/>
        <v>8.3660576639022557E-3</v>
      </c>
      <c r="O7" s="4">
        <v>19.64</v>
      </c>
      <c r="P7" s="5">
        <v>2.4740002118051052E-4</v>
      </c>
    </row>
    <row r="8" spans="1:16">
      <c r="A8" s="1" t="s">
        <v>26</v>
      </c>
      <c r="B8" s="1">
        <v>6</v>
      </c>
      <c r="C8" s="1">
        <v>0</v>
      </c>
      <c r="D8" s="1" t="s">
        <v>17</v>
      </c>
      <c r="E8" s="1">
        <v>16</v>
      </c>
      <c r="F8" s="1">
        <v>1</v>
      </c>
      <c r="G8" s="1" t="s">
        <v>18</v>
      </c>
      <c r="H8" s="1">
        <v>4</v>
      </c>
      <c r="I8" s="1" t="s">
        <v>19</v>
      </c>
      <c r="J8" s="1" t="s">
        <v>20</v>
      </c>
      <c r="K8" s="1" t="s">
        <v>17</v>
      </c>
      <c r="L8" s="1">
        <v>376.31999400000001</v>
      </c>
      <c r="M8" s="1">
        <v>373.63734799999997</v>
      </c>
      <c r="N8" s="2">
        <f t="shared" si="0"/>
        <v>7.1286300031138759E-3</v>
      </c>
      <c r="O8" s="4">
        <v>19.670000000000002</v>
      </c>
      <c r="P8" s="5">
        <v>1.7219997243955729E-4</v>
      </c>
    </row>
    <row r="9" spans="1:16">
      <c r="A9" s="1" t="s">
        <v>27</v>
      </c>
      <c r="B9" s="1">
        <v>6</v>
      </c>
      <c r="C9" s="1">
        <v>4</v>
      </c>
      <c r="D9" s="1" t="s">
        <v>18</v>
      </c>
      <c r="E9" s="1">
        <v>6</v>
      </c>
      <c r="F9" s="1">
        <v>4</v>
      </c>
      <c r="G9" s="1" t="s">
        <v>18</v>
      </c>
      <c r="H9" s="1">
        <v>4</v>
      </c>
      <c r="I9" s="1" t="s">
        <v>19</v>
      </c>
      <c r="J9" s="1" t="s">
        <v>20</v>
      </c>
      <c r="K9" s="1" t="s">
        <v>18</v>
      </c>
      <c r="L9" s="1">
        <v>233.80000200000001</v>
      </c>
      <c r="M9" s="1">
        <v>235.88542699999999</v>
      </c>
      <c r="N9" s="2">
        <f t="shared" si="0"/>
        <v>8.9196962453404367E-3</v>
      </c>
      <c r="O9" s="4">
        <v>19.920000000000002</v>
      </c>
      <c r="P9" s="5">
        <v>1.7060001846402881E-4</v>
      </c>
    </row>
    <row r="10" spans="1:16">
      <c r="A10" s="1" t="s">
        <v>28</v>
      </c>
      <c r="B10" s="1">
        <v>10</v>
      </c>
      <c r="C10" s="1">
        <v>0</v>
      </c>
      <c r="D10" s="1" t="s">
        <v>17</v>
      </c>
      <c r="E10" s="1">
        <v>5</v>
      </c>
      <c r="F10" s="1">
        <v>2</v>
      </c>
      <c r="G10" s="1" t="s">
        <v>18</v>
      </c>
      <c r="H10" s="1">
        <v>3</v>
      </c>
      <c r="I10" s="1" t="s">
        <v>19</v>
      </c>
      <c r="J10" s="1" t="s">
        <v>20</v>
      </c>
      <c r="K10" s="1" t="s">
        <v>17</v>
      </c>
      <c r="L10" s="1">
        <v>150.919997</v>
      </c>
      <c r="M10" s="1">
        <v>128.84239400000001</v>
      </c>
      <c r="N10" s="2">
        <f t="shared" si="0"/>
        <v>0.14628679723602156</v>
      </c>
      <c r="O10" s="4">
        <v>19.34</v>
      </c>
      <c r="P10" s="5">
        <v>2.4869997287169099E-4</v>
      </c>
    </row>
    <row r="11" spans="1:16">
      <c r="A11" s="1" t="s">
        <v>29</v>
      </c>
      <c r="B11" s="1">
        <v>9</v>
      </c>
      <c r="C11" s="1">
        <v>3</v>
      </c>
      <c r="D11" s="1" t="s">
        <v>18</v>
      </c>
      <c r="E11" s="1">
        <v>8</v>
      </c>
      <c r="F11" s="1">
        <v>4</v>
      </c>
      <c r="G11" s="1" t="s">
        <v>18</v>
      </c>
      <c r="H11" s="1">
        <v>6</v>
      </c>
      <c r="I11" s="1" t="s">
        <v>19</v>
      </c>
      <c r="J11" s="1" t="s">
        <v>20</v>
      </c>
      <c r="K11" s="1" t="s">
        <v>18</v>
      </c>
      <c r="L11" s="1">
        <v>370.72000400000002</v>
      </c>
      <c r="M11" s="1">
        <v>369.762562</v>
      </c>
      <c r="N11" s="2">
        <f t="shared" si="0"/>
        <v>2.5826553454612461E-3</v>
      </c>
      <c r="O11" s="4">
        <v>19.309999999999999</v>
      </c>
      <c r="P11" s="5">
        <v>2.4470000062137842E-4</v>
      </c>
    </row>
    <row r="12" spans="1:16">
      <c r="A12" s="1" t="s">
        <v>30</v>
      </c>
      <c r="B12" s="1">
        <v>6</v>
      </c>
      <c r="C12" s="1">
        <v>0</v>
      </c>
      <c r="D12" s="1" t="s">
        <v>18</v>
      </c>
      <c r="E12" s="1">
        <v>16</v>
      </c>
      <c r="F12" s="1">
        <v>6</v>
      </c>
      <c r="G12" s="1" t="s">
        <v>18</v>
      </c>
      <c r="H12" s="1">
        <v>0</v>
      </c>
      <c r="I12" s="1" t="s">
        <v>19</v>
      </c>
      <c r="J12" s="1" t="s">
        <v>20</v>
      </c>
      <c r="K12" s="1" t="s">
        <v>17</v>
      </c>
      <c r="L12" s="1">
        <v>112.56</v>
      </c>
      <c r="M12" s="1">
        <v>121.818415</v>
      </c>
      <c r="N12" s="2">
        <f t="shared" si="0"/>
        <v>8.2253153873489693E-2</v>
      </c>
      <c r="O12" s="4">
        <v>19.600000000000001</v>
      </c>
      <c r="P12" s="5">
        <v>1.819999888539314E-4</v>
      </c>
    </row>
    <row r="13" spans="1:16">
      <c r="A13" s="1" t="s">
        <v>31</v>
      </c>
      <c r="B13" s="1">
        <v>8</v>
      </c>
      <c r="C13" s="1">
        <v>6</v>
      </c>
      <c r="D13" s="1" t="s">
        <v>17</v>
      </c>
      <c r="E13" s="1">
        <v>12</v>
      </c>
      <c r="F13" s="1">
        <v>8</v>
      </c>
      <c r="G13" s="1" t="s">
        <v>18</v>
      </c>
      <c r="H13" s="1">
        <v>1</v>
      </c>
      <c r="I13" s="1" t="s">
        <v>19</v>
      </c>
      <c r="J13" s="1" t="s">
        <v>20</v>
      </c>
      <c r="K13" s="1" t="s">
        <v>17</v>
      </c>
      <c r="L13" s="1">
        <v>299.59999800000003</v>
      </c>
      <c r="M13" s="1">
        <v>303.15959400000003</v>
      </c>
      <c r="N13" s="2">
        <f t="shared" si="0"/>
        <v>1.1881161628045133E-2</v>
      </c>
      <c r="O13" s="4">
        <v>19.690000000000001</v>
      </c>
      <c r="P13" s="5">
        <v>2.0800001220777631E-4</v>
      </c>
    </row>
    <row r="14" spans="1:16">
      <c r="A14" s="1" t="s">
        <v>32</v>
      </c>
      <c r="B14" s="1">
        <v>4</v>
      </c>
      <c r="C14" s="1">
        <v>3</v>
      </c>
      <c r="D14" s="1" t="s">
        <v>18</v>
      </c>
      <c r="E14" s="1">
        <v>10</v>
      </c>
      <c r="F14" s="1">
        <v>2</v>
      </c>
      <c r="G14" s="1" t="s">
        <v>18</v>
      </c>
      <c r="H14" s="1">
        <v>2</v>
      </c>
      <c r="I14" s="1" t="s">
        <v>19</v>
      </c>
      <c r="J14" s="1" t="s">
        <v>20</v>
      </c>
      <c r="K14" s="1" t="s">
        <v>18</v>
      </c>
      <c r="L14" s="1">
        <v>111.720001</v>
      </c>
      <c r="M14" s="1">
        <v>113.996038</v>
      </c>
      <c r="N14" s="2">
        <f t="shared" si="0"/>
        <v>2.0372690472854563E-2</v>
      </c>
      <c r="O14" s="4">
        <v>19.72</v>
      </c>
      <c r="P14" s="5">
        <v>1.7389998538419599E-4</v>
      </c>
    </row>
    <row r="15" spans="1:16">
      <c r="A15" s="1" t="s">
        <v>33</v>
      </c>
      <c r="B15" s="1">
        <v>5</v>
      </c>
      <c r="C15" s="1">
        <v>2</v>
      </c>
      <c r="D15" s="1" t="s">
        <v>18</v>
      </c>
      <c r="E15" s="1">
        <v>12</v>
      </c>
      <c r="F15" s="1">
        <v>2</v>
      </c>
      <c r="G15" s="1" t="s">
        <v>18</v>
      </c>
      <c r="H15" s="1">
        <v>1</v>
      </c>
      <c r="I15" s="1" t="s">
        <v>19</v>
      </c>
      <c r="J15" s="1" t="s">
        <v>20</v>
      </c>
      <c r="K15" s="1" t="s">
        <v>17</v>
      </c>
      <c r="L15" s="1">
        <v>125.719998</v>
      </c>
      <c r="M15" s="1">
        <v>131.76453900000001</v>
      </c>
      <c r="N15" s="2">
        <f t="shared" si="0"/>
        <v>4.8079391474377918E-2</v>
      </c>
      <c r="O15" s="4">
        <v>19.54</v>
      </c>
      <c r="P15" s="5">
        <v>1.7090002074837679E-4</v>
      </c>
    </row>
    <row r="16" spans="1:16">
      <c r="A16" s="1" t="s">
        <v>34</v>
      </c>
      <c r="B16" s="1">
        <v>6</v>
      </c>
      <c r="C16" s="1">
        <v>3</v>
      </c>
      <c r="D16" s="1" t="s">
        <v>17</v>
      </c>
      <c r="E16" s="1">
        <v>12</v>
      </c>
      <c r="F16" s="1">
        <v>0</v>
      </c>
      <c r="G16" s="1" t="s">
        <v>18</v>
      </c>
      <c r="H16" s="1">
        <v>6</v>
      </c>
      <c r="I16" s="1" t="s">
        <v>19</v>
      </c>
      <c r="J16" s="1" t="s">
        <v>20</v>
      </c>
      <c r="K16" s="1" t="s">
        <v>18</v>
      </c>
      <c r="L16" s="1">
        <v>299.88000199999999</v>
      </c>
      <c r="M16" s="1">
        <v>306.44208700000001</v>
      </c>
      <c r="N16" s="2">
        <f t="shared" si="0"/>
        <v>2.1882369468571715E-2</v>
      </c>
      <c r="O16" s="4">
        <v>19.66</v>
      </c>
      <c r="P16" s="5">
        <v>1.7620000289753079E-4</v>
      </c>
    </row>
    <row r="17" spans="1:16">
      <c r="A17" s="1" t="s">
        <v>35</v>
      </c>
      <c r="B17" s="1">
        <v>6</v>
      </c>
      <c r="C17" s="1">
        <v>1</v>
      </c>
      <c r="D17" s="1" t="s">
        <v>18</v>
      </c>
      <c r="E17" s="1">
        <v>8</v>
      </c>
      <c r="F17" s="1">
        <v>0</v>
      </c>
      <c r="G17" s="1" t="s">
        <v>18</v>
      </c>
      <c r="H17" s="1">
        <v>0</v>
      </c>
      <c r="I17" s="1" t="s">
        <v>19</v>
      </c>
      <c r="J17" s="1" t="s">
        <v>20</v>
      </c>
      <c r="K17" s="1" t="s">
        <v>18</v>
      </c>
      <c r="L17" s="1">
        <v>101.64</v>
      </c>
      <c r="M17" s="1">
        <v>101.46008</v>
      </c>
      <c r="N17" s="2">
        <f t="shared" si="0"/>
        <v>1.7701692247146363E-3</v>
      </c>
      <c r="O17" s="4">
        <v>20.04</v>
      </c>
      <c r="P17" s="5">
        <v>1.819999888539314E-4</v>
      </c>
    </row>
    <row r="18" spans="1:16">
      <c r="A18" s="1" t="s">
        <v>36</v>
      </c>
      <c r="B18" s="1">
        <v>8</v>
      </c>
      <c r="C18" s="1">
        <v>4</v>
      </c>
      <c r="D18" s="1" t="s">
        <v>17</v>
      </c>
      <c r="E18" s="1">
        <v>6</v>
      </c>
      <c r="F18" s="1">
        <v>3</v>
      </c>
      <c r="G18" s="1" t="s">
        <v>18</v>
      </c>
      <c r="H18" s="1">
        <v>6</v>
      </c>
      <c r="I18" s="1" t="s">
        <v>19</v>
      </c>
      <c r="J18" s="1" t="s">
        <v>20</v>
      </c>
      <c r="K18" s="1" t="s">
        <v>17</v>
      </c>
      <c r="L18" s="1">
        <v>461.15999199999999</v>
      </c>
      <c r="M18" s="1">
        <v>455.74833100000001</v>
      </c>
      <c r="N18" s="2">
        <f t="shared" si="0"/>
        <v>1.1734888311820383E-2</v>
      </c>
      <c r="O18" s="4">
        <v>19.64</v>
      </c>
      <c r="P18" s="5">
        <v>2.4869997287169099E-4</v>
      </c>
    </row>
    <row r="19" spans="1:16">
      <c r="A19" s="1" t="s">
        <v>37</v>
      </c>
      <c r="B19" s="1">
        <v>4</v>
      </c>
      <c r="C19" s="1">
        <v>2</v>
      </c>
      <c r="D19" s="1" t="s">
        <v>17</v>
      </c>
      <c r="E19" s="1">
        <v>9</v>
      </c>
      <c r="F19" s="1">
        <v>1</v>
      </c>
      <c r="G19" s="1" t="s">
        <v>18</v>
      </c>
      <c r="H19" s="1">
        <v>2</v>
      </c>
      <c r="I19" s="1" t="s">
        <v>19</v>
      </c>
      <c r="J19" s="1" t="s">
        <v>20</v>
      </c>
      <c r="K19" s="1" t="s">
        <v>17</v>
      </c>
      <c r="L19" s="1">
        <v>138.319998</v>
      </c>
      <c r="M19" s="1">
        <v>157.61165399999999</v>
      </c>
      <c r="N19" s="2">
        <f t="shared" si="0"/>
        <v>0.13947119924047419</v>
      </c>
      <c r="O19" s="4">
        <v>19.579999999999998</v>
      </c>
      <c r="P19" s="5">
        <v>1.773000112734735E-4</v>
      </c>
    </row>
    <row r="20" spans="1:16">
      <c r="A20" s="1" t="s">
        <v>38</v>
      </c>
      <c r="B20" s="1">
        <v>9</v>
      </c>
      <c r="C20" s="1">
        <v>3</v>
      </c>
      <c r="D20" s="1" t="s">
        <v>17</v>
      </c>
      <c r="E20" s="1">
        <v>10</v>
      </c>
      <c r="F20" s="1">
        <v>2</v>
      </c>
      <c r="G20" s="1" t="s">
        <v>18</v>
      </c>
      <c r="H20" s="1">
        <v>6</v>
      </c>
      <c r="I20" s="1" t="s">
        <v>19</v>
      </c>
      <c r="J20" s="1" t="s">
        <v>20</v>
      </c>
      <c r="K20" s="1" t="s">
        <v>18</v>
      </c>
      <c r="L20" s="1">
        <v>582.40000599999996</v>
      </c>
      <c r="M20" s="1">
        <v>583.38934900000004</v>
      </c>
      <c r="N20" s="2">
        <f t="shared" si="0"/>
        <v>1.6987345292027287E-3</v>
      </c>
      <c r="O20" s="4">
        <v>19.54</v>
      </c>
      <c r="P20" s="5">
        <v>1.7850002041086549E-4</v>
      </c>
    </row>
    <row r="21" spans="1:16">
      <c r="A21" s="1" t="s">
        <v>39</v>
      </c>
      <c r="B21" s="1">
        <v>12</v>
      </c>
      <c r="C21" s="1">
        <v>3</v>
      </c>
      <c r="D21" s="1" t="s">
        <v>18</v>
      </c>
      <c r="E21" s="1">
        <v>16</v>
      </c>
      <c r="F21" s="1">
        <v>6</v>
      </c>
      <c r="G21" s="1" t="s">
        <v>18</v>
      </c>
      <c r="H21" s="1">
        <v>2</v>
      </c>
      <c r="I21" s="1" t="s">
        <v>19</v>
      </c>
      <c r="J21" s="1" t="s">
        <v>20</v>
      </c>
      <c r="K21" s="1" t="s">
        <v>17</v>
      </c>
      <c r="L21" s="1">
        <v>376.31999400000001</v>
      </c>
      <c r="M21" s="1">
        <v>382.42076900000001</v>
      </c>
      <c r="N21" s="2">
        <f t="shared" si="0"/>
        <v>1.6211668519531274E-2</v>
      </c>
      <c r="O21" s="4">
        <v>19.57</v>
      </c>
      <c r="P21" s="5">
        <v>1.812999835237861E-4</v>
      </c>
    </row>
    <row r="22" spans="1:16">
      <c r="A22" s="1" t="s">
        <v>40</v>
      </c>
      <c r="B22" s="1">
        <v>9</v>
      </c>
      <c r="C22" s="1">
        <v>2</v>
      </c>
      <c r="D22" s="1" t="s">
        <v>18</v>
      </c>
      <c r="E22" s="1">
        <v>12</v>
      </c>
      <c r="F22" s="1">
        <v>1</v>
      </c>
      <c r="G22" s="1" t="s">
        <v>18</v>
      </c>
      <c r="H22" s="1">
        <v>6</v>
      </c>
      <c r="I22" s="1" t="s">
        <v>19</v>
      </c>
      <c r="J22" s="1" t="s">
        <v>20</v>
      </c>
      <c r="K22" s="1" t="s">
        <v>18</v>
      </c>
      <c r="L22" s="1">
        <v>463.68000599999999</v>
      </c>
      <c r="M22" s="1">
        <v>466.034741</v>
      </c>
      <c r="N22" s="2">
        <f t="shared" si="0"/>
        <v>5.0783621668604043E-3</v>
      </c>
      <c r="O22" s="4">
        <v>19.670000000000002</v>
      </c>
      <c r="P22" s="5">
        <v>1.819999888539314E-4</v>
      </c>
    </row>
    <row r="23" spans="1:16">
      <c r="A23" s="1" t="s">
        <v>41</v>
      </c>
      <c r="B23" s="1">
        <v>8</v>
      </c>
      <c r="C23" s="1">
        <v>1</v>
      </c>
      <c r="D23" s="1" t="s">
        <v>17</v>
      </c>
      <c r="E23" s="1">
        <v>10</v>
      </c>
      <c r="F23" s="1">
        <v>4</v>
      </c>
      <c r="G23" s="1" t="s">
        <v>18</v>
      </c>
      <c r="H23" s="1">
        <v>4</v>
      </c>
      <c r="I23" s="1" t="s">
        <v>19</v>
      </c>
      <c r="J23" s="1" t="s">
        <v>20</v>
      </c>
      <c r="K23" s="1" t="s">
        <v>18</v>
      </c>
      <c r="L23" s="1">
        <v>389.20000299999998</v>
      </c>
      <c r="M23" s="1">
        <v>390.793181</v>
      </c>
      <c r="N23" s="2">
        <f t="shared" si="0"/>
        <v>4.0934686220956253E-3</v>
      </c>
      <c r="O23" s="4">
        <v>19.690000000000001</v>
      </c>
      <c r="P23" s="5">
        <v>3.0230003176257009E-4</v>
      </c>
    </row>
    <row r="24" spans="1:16">
      <c r="A24" s="1" t="s">
        <v>42</v>
      </c>
      <c r="B24" s="1">
        <v>6</v>
      </c>
      <c r="C24" s="1">
        <v>1</v>
      </c>
      <c r="D24" s="1" t="s">
        <v>17</v>
      </c>
      <c r="E24" s="1">
        <v>9</v>
      </c>
      <c r="F24" s="1">
        <v>1</v>
      </c>
      <c r="G24" s="1" t="s">
        <v>18</v>
      </c>
      <c r="H24" s="1">
        <v>1</v>
      </c>
      <c r="I24" s="1" t="s">
        <v>19</v>
      </c>
      <c r="J24" s="1" t="s">
        <v>20</v>
      </c>
      <c r="K24" s="1" t="s">
        <v>17</v>
      </c>
      <c r="L24" s="1">
        <v>219.23999800000001</v>
      </c>
      <c r="M24" s="1">
        <v>220.41875099999999</v>
      </c>
      <c r="N24" s="2">
        <f t="shared" si="0"/>
        <v>5.3765417385196832E-3</v>
      </c>
      <c r="O24" s="4">
        <v>19.36</v>
      </c>
      <c r="P24" s="5">
        <v>1.771999523043633E-4</v>
      </c>
    </row>
    <row r="25" spans="1:16">
      <c r="A25" s="1" t="s">
        <v>43</v>
      </c>
      <c r="B25" s="1">
        <v>9</v>
      </c>
      <c r="C25" s="1">
        <v>0</v>
      </c>
      <c r="D25" s="1" t="s">
        <v>17</v>
      </c>
      <c r="E25" s="1">
        <v>10</v>
      </c>
      <c r="F25" s="1">
        <v>4</v>
      </c>
      <c r="G25" s="1" t="s">
        <v>18</v>
      </c>
      <c r="H25" s="1">
        <v>2</v>
      </c>
      <c r="I25" s="1" t="s">
        <v>19</v>
      </c>
      <c r="J25" s="1" t="s">
        <v>20</v>
      </c>
      <c r="K25" s="1" t="s">
        <v>17</v>
      </c>
      <c r="L25" s="1">
        <v>317.23999700000002</v>
      </c>
      <c r="M25" s="1">
        <v>316.57026200000001</v>
      </c>
      <c r="N25" s="2">
        <f t="shared" si="0"/>
        <v>2.1111303944439351E-3</v>
      </c>
      <c r="O25" s="4">
        <v>19.399999999999999</v>
      </c>
      <c r="P25" s="5">
        <v>2.4990004021674389E-4</v>
      </c>
    </row>
    <row r="26" spans="1:16">
      <c r="A26" s="1" t="s">
        <v>44</v>
      </c>
      <c r="B26" s="1">
        <v>12</v>
      </c>
      <c r="C26" s="1">
        <v>0</v>
      </c>
      <c r="D26" s="1" t="s">
        <v>18</v>
      </c>
      <c r="E26" s="1">
        <v>12</v>
      </c>
      <c r="F26" s="1">
        <v>4</v>
      </c>
      <c r="G26" s="1" t="s">
        <v>18</v>
      </c>
      <c r="H26" s="1">
        <v>1</v>
      </c>
      <c r="I26" s="1" t="s">
        <v>19</v>
      </c>
      <c r="J26" s="1" t="s">
        <v>20</v>
      </c>
      <c r="K26" s="1" t="s">
        <v>18</v>
      </c>
      <c r="L26" s="1">
        <v>203.560001</v>
      </c>
      <c r="M26" s="1">
        <v>201.33643799999999</v>
      </c>
      <c r="N26" s="2">
        <f t="shared" si="0"/>
        <v>1.0923378802695196E-2</v>
      </c>
      <c r="O26" s="4">
        <v>19.46</v>
      </c>
      <c r="P26" s="5">
        <v>2.5870004901662469E-4</v>
      </c>
    </row>
    <row r="27" spans="1:16">
      <c r="A27" s="1" t="s">
        <v>45</v>
      </c>
      <c r="B27" s="1">
        <v>6</v>
      </c>
      <c r="C27" s="1">
        <v>2</v>
      </c>
      <c r="D27" s="1" t="s">
        <v>18</v>
      </c>
      <c r="E27" s="1">
        <v>6</v>
      </c>
      <c r="F27" s="1">
        <v>1</v>
      </c>
      <c r="G27" s="1" t="s">
        <v>18</v>
      </c>
      <c r="H27" s="1">
        <v>4</v>
      </c>
      <c r="I27" s="1" t="s">
        <v>19</v>
      </c>
      <c r="J27" s="1" t="s">
        <v>20</v>
      </c>
      <c r="K27" s="1" t="s">
        <v>17</v>
      </c>
      <c r="L27" s="1">
        <v>255.639995</v>
      </c>
      <c r="M27" s="1">
        <v>252.56333799999999</v>
      </c>
      <c r="N27" s="2">
        <f t="shared" si="0"/>
        <v>1.2035116023218556E-2</v>
      </c>
      <c r="O27" s="4">
        <v>19.510000000000002</v>
      </c>
      <c r="P27" s="5">
        <v>1.709999633021653E-4</v>
      </c>
    </row>
    <row r="28" spans="1:16">
      <c r="A28" s="1" t="s">
        <v>46</v>
      </c>
      <c r="B28" s="1">
        <v>12</v>
      </c>
      <c r="C28" s="1">
        <v>1</v>
      </c>
      <c r="D28" s="1" t="s">
        <v>18</v>
      </c>
      <c r="E28" s="1">
        <v>8</v>
      </c>
      <c r="F28" s="1">
        <v>0</v>
      </c>
      <c r="G28" s="1" t="s">
        <v>18</v>
      </c>
      <c r="H28" s="1">
        <v>4</v>
      </c>
      <c r="I28" s="1" t="s">
        <v>19</v>
      </c>
      <c r="J28" s="1" t="s">
        <v>20</v>
      </c>
      <c r="K28" s="1" t="s">
        <v>17</v>
      </c>
      <c r="L28" s="1">
        <v>374.35999299999997</v>
      </c>
      <c r="M28" s="1">
        <v>368.15197899999998</v>
      </c>
      <c r="N28" s="2">
        <f t="shared" si="0"/>
        <v>1.6583005973076808E-2</v>
      </c>
      <c r="O28" s="4">
        <v>19.649999999999999</v>
      </c>
      <c r="P28" s="5">
        <v>2.58200045209378E-4</v>
      </c>
    </row>
    <row r="29" spans="1:16">
      <c r="A29" s="1" t="s">
        <v>47</v>
      </c>
      <c r="B29" s="1">
        <v>14</v>
      </c>
      <c r="C29" s="1">
        <v>6</v>
      </c>
      <c r="D29" s="1" t="s">
        <v>17</v>
      </c>
      <c r="E29" s="1">
        <v>10</v>
      </c>
      <c r="F29" s="1">
        <v>0</v>
      </c>
      <c r="G29" s="1" t="s">
        <v>18</v>
      </c>
      <c r="H29" s="1">
        <v>2</v>
      </c>
      <c r="I29" s="1" t="s">
        <v>19</v>
      </c>
      <c r="J29" s="1" t="s">
        <v>20</v>
      </c>
      <c r="K29" s="1" t="s">
        <v>17</v>
      </c>
      <c r="L29" s="1">
        <v>507.91999600000003</v>
      </c>
      <c r="M29" s="1">
        <v>527.54264899999998</v>
      </c>
      <c r="N29" s="2">
        <f t="shared" si="0"/>
        <v>3.863335398199199E-2</v>
      </c>
      <c r="O29" s="4">
        <v>20.3</v>
      </c>
      <c r="P29" s="5">
        <v>1.9009999232366681E-4</v>
      </c>
    </row>
    <row r="30" spans="1:16">
      <c r="A30" s="1" t="s">
        <v>48</v>
      </c>
      <c r="B30" s="1">
        <v>12</v>
      </c>
      <c r="C30" s="1">
        <v>4</v>
      </c>
      <c r="D30" s="1" t="s">
        <v>18</v>
      </c>
      <c r="E30" s="1">
        <v>16</v>
      </c>
      <c r="F30" s="1">
        <v>6</v>
      </c>
      <c r="G30" s="1" t="s">
        <v>18</v>
      </c>
      <c r="H30" s="1">
        <v>4</v>
      </c>
      <c r="I30" s="1" t="s">
        <v>19</v>
      </c>
      <c r="J30" s="1" t="s">
        <v>20</v>
      </c>
      <c r="K30" s="1" t="s">
        <v>17</v>
      </c>
      <c r="L30" s="1">
        <v>559.99998800000003</v>
      </c>
      <c r="M30" s="1">
        <v>557.14076899999998</v>
      </c>
      <c r="N30" s="2">
        <f t="shared" si="0"/>
        <v>5.1057483236947006E-3</v>
      </c>
      <c r="O30" s="4">
        <v>19.66</v>
      </c>
      <c r="P30" s="5">
        <v>1.860999618656933E-4</v>
      </c>
    </row>
    <row r="31" spans="1:16">
      <c r="A31" s="1" t="s">
        <v>49</v>
      </c>
      <c r="B31" s="1">
        <v>9</v>
      </c>
      <c r="C31" s="1">
        <v>1</v>
      </c>
      <c r="D31" s="1" t="s">
        <v>17</v>
      </c>
      <c r="E31" s="1">
        <v>5</v>
      </c>
      <c r="F31" s="1">
        <v>1</v>
      </c>
      <c r="G31" s="1" t="s">
        <v>18</v>
      </c>
      <c r="H31" s="1">
        <v>0</v>
      </c>
      <c r="I31" s="1" t="s">
        <v>19</v>
      </c>
      <c r="J31" s="1" t="s">
        <v>20</v>
      </c>
      <c r="K31" s="1" t="s">
        <v>17</v>
      </c>
      <c r="L31" s="1">
        <v>237.719999</v>
      </c>
      <c r="M31" s="1">
        <v>221.74801500000001</v>
      </c>
      <c r="N31" s="2">
        <f t="shared" si="0"/>
        <v>6.7188221719620619E-2</v>
      </c>
      <c r="O31" s="4">
        <v>19.89</v>
      </c>
      <c r="P31" s="5">
        <v>2.5269994512200361E-4</v>
      </c>
    </row>
    <row r="32" spans="1:16">
      <c r="A32" s="1" t="s">
        <v>50</v>
      </c>
      <c r="B32" s="1">
        <v>12</v>
      </c>
      <c r="C32" s="1">
        <v>3</v>
      </c>
      <c r="D32" s="1" t="s">
        <v>17</v>
      </c>
      <c r="E32" s="1">
        <v>10</v>
      </c>
      <c r="F32" s="1">
        <v>6</v>
      </c>
      <c r="G32" s="1" t="s">
        <v>18</v>
      </c>
      <c r="H32" s="1">
        <v>6</v>
      </c>
      <c r="I32" s="1" t="s">
        <v>19</v>
      </c>
      <c r="J32" s="1" t="s">
        <v>20</v>
      </c>
      <c r="K32" s="1" t="s">
        <v>18</v>
      </c>
      <c r="L32" s="1">
        <v>556.64000499999997</v>
      </c>
      <c r="M32" s="1">
        <v>556.78307199999995</v>
      </c>
      <c r="N32" s="2">
        <f t="shared" si="0"/>
        <v>2.5701889680022845E-4</v>
      </c>
      <c r="O32" s="4">
        <v>20.07</v>
      </c>
      <c r="P32" s="5">
        <v>2.5720003759488458E-4</v>
      </c>
    </row>
    <row r="33" spans="1:16">
      <c r="A33" s="1" t="s">
        <v>51</v>
      </c>
      <c r="B33" s="1">
        <v>5</v>
      </c>
      <c r="C33" s="1">
        <v>4</v>
      </c>
      <c r="D33" s="1" t="s">
        <v>17</v>
      </c>
      <c r="E33" s="1">
        <v>10</v>
      </c>
      <c r="F33" s="1">
        <v>3</v>
      </c>
      <c r="G33" s="1" t="s">
        <v>18</v>
      </c>
      <c r="H33" s="1">
        <v>0</v>
      </c>
      <c r="I33" s="1" t="s">
        <v>19</v>
      </c>
      <c r="J33" s="1" t="s">
        <v>20</v>
      </c>
      <c r="K33" s="1" t="s">
        <v>18</v>
      </c>
      <c r="L33" s="1">
        <v>119.279999</v>
      </c>
      <c r="M33" s="1">
        <v>143.23788999999999</v>
      </c>
      <c r="N33" s="2">
        <f t="shared" si="0"/>
        <v>0.20085421865236591</v>
      </c>
      <c r="O33" s="4">
        <v>19.63</v>
      </c>
      <c r="P33" s="5">
        <v>1.753999968059361E-4</v>
      </c>
    </row>
    <row r="34" spans="1:16">
      <c r="A34" s="1" t="s">
        <v>52</v>
      </c>
      <c r="B34" s="1">
        <v>8</v>
      </c>
      <c r="C34" s="1">
        <v>1</v>
      </c>
      <c r="D34" s="1" t="s">
        <v>18</v>
      </c>
      <c r="E34" s="1">
        <v>6</v>
      </c>
      <c r="F34" s="1">
        <v>1</v>
      </c>
      <c r="G34" s="1" t="s">
        <v>18</v>
      </c>
      <c r="H34" s="1">
        <v>2</v>
      </c>
      <c r="I34" s="1" t="s">
        <v>19</v>
      </c>
      <c r="J34" s="1" t="s">
        <v>20</v>
      </c>
      <c r="K34" s="1" t="s">
        <v>17</v>
      </c>
      <c r="L34" s="1">
        <v>186.759997</v>
      </c>
      <c r="M34" s="1">
        <v>184.36542700000001</v>
      </c>
      <c r="N34" s="2">
        <f t="shared" ref="N34:N65" si="1">ABS(M34-L34)/L34</f>
        <v>1.2821642956012617E-2</v>
      </c>
      <c r="O34" s="4">
        <v>19.36</v>
      </c>
      <c r="P34" s="5">
        <v>4.4429994886741042E-4</v>
      </c>
    </row>
    <row r="35" spans="1:16">
      <c r="A35" s="1" t="s">
        <v>53</v>
      </c>
      <c r="B35" s="1">
        <v>14</v>
      </c>
      <c r="C35" s="1">
        <v>3</v>
      </c>
      <c r="D35" s="1" t="s">
        <v>17</v>
      </c>
      <c r="E35" s="1">
        <v>9</v>
      </c>
      <c r="F35" s="1">
        <v>1</v>
      </c>
      <c r="G35" s="1" t="s">
        <v>18</v>
      </c>
      <c r="H35" s="1">
        <v>6</v>
      </c>
      <c r="I35" s="1" t="s">
        <v>19</v>
      </c>
      <c r="J35" s="1" t="s">
        <v>20</v>
      </c>
      <c r="K35" s="1" t="s">
        <v>18</v>
      </c>
      <c r="L35" s="1">
        <v>695.80000600000005</v>
      </c>
      <c r="M35" s="1">
        <v>702.68464400000005</v>
      </c>
      <c r="N35" s="2">
        <f t="shared" si="1"/>
        <v>9.8945644447148724E-3</v>
      </c>
      <c r="O35" s="4">
        <v>19.87</v>
      </c>
      <c r="P35" s="5">
        <v>4.0369998896494508E-4</v>
      </c>
    </row>
    <row r="36" spans="1:16">
      <c r="A36" s="1" t="s">
        <v>54</v>
      </c>
      <c r="B36" s="1">
        <v>10</v>
      </c>
      <c r="C36" s="1">
        <v>4</v>
      </c>
      <c r="D36" s="1" t="s">
        <v>17</v>
      </c>
      <c r="E36" s="1">
        <v>16</v>
      </c>
      <c r="F36" s="1">
        <v>0</v>
      </c>
      <c r="G36" s="1" t="s">
        <v>18</v>
      </c>
      <c r="H36" s="1">
        <v>6</v>
      </c>
      <c r="I36" s="1" t="s">
        <v>19</v>
      </c>
      <c r="J36" s="1" t="s">
        <v>20</v>
      </c>
      <c r="K36" s="1" t="s">
        <v>18</v>
      </c>
      <c r="L36" s="1">
        <v>528.64000499999997</v>
      </c>
      <c r="M36" s="1">
        <v>543.51182600000004</v>
      </c>
      <c r="N36" s="2">
        <f t="shared" si="1"/>
        <v>2.8132227715153849E-2</v>
      </c>
      <c r="O36" s="4">
        <v>20.23</v>
      </c>
      <c r="P36" s="5">
        <v>2.9190001077950001E-4</v>
      </c>
    </row>
    <row r="37" spans="1:16">
      <c r="A37" s="1" t="s">
        <v>55</v>
      </c>
      <c r="B37" s="1">
        <v>10</v>
      </c>
      <c r="C37" s="1">
        <v>3</v>
      </c>
      <c r="D37" s="1" t="s">
        <v>17</v>
      </c>
      <c r="E37" s="1">
        <v>16</v>
      </c>
      <c r="F37" s="1">
        <v>1</v>
      </c>
      <c r="G37" s="1" t="s">
        <v>18</v>
      </c>
      <c r="H37" s="1">
        <v>6</v>
      </c>
      <c r="I37" s="1" t="s">
        <v>19</v>
      </c>
      <c r="J37" s="1" t="s">
        <v>20</v>
      </c>
      <c r="K37" s="1" t="s">
        <v>17</v>
      </c>
      <c r="L37" s="1">
        <v>669.75998800000002</v>
      </c>
      <c r="M37" s="1">
        <v>667.26223500000003</v>
      </c>
      <c r="N37" s="2">
        <f t="shared" si="1"/>
        <v>3.7293254968225852E-3</v>
      </c>
      <c r="O37" s="4">
        <v>20.5</v>
      </c>
      <c r="P37" s="5">
        <v>1.8650002311915159E-4</v>
      </c>
    </row>
    <row r="38" spans="1:16">
      <c r="A38" s="1" t="s">
        <v>56</v>
      </c>
      <c r="B38" s="1">
        <v>5</v>
      </c>
      <c r="C38" s="1">
        <v>1</v>
      </c>
      <c r="D38" s="1" t="s">
        <v>18</v>
      </c>
      <c r="E38" s="1">
        <v>8</v>
      </c>
      <c r="F38" s="1">
        <v>3</v>
      </c>
      <c r="G38" s="1" t="s">
        <v>18</v>
      </c>
      <c r="H38" s="1">
        <v>4</v>
      </c>
      <c r="I38" s="1" t="s">
        <v>19</v>
      </c>
      <c r="J38" s="1" t="s">
        <v>20</v>
      </c>
      <c r="K38" s="1" t="s">
        <v>17</v>
      </c>
      <c r="L38" s="1">
        <v>244.43999500000001</v>
      </c>
      <c r="M38" s="1">
        <v>245.81105500000001</v>
      </c>
      <c r="N38" s="2">
        <f t="shared" si="1"/>
        <v>5.6089839144367508E-3</v>
      </c>
      <c r="O38" s="4">
        <v>19.25</v>
      </c>
      <c r="P38" s="5">
        <v>1.9450002582743761E-4</v>
      </c>
    </row>
    <row r="39" spans="1:16">
      <c r="A39" s="1" t="s">
        <v>57</v>
      </c>
      <c r="B39" s="1">
        <v>12</v>
      </c>
      <c r="C39" s="1">
        <v>1</v>
      </c>
      <c r="D39" s="1" t="s">
        <v>17</v>
      </c>
      <c r="E39" s="1">
        <v>6</v>
      </c>
      <c r="F39" s="1">
        <v>4</v>
      </c>
      <c r="G39" s="1" t="s">
        <v>18</v>
      </c>
      <c r="H39" s="1">
        <v>4</v>
      </c>
      <c r="I39" s="1" t="s">
        <v>19</v>
      </c>
      <c r="J39" s="1" t="s">
        <v>20</v>
      </c>
      <c r="K39" s="1" t="s">
        <v>17</v>
      </c>
      <c r="L39" s="1">
        <v>176.39999599999999</v>
      </c>
      <c r="M39" s="1">
        <v>150.73076499999999</v>
      </c>
      <c r="N39" s="2">
        <f t="shared" si="1"/>
        <v>0.14551718583939197</v>
      </c>
      <c r="O39" s="4">
        <v>20.09</v>
      </c>
      <c r="P39" s="5">
        <v>2.516999957151711E-4</v>
      </c>
    </row>
    <row r="40" spans="1:16">
      <c r="A40" s="1" t="s">
        <v>58</v>
      </c>
      <c r="B40" s="1">
        <v>9</v>
      </c>
      <c r="C40" s="1">
        <v>1</v>
      </c>
      <c r="D40" s="1" t="s">
        <v>18</v>
      </c>
      <c r="E40" s="1">
        <v>8</v>
      </c>
      <c r="F40" s="1">
        <v>3</v>
      </c>
      <c r="G40" s="1" t="s">
        <v>18</v>
      </c>
      <c r="H40" s="1">
        <v>6</v>
      </c>
      <c r="I40" s="1" t="s">
        <v>19</v>
      </c>
      <c r="J40" s="1" t="s">
        <v>20</v>
      </c>
      <c r="K40" s="1" t="s">
        <v>17</v>
      </c>
      <c r="L40" s="1">
        <v>362.03999199999998</v>
      </c>
      <c r="M40" s="1">
        <v>353.58216900000002</v>
      </c>
      <c r="N40" s="2">
        <f t="shared" si="1"/>
        <v>2.3361571060911863E-2</v>
      </c>
      <c r="O40" s="4">
        <v>19.489999999999998</v>
      </c>
      <c r="P40" s="5">
        <v>2.48999975156039E-4</v>
      </c>
    </row>
    <row r="41" spans="1:16">
      <c r="A41" s="1" t="s">
        <v>59</v>
      </c>
      <c r="B41" s="1">
        <v>8</v>
      </c>
      <c r="C41" s="1">
        <v>2</v>
      </c>
      <c r="D41" s="1" t="s">
        <v>18</v>
      </c>
      <c r="E41" s="1">
        <v>10</v>
      </c>
      <c r="F41" s="1">
        <v>0</v>
      </c>
      <c r="G41" s="1" t="s">
        <v>18</v>
      </c>
      <c r="H41" s="1">
        <v>1</v>
      </c>
      <c r="I41" s="1" t="s">
        <v>19</v>
      </c>
      <c r="J41" s="1" t="s">
        <v>20</v>
      </c>
      <c r="K41" s="1" t="s">
        <v>17</v>
      </c>
      <c r="L41" s="1">
        <v>168.55999800000001</v>
      </c>
      <c r="M41" s="1">
        <v>172.56240199999999</v>
      </c>
      <c r="N41" s="2">
        <f t="shared" si="1"/>
        <v>2.3744684667117665E-2</v>
      </c>
      <c r="O41" s="4">
        <v>19.71</v>
      </c>
      <c r="P41" s="5">
        <v>1.7509999452158809E-4</v>
      </c>
    </row>
    <row r="42" spans="1:16">
      <c r="A42" s="1" t="s">
        <v>60</v>
      </c>
      <c r="B42" s="1">
        <v>6</v>
      </c>
      <c r="C42" s="1">
        <v>4</v>
      </c>
      <c r="D42" s="1" t="s">
        <v>17</v>
      </c>
      <c r="E42" s="1">
        <v>9</v>
      </c>
      <c r="F42" s="1">
        <v>4</v>
      </c>
      <c r="G42" s="1" t="s">
        <v>18</v>
      </c>
      <c r="H42" s="1">
        <v>1</v>
      </c>
      <c r="I42" s="1" t="s">
        <v>19</v>
      </c>
      <c r="J42" s="1" t="s">
        <v>20</v>
      </c>
      <c r="K42" s="1" t="s">
        <v>17</v>
      </c>
      <c r="L42" s="1">
        <v>219.23999800000001</v>
      </c>
      <c r="M42" s="1">
        <v>220.41875099999999</v>
      </c>
      <c r="N42" s="2">
        <f t="shared" si="1"/>
        <v>5.3765417385196832E-3</v>
      </c>
      <c r="O42" s="4">
        <v>19.440000000000001</v>
      </c>
      <c r="P42" s="5">
        <v>1.7329998081549999E-4</v>
      </c>
    </row>
    <row r="43" spans="1:16">
      <c r="A43" s="1" t="s">
        <v>61</v>
      </c>
      <c r="B43" s="1">
        <v>14</v>
      </c>
      <c r="C43" s="1">
        <v>0</v>
      </c>
      <c r="D43" s="1" t="s">
        <v>17</v>
      </c>
      <c r="E43" s="1">
        <v>12</v>
      </c>
      <c r="F43" s="1">
        <v>4</v>
      </c>
      <c r="G43" s="1" t="s">
        <v>18</v>
      </c>
      <c r="H43" s="1">
        <v>3</v>
      </c>
      <c r="I43" s="1" t="s">
        <v>19</v>
      </c>
      <c r="J43" s="1" t="s">
        <v>20</v>
      </c>
      <c r="K43" s="1" t="s">
        <v>18</v>
      </c>
      <c r="L43" s="1">
        <v>504.28000300000002</v>
      </c>
      <c r="M43" s="1">
        <v>507.37515200000001</v>
      </c>
      <c r="N43" s="2">
        <f t="shared" si="1"/>
        <v>6.1377587482880852E-3</v>
      </c>
      <c r="O43" s="4">
        <v>19.63</v>
      </c>
      <c r="P43" s="5">
        <v>2.5620002998039132E-4</v>
      </c>
    </row>
    <row r="44" spans="1:16">
      <c r="A44" s="1" t="s">
        <v>62</v>
      </c>
      <c r="B44" s="1">
        <v>12</v>
      </c>
      <c r="C44" s="1">
        <v>2</v>
      </c>
      <c r="D44" s="1" t="s">
        <v>17</v>
      </c>
      <c r="E44" s="1">
        <v>12</v>
      </c>
      <c r="F44" s="1">
        <v>1</v>
      </c>
      <c r="G44" s="1" t="s">
        <v>18</v>
      </c>
      <c r="H44" s="1">
        <v>4</v>
      </c>
      <c r="I44" s="1" t="s">
        <v>19</v>
      </c>
      <c r="J44" s="1" t="s">
        <v>20</v>
      </c>
      <c r="K44" s="1" t="s">
        <v>17</v>
      </c>
      <c r="L44" s="1">
        <v>686.27999</v>
      </c>
      <c r="M44" s="1">
        <v>688.05968600000006</v>
      </c>
      <c r="N44" s="2">
        <f t="shared" si="1"/>
        <v>2.5932506060683163E-3</v>
      </c>
      <c r="O44" s="4">
        <v>19.73</v>
      </c>
      <c r="P44" s="5">
        <v>2.299000043421984E-4</v>
      </c>
    </row>
    <row r="45" spans="1:16">
      <c r="A45" s="1" t="s">
        <v>63</v>
      </c>
      <c r="B45" s="1">
        <v>14</v>
      </c>
      <c r="C45" s="1">
        <v>4</v>
      </c>
      <c r="D45" s="1" t="s">
        <v>18</v>
      </c>
      <c r="E45" s="1">
        <v>12</v>
      </c>
      <c r="F45" s="1">
        <v>1</v>
      </c>
      <c r="G45" s="1" t="s">
        <v>18</v>
      </c>
      <c r="H45" s="1">
        <v>0</v>
      </c>
      <c r="I45" s="1" t="s">
        <v>19</v>
      </c>
      <c r="J45" s="1" t="s">
        <v>20</v>
      </c>
      <c r="K45" s="1" t="s">
        <v>18</v>
      </c>
      <c r="L45" s="1">
        <v>226.52</v>
      </c>
      <c r="M45" s="1">
        <v>232.226292</v>
      </c>
      <c r="N45" s="2">
        <f t="shared" si="1"/>
        <v>2.5191117782094253E-2</v>
      </c>
      <c r="O45" s="4">
        <v>19.850000000000001</v>
      </c>
      <c r="P45" s="5">
        <v>1.872999710030854E-4</v>
      </c>
    </row>
    <row r="46" spans="1:16">
      <c r="A46" s="1" t="s">
        <v>64</v>
      </c>
      <c r="B46" s="1">
        <v>12</v>
      </c>
      <c r="C46" s="1">
        <v>2</v>
      </c>
      <c r="D46" s="1" t="s">
        <v>18</v>
      </c>
      <c r="E46" s="1">
        <v>9</v>
      </c>
      <c r="F46" s="1">
        <v>6</v>
      </c>
      <c r="G46" s="1" t="s">
        <v>18</v>
      </c>
      <c r="H46" s="1">
        <v>1</v>
      </c>
      <c r="I46" s="1" t="s">
        <v>19</v>
      </c>
      <c r="J46" s="1" t="s">
        <v>20</v>
      </c>
      <c r="K46" s="1" t="s">
        <v>17</v>
      </c>
      <c r="L46" s="1">
        <v>159.879999</v>
      </c>
      <c r="M46" s="1">
        <v>149.29014799999999</v>
      </c>
      <c r="N46" s="2">
        <f t="shared" si="1"/>
        <v>6.6236246348738162E-2</v>
      </c>
      <c r="O46" s="4">
        <v>19.78</v>
      </c>
      <c r="P46" s="5">
        <v>2.5680003454908729E-4</v>
      </c>
    </row>
    <row r="47" spans="1:16">
      <c r="A47" s="1" t="s">
        <v>65</v>
      </c>
      <c r="B47" s="1">
        <v>9</v>
      </c>
      <c r="C47" s="1">
        <v>4</v>
      </c>
      <c r="D47" s="1" t="s">
        <v>18</v>
      </c>
      <c r="E47" s="1">
        <v>10</v>
      </c>
      <c r="F47" s="1">
        <v>2</v>
      </c>
      <c r="G47" s="1" t="s">
        <v>18</v>
      </c>
      <c r="H47" s="1">
        <v>6</v>
      </c>
      <c r="I47" s="1" t="s">
        <v>19</v>
      </c>
      <c r="J47" s="1" t="s">
        <v>20</v>
      </c>
      <c r="K47" s="1" t="s">
        <v>17</v>
      </c>
      <c r="L47" s="1">
        <v>470.11998999999997</v>
      </c>
      <c r="M47" s="1">
        <v>463.70279399999998</v>
      </c>
      <c r="N47" s="2">
        <f t="shared" si="1"/>
        <v>1.3650123663109902E-2</v>
      </c>
      <c r="O47" s="4">
        <v>19.82</v>
      </c>
      <c r="P47" s="5">
        <v>2.508999896235764E-4</v>
      </c>
    </row>
    <row r="48" spans="1:16">
      <c r="A48" s="1" t="s">
        <v>66</v>
      </c>
      <c r="B48" s="1">
        <v>14</v>
      </c>
      <c r="C48" s="1">
        <v>3</v>
      </c>
      <c r="D48" s="1" t="s">
        <v>18</v>
      </c>
      <c r="E48" s="1">
        <v>9</v>
      </c>
      <c r="F48" s="1">
        <v>0</v>
      </c>
      <c r="G48" s="1" t="s">
        <v>18</v>
      </c>
      <c r="H48" s="1">
        <v>0</v>
      </c>
      <c r="I48" s="1" t="s">
        <v>19</v>
      </c>
      <c r="J48" s="1" t="s">
        <v>20</v>
      </c>
      <c r="K48" s="1" t="s">
        <v>17</v>
      </c>
      <c r="L48" s="1">
        <v>198.52</v>
      </c>
      <c r="M48" s="1">
        <v>199.47111699999999</v>
      </c>
      <c r="N48" s="2">
        <f t="shared" si="1"/>
        <v>4.791038686278371E-3</v>
      </c>
      <c r="O48" s="4">
        <v>19.73</v>
      </c>
      <c r="P48" s="5">
        <v>2.6739999884739518E-4</v>
      </c>
    </row>
    <row r="49" spans="1:16">
      <c r="A49" s="1" t="s">
        <v>67</v>
      </c>
      <c r="B49" s="1">
        <v>5</v>
      </c>
      <c r="C49" s="1">
        <v>2</v>
      </c>
      <c r="D49" s="1" t="s">
        <v>17</v>
      </c>
      <c r="E49" s="1">
        <v>9</v>
      </c>
      <c r="F49" s="1">
        <v>6</v>
      </c>
      <c r="G49" s="1" t="s">
        <v>18</v>
      </c>
      <c r="H49" s="1">
        <v>1</v>
      </c>
      <c r="I49" s="1" t="s">
        <v>19</v>
      </c>
      <c r="J49" s="1" t="s">
        <v>20</v>
      </c>
      <c r="K49" s="1" t="s">
        <v>18</v>
      </c>
      <c r="L49" s="1">
        <v>167.44</v>
      </c>
      <c r="M49" s="1">
        <v>168.791608</v>
      </c>
      <c r="N49" s="2">
        <f t="shared" si="1"/>
        <v>8.0721930243669304E-3</v>
      </c>
      <c r="O49" s="4">
        <v>19.63</v>
      </c>
      <c r="P49" s="5">
        <v>1.7399998614564541E-4</v>
      </c>
    </row>
    <row r="50" spans="1:16">
      <c r="A50" s="1" t="s">
        <v>68</v>
      </c>
      <c r="B50" s="1">
        <v>14</v>
      </c>
      <c r="C50" s="1">
        <v>1</v>
      </c>
      <c r="D50" s="1" t="s">
        <v>17</v>
      </c>
      <c r="E50" s="1">
        <v>9</v>
      </c>
      <c r="F50" s="1">
        <v>1</v>
      </c>
      <c r="G50" s="1" t="s">
        <v>18</v>
      </c>
      <c r="H50" s="1">
        <v>1</v>
      </c>
      <c r="I50" s="1" t="s">
        <v>19</v>
      </c>
      <c r="J50" s="1" t="s">
        <v>20</v>
      </c>
      <c r="K50" s="1" t="s">
        <v>18</v>
      </c>
      <c r="L50" s="1">
        <v>422.80000100000001</v>
      </c>
      <c r="M50" s="1">
        <v>425.13043099999999</v>
      </c>
      <c r="N50" s="2">
        <f t="shared" si="1"/>
        <v>5.5118968649197769E-3</v>
      </c>
      <c r="O50" s="4">
        <v>20.04</v>
      </c>
      <c r="P50" s="5">
        <v>2.6150001212954521E-4</v>
      </c>
    </row>
    <row r="51" spans="1:16">
      <c r="A51" s="1" t="s">
        <v>69</v>
      </c>
      <c r="B51" s="1">
        <v>8</v>
      </c>
      <c r="C51" s="1">
        <v>3</v>
      </c>
      <c r="D51" s="1" t="s">
        <v>17</v>
      </c>
      <c r="E51" s="1">
        <v>6</v>
      </c>
      <c r="F51" s="1">
        <v>4</v>
      </c>
      <c r="G51" s="1" t="s">
        <v>18</v>
      </c>
      <c r="H51" s="1">
        <v>4</v>
      </c>
      <c r="I51" s="1" t="s">
        <v>19</v>
      </c>
      <c r="J51" s="1" t="s">
        <v>20</v>
      </c>
      <c r="K51" s="1" t="s">
        <v>17</v>
      </c>
      <c r="L51" s="1">
        <v>338.23999600000002</v>
      </c>
      <c r="M51" s="1">
        <v>331.35891299999997</v>
      </c>
      <c r="N51" s="2">
        <f t="shared" si="1"/>
        <v>2.0343788674832074E-2</v>
      </c>
      <c r="O51" s="4">
        <v>19.57</v>
      </c>
      <c r="P51" s="5">
        <v>2.5350000942125922E-4</v>
      </c>
    </row>
    <row r="52" spans="1:16">
      <c r="A52" s="1" t="s">
        <v>70</v>
      </c>
      <c r="B52" s="1">
        <v>10</v>
      </c>
      <c r="C52" s="1">
        <v>6</v>
      </c>
      <c r="D52" s="1" t="s">
        <v>17</v>
      </c>
      <c r="E52" s="1">
        <v>10</v>
      </c>
      <c r="F52" s="1">
        <v>1</v>
      </c>
      <c r="G52" s="1" t="s">
        <v>18</v>
      </c>
      <c r="H52" s="1">
        <v>3</v>
      </c>
      <c r="I52" s="1" t="s">
        <v>19</v>
      </c>
      <c r="J52" s="1" t="s">
        <v>20</v>
      </c>
      <c r="K52" s="1" t="s">
        <v>18</v>
      </c>
      <c r="L52" s="1">
        <v>376.60000200000002</v>
      </c>
      <c r="M52" s="1">
        <v>388.10639500000002</v>
      </c>
      <c r="N52" s="2">
        <f t="shared" si="1"/>
        <v>3.055335352865984E-2</v>
      </c>
      <c r="O52" s="4">
        <v>20.87</v>
      </c>
      <c r="P52" s="5">
        <v>1.7850002041086549E-4</v>
      </c>
    </row>
    <row r="53" spans="1:16">
      <c r="A53" s="1" t="s">
        <v>71</v>
      </c>
      <c r="B53" s="1">
        <v>10</v>
      </c>
      <c r="C53" s="1">
        <v>1</v>
      </c>
      <c r="D53" s="1" t="s">
        <v>17</v>
      </c>
      <c r="E53" s="1">
        <v>9</v>
      </c>
      <c r="F53" s="1">
        <v>1</v>
      </c>
      <c r="G53" s="1" t="s">
        <v>18</v>
      </c>
      <c r="H53" s="1">
        <v>6</v>
      </c>
      <c r="I53" s="1" t="s">
        <v>19</v>
      </c>
      <c r="J53" s="1" t="s">
        <v>20</v>
      </c>
      <c r="K53" s="1" t="s">
        <v>18</v>
      </c>
      <c r="L53" s="1">
        <v>602.28000599999996</v>
      </c>
      <c r="M53" s="1">
        <v>606.06053999999995</v>
      </c>
      <c r="N53" s="2">
        <f t="shared" si="1"/>
        <v>6.2770371958852456E-3</v>
      </c>
      <c r="O53" s="4">
        <v>20.22</v>
      </c>
      <c r="P53" s="5">
        <v>2.5759998243302112E-4</v>
      </c>
    </row>
    <row r="54" spans="1:16">
      <c r="A54" s="1" t="s">
        <v>72</v>
      </c>
      <c r="B54" s="1">
        <v>14</v>
      </c>
      <c r="C54" s="1">
        <v>4</v>
      </c>
      <c r="D54" s="1" t="s">
        <v>17</v>
      </c>
      <c r="E54" s="1">
        <v>16</v>
      </c>
      <c r="F54" s="1">
        <v>2</v>
      </c>
      <c r="G54" s="1" t="s">
        <v>18</v>
      </c>
      <c r="H54" s="1">
        <v>6</v>
      </c>
      <c r="I54" s="1" t="s">
        <v>19</v>
      </c>
      <c r="J54" s="1" t="s">
        <v>20</v>
      </c>
      <c r="K54" s="1" t="s">
        <v>18</v>
      </c>
      <c r="L54" s="1">
        <v>874.16000899999995</v>
      </c>
      <c r="M54" s="1">
        <v>891.25369499999999</v>
      </c>
      <c r="N54" s="2">
        <f t="shared" si="1"/>
        <v>1.9554413178377333E-2</v>
      </c>
      <c r="O54" s="4">
        <v>19.95</v>
      </c>
      <c r="P54" s="5">
        <v>2.2839999292045829E-4</v>
      </c>
    </row>
    <row r="55" spans="1:16">
      <c r="A55" s="1" t="s">
        <v>73</v>
      </c>
      <c r="B55" s="1">
        <v>5</v>
      </c>
      <c r="C55" s="1">
        <v>4</v>
      </c>
      <c r="D55" s="1" t="s">
        <v>18</v>
      </c>
      <c r="E55" s="1">
        <v>9</v>
      </c>
      <c r="F55" s="1">
        <v>8</v>
      </c>
      <c r="G55" s="1" t="s">
        <v>18</v>
      </c>
      <c r="H55" s="1">
        <v>2</v>
      </c>
      <c r="I55" s="1" t="s">
        <v>19</v>
      </c>
      <c r="J55" s="1" t="s">
        <v>20</v>
      </c>
      <c r="K55" s="1" t="s">
        <v>17</v>
      </c>
      <c r="L55" s="1">
        <v>146.439998</v>
      </c>
      <c r="M55" s="1">
        <v>151.530148</v>
      </c>
      <c r="N55" s="2">
        <f t="shared" si="1"/>
        <v>3.4759287554756685E-2</v>
      </c>
      <c r="O55" s="4">
        <v>19.5</v>
      </c>
      <c r="P55" s="5">
        <v>1.743000466376543E-4</v>
      </c>
    </row>
    <row r="56" spans="1:16">
      <c r="A56" s="1" t="s">
        <v>74</v>
      </c>
      <c r="B56" s="1">
        <v>8</v>
      </c>
      <c r="C56" s="1">
        <v>2</v>
      </c>
      <c r="D56" s="1" t="s">
        <v>17</v>
      </c>
      <c r="E56" s="1">
        <v>12</v>
      </c>
      <c r="F56" s="1">
        <v>0</v>
      </c>
      <c r="G56" s="1" t="s">
        <v>18</v>
      </c>
      <c r="H56" s="1">
        <v>3</v>
      </c>
      <c r="I56" s="1" t="s">
        <v>19</v>
      </c>
      <c r="J56" s="1" t="s">
        <v>20</v>
      </c>
      <c r="K56" s="1" t="s">
        <v>18</v>
      </c>
      <c r="L56" s="1">
        <v>352.52000199999998</v>
      </c>
      <c r="M56" s="1">
        <v>356.83302200000003</v>
      </c>
      <c r="N56" s="2">
        <f t="shared" si="1"/>
        <v>1.2234823486696939E-2</v>
      </c>
      <c r="O56" s="4">
        <v>19.8</v>
      </c>
      <c r="P56" s="5">
        <v>1.8329999875277281E-4</v>
      </c>
    </row>
    <row r="57" spans="1:16">
      <c r="A57" s="1" t="s">
        <v>75</v>
      </c>
      <c r="B57" s="1">
        <v>4</v>
      </c>
      <c r="C57" s="1">
        <v>0</v>
      </c>
      <c r="D57" s="1" t="s">
        <v>17</v>
      </c>
      <c r="E57" s="1">
        <v>16</v>
      </c>
      <c r="F57" s="1">
        <v>1</v>
      </c>
      <c r="G57" s="1" t="s">
        <v>18</v>
      </c>
      <c r="H57" s="1">
        <v>4</v>
      </c>
      <c r="I57" s="1" t="s">
        <v>19</v>
      </c>
      <c r="J57" s="1" t="s">
        <v>20</v>
      </c>
      <c r="K57" s="1" t="s">
        <v>17</v>
      </c>
      <c r="L57" s="1">
        <v>237.99999500000001</v>
      </c>
      <c r="M57" s="1">
        <v>255.761618</v>
      </c>
      <c r="N57" s="2">
        <f t="shared" si="1"/>
        <v>7.4628669635056016E-2</v>
      </c>
      <c r="O57" s="4">
        <v>19.989999999999998</v>
      </c>
      <c r="P57" s="5">
        <v>1.771000097505748E-4</v>
      </c>
    </row>
    <row r="58" spans="1:16">
      <c r="A58" s="1" t="s">
        <v>76</v>
      </c>
      <c r="B58" s="1">
        <v>5</v>
      </c>
      <c r="C58" s="1">
        <v>3</v>
      </c>
      <c r="D58" s="1" t="s">
        <v>18</v>
      </c>
      <c r="E58" s="1">
        <v>6</v>
      </c>
      <c r="F58" s="1">
        <v>2</v>
      </c>
      <c r="G58" s="1" t="s">
        <v>18</v>
      </c>
      <c r="H58" s="1">
        <v>1</v>
      </c>
      <c r="I58" s="1" t="s">
        <v>19</v>
      </c>
      <c r="J58" s="1" t="s">
        <v>20</v>
      </c>
      <c r="K58" s="1" t="s">
        <v>18</v>
      </c>
      <c r="L58" s="1">
        <v>106.68</v>
      </c>
      <c r="M58" s="1">
        <v>105.062946</v>
      </c>
      <c r="N58" s="2">
        <f t="shared" si="1"/>
        <v>1.5157986501687384E-2</v>
      </c>
      <c r="O58" s="4">
        <v>19.21</v>
      </c>
      <c r="P58" s="5">
        <v>1.811999827623367E-4</v>
      </c>
    </row>
    <row r="59" spans="1:16">
      <c r="A59" s="1" t="s">
        <v>77</v>
      </c>
      <c r="B59" s="1">
        <v>14</v>
      </c>
      <c r="C59" s="1">
        <v>1</v>
      </c>
      <c r="D59" s="1" t="s">
        <v>18</v>
      </c>
      <c r="E59" s="1">
        <v>16</v>
      </c>
      <c r="F59" s="1">
        <v>3</v>
      </c>
      <c r="G59" s="1" t="s">
        <v>18</v>
      </c>
      <c r="H59" s="1">
        <v>3</v>
      </c>
      <c r="I59" s="1" t="s">
        <v>19</v>
      </c>
      <c r="J59" s="1" t="s">
        <v>20</v>
      </c>
      <c r="K59" s="1" t="s">
        <v>17</v>
      </c>
      <c r="L59" s="1">
        <v>516.59999000000005</v>
      </c>
      <c r="M59" s="1">
        <v>519.25227600000005</v>
      </c>
      <c r="N59" s="2">
        <f t="shared" si="1"/>
        <v>5.134119340575294E-3</v>
      </c>
      <c r="O59" s="4">
        <v>19.78</v>
      </c>
      <c r="P59" s="5">
        <v>1.9099999917671079E-4</v>
      </c>
    </row>
    <row r="60" spans="1:16">
      <c r="A60" s="1" t="s">
        <v>78</v>
      </c>
      <c r="B60" s="1">
        <v>10</v>
      </c>
      <c r="C60" s="1">
        <v>2</v>
      </c>
      <c r="D60" s="1" t="s">
        <v>18</v>
      </c>
      <c r="E60" s="1">
        <v>12</v>
      </c>
      <c r="F60" s="1">
        <v>0</v>
      </c>
      <c r="G60" s="1" t="s">
        <v>18</v>
      </c>
      <c r="H60" s="1">
        <v>1</v>
      </c>
      <c r="I60" s="1" t="s">
        <v>19</v>
      </c>
      <c r="J60" s="1" t="s">
        <v>20</v>
      </c>
      <c r="K60" s="1" t="s">
        <v>18</v>
      </c>
      <c r="L60" s="1">
        <v>208.04000099999999</v>
      </c>
      <c r="M60" s="1">
        <v>213.139928</v>
      </c>
      <c r="N60" s="2">
        <f t="shared" si="1"/>
        <v>2.4514165427253619E-2</v>
      </c>
      <c r="O60" s="4">
        <v>19.32</v>
      </c>
      <c r="P60" s="5">
        <v>1.8370000179857021E-4</v>
      </c>
    </row>
    <row r="61" spans="1:16">
      <c r="A61" s="1" t="s">
        <v>79</v>
      </c>
      <c r="B61" s="1">
        <v>6</v>
      </c>
      <c r="C61" s="1">
        <v>3</v>
      </c>
      <c r="D61" s="1" t="s">
        <v>18</v>
      </c>
      <c r="E61" s="1">
        <v>8</v>
      </c>
      <c r="F61" s="1">
        <v>6</v>
      </c>
      <c r="G61" s="1" t="s">
        <v>18</v>
      </c>
      <c r="H61" s="1">
        <v>1</v>
      </c>
      <c r="I61" s="1" t="s">
        <v>19</v>
      </c>
      <c r="J61" s="1" t="s">
        <v>20</v>
      </c>
      <c r="K61" s="1" t="s">
        <v>18</v>
      </c>
      <c r="L61" s="1">
        <v>107.8</v>
      </c>
      <c r="M61" s="1">
        <v>116.48177699999999</v>
      </c>
      <c r="N61" s="2">
        <f t="shared" si="1"/>
        <v>8.0535964749536157E-2</v>
      </c>
      <c r="O61" s="4">
        <v>19.68</v>
      </c>
      <c r="P61" s="5">
        <v>3.0370004242286092E-4</v>
      </c>
    </row>
    <row r="62" spans="1:16">
      <c r="A62" s="1" t="s">
        <v>80</v>
      </c>
      <c r="B62" s="1">
        <v>12</v>
      </c>
      <c r="C62" s="1">
        <v>6</v>
      </c>
      <c r="D62" s="1" t="s">
        <v>18</v>
      </c>
      <c r="E62" s="1">
        <v>5</v>
      </c>
      <c r="F62" s="1">
        <v>2</v>
      </c>
      <c r="G62" s="1" t="s">
        <v>18</v>
      </c>
      <c r="H62" s="1">
        <v>2</v>
      </c>
      <c r="I62" s="1" t="s">
        <v>19</v>
      </c>
      <c r="J62" s="1" t="s">
        <v>20</v>
      </c>
      <c r="K62" s="1" t="s">
        <v>17</v>
      </c>
      <c r="L62" s="1">
        <v>205.23999800000001</v>
      </c>
      <c r="M62" s="1">
        <v>203.38125099999999</v>
      </c>
      <c r="N62" s="2">
        <f t="shared" si="1"/>
        <v>9.0564559448106322E-3</v>
      </c>
      <c r="O62" s="4">
        <v>19.61</v>
      </c>
      <c r="P62" s="5">
        <v>2.571000368334353E-4</v>
      </c>
    </row>
    <row r="63" spans="1:16">
      <c r="A63" s="1" t="s">
        <v>81</v>
      </c>
      <c r="B63" s="1">
        <v>10</v>
      </c>
      <c r="C63" s="1">
        <v>2</v>
      </c>
      <c r="D63" s="1" t="s">
        <v>17</v>
      </c>
      <c r="E63" s="1">
        <v>9</v>
      </c>
      <c r="F63" s="1">
        <v>6</v>
      </c>
      <c r="G63" s="1" t="s">
        <v>18</v>
      </c>
      <c r="H63" s="1">
        <v>0</v>
      </c>
      <c r="I63" s="1" t="s">
        <v>19</v>
      </c>
      <c r="J63" s="1" t="s">
        <v>20</v>
      </c>
      <c r="K63" s="1" t="s">
        <v>18</v>
      </c>
      <c r="L63" s="1">
        <v>263.47999900000002</v>
      </c>
      <c r="M63" s="1">
        <v>249.578971</v>
      </c>
      <c r="N63" s="2">
        <f t="shared" si="1"/>
        <v>5.2759329181567304E-2</v>
      </c>
      <c r="O63" s="4">
        <v>19.96</v>
      </c>
      <c r="P63" s="5">
        <v>2.481999690644443E-4</v>
      </c>
    </row>
    <row r="64" spans="1:16">
      <c r="A64" s="1" t="s">
        <v>82</v>
      </c>
      <c r="B64" s="1">
        <v>9</v>
      </c>
      <c r="C64" s="1">
        <v>6</v>
      </c>
      <c r="D64" s="1" t="s">
        <v>17</v>
      </c>
      <c r="E64" s="1">
        <v>12</v>
      </c>
      <c r="F64" s="1">
        <v>4</v>
      </c>
      <c r="G64" s="1" t="s">
        <v>18</v>
      </c>
      <c r="H64" s="1">
        <v>2</v>
      </c>
      <c r="I64" s="1" t="s">
        <v>19</v>
      </c>
      <c r="J64" s="1" t="s">
        <v>20</v>
      </c>
      <c r="K64" s="1" t="s">
        <v>18</v>
      </c>
      <c r="L64" s="1">
        <v>353.64000199999998</v>
      </c>
      <c r="M64" s="1">
        <v>359.49088699999999</v>
      </c>
      <c r="N64" s="2">
        <f t="shared" si="1"/>
        <v>1.654474880361528E-2</v>
      </c>
      <c r="O64" s="4">
        <v>19.32</v>
      </c>
      <c r="P64" s="5">
        <v>2.2550002904608851E-4</v>
      </c>
    </row>
    <row r="65" spans="1:16">
      <c r="A65" s="1" t="s">
        <v>83</v>
      </c>
      <c r="B65" s="1">
        <v>5</v>
      </c>
      <c r="C65" s="1">
        <v>0</v>
      </c>
      <c r="D65" s="1" t="s">
        <v>17</v>
      </c>
      <c r="E65" s="1">
        <v>9</v>
      </c>
      <c r="F65" s="1">
        <v>6</v>
      </c>
      <c r="G65" s="1" t="s">
        <v>18</v>
      </c>
      <c r="H65" s="1">
        <v>2</v>
      </c>
      <c r="I65" s="1" t="s">
        <v>19</v>
      </c>
      <c r="J65" s="1" t="s">
        <v>20</v>
      </c>
      <c r="K65" s="1" t="s">
        <v>18</v>
      </c>
      <c r="L65" s="1">
        <v>115.64</v>
      </c>
      <c r="M65" s="1">
        <v>152.39082300000001</v>
      </c>
      <c r="N65" s="2">
        <f t="shared" si="1"/>
        <v>0.31780372708405408</v>
      </c>
      <c r="O65" s="4">
        <v>19.38</v>
      </c>
      <c r="P65" s="5">
        <v>2.6509998133406038E-4</v>
      </c>
    </row>
    <row r="66" spans="1:16">
      <c r="A66" s="1" t="s">
        <v>84</v>
      </c>
      <c r="B66" s="1">
        <v>9</v>
      </c>
      <c r="C66" s="1">
        <v>0</v>
      </c>
      <c r="D66" s="1" t="s">
        <v>18</v>
      </c>
      <c r="E66" s="1">
        <v>5</v>
      </c>
      <c r="F66" s="1">
        <v>2</v>
      </c>
      <c r="G66" s="1" t="s">
        <v>18</v>
      </c>
      <c r="H66" s="1">
        <v>4</v>
      </c>
      <c r="I66" s="1" t="s">
        <v>19</v>
      </c>
      <c r="J66" s="1" t="s">
        <v>20</v>
      </c>
      <c r="K66" s="1" t="s">
        <v>18</v>
      </c>
      <c r="L66" s="1">
        <v>113.96000100000001</v>
      </c>
      <c r="M66" s="1">
        <v>116.73587999999999</v>
      </c>
      <c r="N66" s="2">
        <f t="shared" ref="N66:N97" si="2">ABS(M66-L66)/L66</f>
        <v>2.4358362369617644E-2</v>
      </c>
      <c r="O66" s="4">
        <v>19.66</v>
      </c>
      <c r="P66" s="5">
        <v>2.9689999064430589E-4</v>
      </c>
    </row>
    <row r="67" spans="1:16">
      <c r="A67" s="1" t="s">
        <v>85</v>
      </c>
      <c r="B67" s="1">
        <v>9</v>
      </c>
      <c r="C67" s="1">
        <v>4</v>
      </c>
      <c r="D67" s="1" t="s">
        <v>17</v>
      </c>
      <c r="E67" s="1">
        <v>16</v>
      </c>
      <c r="F67" s="1">
        <v>1</v>
      </c>
      <c r="G67" s="1" t="s">
        <v>18</v>
      </c>
      <c r="H67" s="1">
        <v>4</v>
      </c>
      <c r="I67" s="1" t="s">
        <v>19</v>
      </c>
      <c r="J67" s="1" t="s">
        <v>20</v>
      </c>
      <c r="K67" s="1" t="s">
        <v>18</v>
      </c>
      <c r="L67" s="1">
        <v>421.680003</v>
      </c>
      <c r="M67" s="1">
        <v>433.04916600000001</v>
      </c>
      <c r="N67" s="2">
        <f t="shared" si="2"/>
        <v>2.6961589165042796E-2</v>
      </c>
      <c r="O67" s="4">
        <v>19.510000000000002</v>
      </c>
      <c r="P67" s="5">
        <v>1.802999759092927E-4</v>
      </c>
    </row>
    <row r="68" spans="1:16">
      <c r="A68" s="1" t="s">
        <v>86</v>
      </c>
      <c r="B68" s="1">
        <v>5</v>
      </c>
      <c r="C68" s="1">
        <v>0</v>
      </c>
      <c r="D68" s="1" t="s">
        <v>18</v>
      </c>
      <c r="E68" s="1">
        <v>8</v>
      </c>
      <c r="F68" s="1">
        <v>3</v>
      </c>
      <c r="G68" s="1" t="s">
        <v>18</v>
      </c>
      <c r="H68" s="1">
        <v>4</v>
      </c>
      <c r="I68" s="1" t="s">
        <v>19</v>
      </c>
      <c r="J68" s="1" t="s">
        <v>20</v>
      </c>
      <c r="K68" s="1" t="s">
        <v>18</v>
      </c>
      <c r="L68" s="1">
        <v>196.00000199999999</v>
      </c>
      <c r="M68" s="1">
        <v>200.20177699999999</v>
      </c>
      <c r="N68" s="2">
        <f t="shared" si="2"/>
        <v>2.1437627332269098E-2</v>
      </c>
      <c r="O68" s="4">
        <v>19.16</v>
      </c>
      <c r="P68" s="5">
        <v>1.7130002379417419E-4</v>
      </c>
    </row>
    <row r="69" spans="1:16">
      <c r="A69" s="1" t="s">
        <v>87</v>
      </c>
      <c r="B69" s="1">
        <v>9</v>
      </c>
      <c r="C69" s="1">
        <v>2</v>
      </c>
      <c r="D69" s="1" t="s">
        <v>17</v>
      </c>
      <c r="E69" s="1">
        <v>5</v>
      </c>
      <c r="F69" s="1">
        <v>1</v>
      </c>
      <c r="G69" s="1" t="s">
        <v>18</v>
      </c>
      <c r="H69" s="1">
        <v>3</v>
      </c>
      <c r="I69" s="1" t="s">
        <v>19</v>
      </c>
      <c r="J69" s="1" t="s">
        <v>20</v>
      </c>
      <c r="K69" s="1" t="s">
        <v>17</v>
      </c>
      <c r="L69" s="1">
        <v>330.11999700000001</v>
      </c>
      <c r="M69" s="1">
        <v>322.67703999999998</v>
      </c>
      <c r="N69" s="2">
        <f t="shared" si="2"/>
        <v>2.2546216732214606E-2</v>
      </c>
      <c r="O69" s="4">
        <v>20.059999999999999</v>
      </c>
      <c r="P69" s="5">
        <v>2.5289994664490218E-4</v>
      </c>
    </row>
    <row r="70" spans="1:16">
      <c r="A70" s="1" t="s">
        <v>88</v>
      </c>
      <c r="B70" s="1">
        <v>6</v>
      </c>
      <c r="C70" s="1">
        <v>2</v>
      </c>
      <c r="D70" s="1" t="s">
        <v>17</v>
      </c>
      <c r="E70" s="1">
        <v>5</v>
      </c>
      <c r="F70" s="1">
        <v>2</v>
      </c>
      <c r="G70" s="1" t="s">
        <v>18</v>
      </c>
      <c r="H70" s="1">
        <v>3</v>
      </c>
      <c r="I70" s="1" t="s">
        <v>19</v>
      </c>
      <c r="J70" s="1" t="s">
        <v>20</v>
      </c>
      <c r="K70" s="1" t="s">
        <v>17</v>
      </c>
      <c r="L70" s="1">
        <v>239.39999700000001</v>
      </c>
      <c r="M70" s="1">
        <v>254.19559699999999</v>
      </c>
      <c r="N70" s="2">
        <f t="shared" si="2"/>
        <v>6.1802841208890985E-2</v>
      </c>
      <c r="O70" s="4">
        <v>19.27</v>
      </c>
      <c r="P70" s="5">
        <v>2.4759996449574828E-4</v>
      </c>
    </row>
    <row r="71" spans="1:16">
      <c r="A71" s="1" t="s">
        <v>89</v>
      </c>
      <c r="B71" s="1">
        <v>5</v>
      </c>
      <c r="C71" s="1">
        <v>1</v>
      </c>
      <c r="D71" s="1" t="s">
        <v>17</v>
      </c>
      <c r="E71" s="1">
        <v>8</v>
      </c>
      <c r="F71" s="1">
        <v>4</v>
      </c>
      <c r="G71" s="1" t="s">
        <v>18</v>
      </c>
      <c r="H71" s="1">
        <v>6</v>
      </c>
      <c r="I71" s="1" t="s">
        <v>19</v>
      </c>
      <c r="J71" s="1" t="s">
        <v>20</v>
      </c>
      <c r="K71" s="1" t="s">
        <v>18</v>
      </c>
      <c r="L71" s="1">
        <v>313.60000300000002</v>
      </c>
      <c r="M71" s="1">
        <v>314.06323700000002</v>
      </c>
      <c r="N71" s="2">
        <f t="shared" si="2"/>
        <v>1.4771492205629855E-3</v>
      </c>
      <c r="O71" s="4">
        <v>19.39</v>
      </c>
      <c r="P71" s="5">
        <v>1.743999891914427E-4</v>
      </c>
    </row>
    <row r="72" spans="1:16">
      <c r="A72" s="1" t="s">
        <v>90</v>
      </c>
      <c r="B72" s="1">
        <v>10</v>
      </c>
      <c r="C72" s="1">
        <v>6</v>
      </c>
      <c r="D72" s="1" t="s">
        <v>18</v>
      </c>
      <c r="E72" s="1">
        <v>10</v>
      </c>
      <c r="F72" s="1">
        <v>0</v>
      </c>
      <c r="G72" s="1" t="s">
        <v>18</v>
      </c>
      <c r="H72" s="1">
        <v>3</v>
      </c>
      <c r="I72" s="1" t="s">
        <v>19</v>
      </c>
      <c r="J72" s="1" t="s">
        <v>20</v>
      </c>
      <c r="K72" s="1" t="s">
        <v>18</v>
      </c>
      <c r="L72" s="1">
        <v>218.120002</v>
      </c>
      <c r="M72" s="1">
        <v>229.30236600000001</v>
      </c>
      <c r="N72" s="2">
        <f t="shared" si="2"/>
        <v>5.1267026854327678E-2</v>
      </c>
      <c r="O72" s="4">
        <v>20</v>
      </c>
      <c r="P72" s="5">
        <v>1.855000155046582E-4</v>
      </c>
    </row>
    <row r="73" spans="1:16">
      <c r="A73" s="1" t="s">
        <v>91</v>
      </c>
      <c r="B73" s="1">
        <v>4</v>
      </c>
      <c r="C73" s="1">
        <v>2</v>
      </c>
      <c r="D73" s="1" t="s">
        <v>18</v>
      </c>
      <c r="E73" s="1">
        <v>5</v>
      </c>
      <c r="F73" s="1">
        <v>2</v>
      </c>
      <c r="G73" s="1" t="s">
        <v>18</v>
      </c>
      <c r="H73" s="1">
        <v>0</v>
      </c>
      <c r="I73" s="1" t="s">
        <v>19</v>
      </c>
      <c r="J73" s="1" t="s">
        <v>20</v>
      </c>
      <c r="K73" s="1" t="s">
        <v>17</v>
      </c>
      <c r="L73" s="1">
        <v>69.16</v>
      </c>
      <c r="M73" s="1">
        <v>69.325550000000007</v>
      </c>
      <c r="N73" s="2">
        <f t="shared" si="2"/>
        <v>2.3937246963564242E-3</v>
      </c>
      <c r="O73" s="4">
        <v>19.53</v>
      </c>
      <c r="P73" s="5">
        <v>1.7569999909028411E-4</v>
      </c>
    </row>
    <row r="74" spans="1:16">
      <c r="A74" s="1" t="s">
        <v>92</v>
      </c>
      <c r="B74" s="1">
        <v>4</v>
      </c>
      <c r="C74" s="1">
        <v>1</v>
      </c>
      <c r="D74" s="1" t="s">
        <v>18</v>
      </c>
      <c r="E74" s="1">
        <v>12</v>
      </c>
      <c r="F74" s="1">
        <v>2</v>
      </c>
      <c r="G74" s="1" t="s">
        <v>18</v>
      </c>
      <c r="H74" s="1">
        <v>0</v>
      </c>
      <c r="I74" s="1" t="s">
        <v>19</v>
      </c>
      <c r="J74" s="1" t="s">
        <v>20</v>
      </c>
      <c r="K74" s="1" t="s">
        <v>17</v>
      </c>
      <c r="L74" s="1">
        <v>75.040000000000006</v>
      </c>
      <c r="M74" s="1">
        <v>81.424147000000005</v>
      </c>
      <c r="N74" s="2">
        <f t="shared" si="2"/>
        <v>8.5076585820895501E-2</v>
      </c>
      <c r="O74" s="4">
        <v>19.55</v>
      </c>
      <c r="P74" s="5">
        <v>1.6960001084953549E-4</v>
      </c>
    </row>
    <row r="75" spans="1:16">
      <c r="A75" s="1" t="s">
        <v>93</v>
      </c>
      <c r="B75" s="1">
        <v>10</v>
      </c>
      <c r="C75" s="1">
        <v>1</v>
      </c>
      <c r="D75" s="1" t="s">
        <v>18</v>
      </c>
      <c r="E75" s="1">
        <v>12</v>
      </c>
      <c r="F75" s="1">
        <v>4</v>
      </c>
      <c r="G75" s="1" t="s">
        <v>18</v>
      </c>
      <c r="H75" s="1">
        <v>3</v>
      </c>
      <c r="I75" s="1" t="s">
        <v>19</v>
      </c>
      <c r="J75" s="1" t="s">
        <v>20</v>
      </c>
      <c r="K75" s="1" t="s">
        <v>18</v>
      </c>
      <c r="L75" s="1">
        <v>311.08000299999998</v>
      </c>
      <c r="M75" s="1">
        <v>315.23683</v>
      </c>
      <c r="N75" s="2">
        <f t="shared" si="2"/>
        <v>1.3362565770580957E-2</v>
      </c>
      <c r="O75" s="4">
        <v>20.190000000000001</v>
      </c>
      <c r="P75" s="5">
        <v>2.5719997938722372E-4</v>
      </c>
    </row>
    <row r="76" spans="1:16">
      <c r="A76" s="1" t="s">
        <v>94</v>
      </c>
      <c r="B76" s="1">
        <v>12</v>
      </c>
      <c r="C76" s="1">
        <v>6</v>
      </c>
      <c r="D76" s="1" t="s">
        <v>17</v>
      </c>
      <c r="E76" s="1">
        <v>8</v>
      </c>
      <c r="F76" s="1">
        <v>0</v>
      </c>
      <c r="G76" s="1" t="s">
        <v>18</v>
      </c>
      <c r="H76" s="1">
        <v>4</v>
      </c>
      <c r="I76" s="1" t="s">
        <v>19</v>
      </c>
      <c r="J76" s="1" t="s">
        <v>20</v>
      </c>
      <c r="K76" s="1" t="s">
        <v>18</v>
      </c>
      <c r="L76" s="1">
        <v>488.88000299999999</v>
      </c>
      <c r="M76" s="1">
        <v>503.65017699999999</v>
      </c>
      <c r="N76" s="2">
        <f t="shared" si="2"/>
        <v>3.0212268674036966E-2</v>
      </c>
      <c r="O76" s="4">
        <v>19.84</v>
      </c>
      <c r="P76" s="5">
        <v>1.983999973163009E-4</v>
      </c>
    </row>
    <row r="77" spans="1:16">
      <c r="A77" s="1" t="s">
        <v>95</v>
      </c>
      <c r="B77" s="1">
        <v>14</v>
      </c>
      <c r="C77" s="1">
        <v>6</v>
      </c>
      <c r="D77" s="1" t="s">
        <v>18</v>
      </c>
      <c r="E77" s="1">
        <v>8</v>
      </c>
      <c r="F77" s="1">
        <v>4</v>
      </c>
      <c r="G77" s="1" t="s">
        <v>18</v>
      </c>
      <c r="H77" s="1">
        <v>6</v>
      </c>
      <c r="I77" s="1" t="s">
        <v>19</v>
      </c>
      <c r="J77" s="1" t="s">
        <v>20</v>
      </c>
      <c r="K77" s="1" t="s">
        <v>18</v>
      </c>
      <c r="L77" s="1">
        <v>457.240005</v>
      </c>
      <c r="M77" s="1">
        <v>451.53716700000001</v>
      </c>
      <c r="N77" s="2">
        <f t="shared" si="2"/>
        <v>1.2472307623214171E-2</v>
      </c>
      <c r="O77" s="4">
        <v>20.34</v>
      </c>
      <c r="P77" s="5">
        <v>2.8069998370483518E-4</v>
      </c>
    </row>
    <row r="78" spans="1:16">
      <c r="A78" s="1" t="s">
        <v>96</v>
      </c>
      <c r="B78" s="1">
        <v>8</v>
      </c>
      <c r="C78" s="1">
        <v>3</v>
      </c>
      <c r="D78" s="1" t="s">
        <v>18</v>
      </c>
      <c r="E78" s="1">
        <v>9</v>
      </c>
      <c r="F78" s="1">
        <v>8</v>
      </c>
      <c r="G78" s="1" t="s">
        <v>18</v>
      </c>
      <c r="H78" s="1">
        <v>0</v>
      </c>
      <c r="I78" s="1" t="s">
        <v>19</v>
      </c>
      <c r="J78" s="1" t="s">
        <v>20</v>
      </c>
      <c r="K78" s="1" t="s">
        <v>17</v>
      </c>
      <c r="L78" s="1">
        <v>67.760000000000005</v>
      </c>
      <c r="M78" s="1">
        <v>91.109756000000004</v>
      </c>
      <c r="N78" s="2">
        <f t="shared" si="2"/>
        <v>0.34459498229043678</v>
      </c>
      <c r="O78" s="4">
        <v>19.98</v>
      </c>
      <c r="P78" s="5">
        <v>2.4500000290572638E-4</v>
      </c>
    </row>
    <row r="79" spans="1:16">
      <c r="A79" s="1" t="s">
        <v>97</v>
      </c>
      <c r="B79" s="1">
        <v>12</v>
      </c>
      <c r="C79" s="1">
        <v>4</v>
      </c>
      <c r="D79" s="1" t="s">
        <v>17</v>
      </c>
      <c r="E79" s="1">
        <v>8</v>
      </c>
      <c r="F79" s="1">
        <v>1</v>
      </c>
      <c r="G79" s="1" t="s">
        <v>18</v>
      </c>
      <c r="H79" s="1">
        <v>2</v>
      </c>
      <c r="I79" s="1" t="s">
        <v>19</v>
      </c>
      <c r="J79" s="1" t="s">
        <v>20</v>
      </c>
      <c r="K79" s="1" t="s">
        <v>17</v>
      </c>
      <c r="L79" s="1">
        <v>436.51999699999999</v>
      </c>
      <c r="M79" s="1">
        <v>445.20612199999999</v>
      </c>
      <c r="N79" s="2">
        <f t="shared" si="2"/>
        <v>1.9898572939832593E-2</v>
      </c>
      <c r="O79" s="4">
        <v>20.07</v>
      </c>
      <c r="P79" s="5">
        <v>2.6779994368553162E-4</v>
      </c>
    </row>
    <row r="80" spans="1:16">
      <c r="A80" s="1" t="s">
        <v>98</v>
      </c>
      <c r="B80" s="1">
        <v>4</v>
      </c>
      <c r="C80" s="1">
        <v>3</v>
      </c>
      <c r="D80" s="1" t="s">
        <v>17</v>
      </c>
      <c r="E80" s="1">
        <v>5</v>
      </c>
      <c r="F80" s="1">
        <v>2</v>
      </c>
      <c r="G80" s="1" t="s">
        <v>18</v>
      </c>
      <c r="H80" s="1">
        <v>2</v>
      </c>
      <c r="I80" s="1" t="s">
        <v>19</v>
      </c>
      <c r="J80" s="1" t="s">
        <v>20</v>
      </c>
      <c r="K80" s="1" t="s">
        <v>18</v>
      </c>
      <c r="L80" s="1">
        <v>128.24000100000001</v>
      </c>
      <c r="M80" s="1">
        <v>143.97817000000001</v>
      </c>
      <c r="N80" s="2">
        <f t="shared" si="2"/>
        <v>0.12272433622329743</v>
      </c>
      <c r="O80" s="4">
        <v>19.59</v>
      </c>
      <c r="P80" s="5">
        <v>1.7489999299868941E-4</v>
      </c>
    </row>
    <row r="81" spans="1:16">
      <c r="A81" s="1" t="s">
        <v>99</v>
      </c>
      <c r="B81" s="1">
        <v>4</v>
      </c>
      <c r="C81" s="1">
        <v>1</v>
      </c>
      <c r="D81" s="1" t="s">
        <v>17</v>
      </c>
      <c r="E81" s="1">
        <v>6</v>
      </c>
      <c r="F81" s="1">
        <v>3</v>
      </c>
      <c r="G81" s="1" t="s">
        <v>18</v>
      </c>
      <c r="H81" s="1">
        <v>6</v>
      </c>
      <c r="I81" s="1" t="s">
        <v>19</v>
      </c>
      <c r="J81" s="1" t="s">
        <v>20</v>
      </c>
      <c r="K81" s="1" t="s">
        <v>18</v>
      </c>
      <c r="L81" s="1">
        <v>222.60000199999999</v>
      </c>
      <c r="M81" s="1">
        <v>243.26863</v>
      </c>
      <c r="N81" s="2">
        <f t="shared" si="2"/>
        <v>9.2850978500889747E-2</v>
      </c>
      <c r="O81" s="4">
        <v>19.13</v>
      </c>
      <c r="P81" s="5">
        <v>1.802000333555043E-4</v>
      </c>
    </row>
    <row r="82" spans="1:16">
      <c r="A82" s="1" t="s">
        <v>100</v>
      </c>
      <c r="B82" s="1">
        <v>10</v>
      </c>
      <c r="C82" s="1">
        <v>0</v>
      </c>
      <c r="D82" s="1" t="s">
        <v>18</v>
      </c>
      <c r="E82" s="1">
        <v>9</v>
      </c>
      <c r="F82" s="1">
        <v>2</v>
      </c>
      <c r="G82" s="1" t="s">
        <v>18</v>
      </c>
      <c r="H82" s="1">
        <v>0</v>
      </c>
      <c r="I82" s="1" t="s">
        <v>19</v>
      </c>
      <c r="J82" s="1" t="s">
        <v>20</v>
      </c>
      <c r="K82" s="1" t="s">
        <v>18</v>
      </c>
      <c r="L82" s="1">
        <v>139.16</v>
      </c>
      <c r="M82" s="1">
        <v>136.850933</v>
      </c>
      <c r="N82" s="2">
        <f t="shared" si="2"/>
        <v>1.6592893072722038E-2</v>
      </c>
      <c r="O82" s="4">
        <v>19.809999999999999</v>
      </c>
      <c r="P82" s="5">
        <v>2.588999923318624E-4</v>
      </c>
    </row>
    <row r="83" spans="1:16">
      <c r="A83" s="1" t="s">
        <v>101</v>
      </c>
      <c r="B83" s="1">
        <v>12</v>
      </c>
      <c r="C83" s="1">
        <v>0</v>
      </c>
      <c r="D83" s="1" t="s">
        <v>17</v>
      </c>
      <c r="E83" s="1">
        <v>16</v>
      </c>
      <c r="F83" s="1">
        <v>6</v>
      </c>
      <c r="G83" s="1" t="s">
        <v>18</v>
      </c>
      <c r="H83" s="1">
        <v>2</v>
      </c>
      <c r="I83" s="1" t="s">
        <v>19</v>
      </c>
      <c r="J83" s="1" t="s">
        <v>20</v>
      </c>
      <c r="K83" s="1" t="s">
        <v>17</v>
      </c>
      <c r="L83" s="1">
        <v>477.95999599999999</v>
      </c>
      <c r="M83" s="1">
        <v>488.014475</v>
      </c>
      <c r="N83" s="2">
        <f t="shared" si="2"/>
        <v>2.1036235425861905E-2</v>
      </c>
      <c r="O83" s="4">
        <v>19.920000000000002</v>
      </c>
      <c r="P83" s="5">
        <v>2.6299996534362441E-4</v>
      </c>
    </row>
    <row r="84" spans="1:16">
      <c r="A84" s="1" t="s">
        <v>102</v>
      </c>
      <c r="B84" s="1">
        <v>14</v>
      </c>
      <c r="C84" s="1">
        <v>2</v>
      </c>
      <c r="D84" s="1" t="s">
        <v>18</v>
      </c>
      <c r="E84" s="1">
        <v>10</v>
      </c>
      <c r="F84" s="1">
        <v>3</v>
      </c>
      <c r="G84" s="1" t="s">
        <v>18</v>
      </c>
      <c r="H84" s="1">
        <v>6</v>
      </c>
      <c r="I84" s="1" t="s">
        <v>19</v>
      </c>
      <c r="J84" s="1" t="s">
        <v>20</v>
      </c>
      <c r="K84" s="1" t="s">
        <v>17</v>
      </c>
      <c r="L84" s="1">
        <v>550.47998800000005</v>
      </c>
      <c r="M84" s="1">
        <v>533.82008800000006</v>
      </c>
      <c r="N84" s="2">
        <f t="shared" si="2"/>
        <v>3.0264315439565065E-2</v>
      </c>
      <c r="O84" s="4">
        <v>19.57</v>
      </c>
      <c r="P84" s="5">
        <v>2.5370001094415778E-4</v>
      </c>
    </row>
    <row r="85" spans="1:16">
      <c r="A85" s="1" t="s">
        <v>103</v>
      </c>
      <c r="B85" s="1">
        <v>8</v>
      </c>
      <c r="C85" s="1">
        <v>6</v>
      </c>
      <c r="D85" s="1" t="s">
        <v>18</v>
      </c>
      <c r="E85" s="1">
        <v>12</v>
      </c>
      <c r="F85" s="1">
        <v>8</v>
      </c>
      <c r="G85" s="1" t="s">
        <v>18</v>
      </c>
      <c r="H85" s="1">
        <v>4</v>
      </c>
      <c r="I85" s="1" t="s">
        <v>19</v>
      </c>
      <c r="J85" s="1" t="s">
        <v>20</v>
      </c>
      <c r="K85" s="1" t="s">
        <v>18</v>
      </c>
      <c r="L85" s="1">
        <v>344.96000400000003</v>
      </c>
      <c r="M85" s="1">
        <v>349.98571600000002</v>
      </c>
      <c r="N85" s="2">
        <f t="shared" si="2"/>
        <v>1.4568970146463699E-2</v>
      </c>
      <c r="O85" s="4">
        <v>19.61</v>
      </c>
      <c r="P85" s="5">
        <v>1.78599962964654E-4</v>
      </c>
    </row>
    <row r="86" spans="1:16">
      <c r="A86" s="1" t="s">
        <v>104</v>
      </c>
      <c r="B86" s="1">
        <v>8</v>
      </c>
      <c r="C86" s="1">
        <v>0</v>
      </c>
      <c r="D86" s="1" t="s">
        <v>17</v>
      </c>
      <c r="E86" s="1">
        <v>10</v>
      </c>
      <c r="F86" s="1">
        <v>4</v>
      </c>
      <c r="G86" s="1" t="s">
        <v>18</v>
      </c>
      <c r="H86" s="1">
        <v>2</v>
      </c>
      <c r="I86" s="1" t="s">
        <v>19</v>
      </c>
      <c r="J86" s="1" t="s">
        <v>20</v>
      </c>
      <c r="K86" s="1" t="s">
        <v>18</v>
      </c>
      <c r="L86" s="1">
        <v>285.88000099999999</v>
      </c>
      <c r="M86" s="1">
        <v>285.572789</v>
      </c>
      <c r="N86" s="2">
        <f t="shared" si="2"/>
        <v>1.0746187173827271E-3</v>
      </c>
      <c r="O86" s="4">
        <v>19.3</v>
      </c>
      <c r="P86" s="5">
        <v>2.4529994698241348E-4</v>
      </c>
    </row>
    <row r="87" spans="1:16">
      <c r="A87" s="1" t="s">
        <v>105</v>
      </c>
      <c r="B87" s="1">
        <v>14</v>
      </c>
      <c r="C87" s="1">
        <v>2</v>
      </c>
      <c r="D87" s="1" t="s">
        <v>17</v>
      </c>
      <c r="E87" s="1">
        <v>12</v>
      </c>
      <c r="F87" s="1">
        <v>4</v>
      </c>
      <c r="G87" s="1" t="s">
        <v>18</v>
      </c>
      <c r="H87" s="1">
        <v>6</v>
      </c>
      <c r="I87" s="1" t="s">
        <v>19</v>
      </c>
      <c r="J87" s="1" t="s">
        <v>20</v>
      </c>
      <c r="K87" s="1" t="s">
        <v>17</v>
      </c>
      <c r="L87" s="1">
        <v>792.67998699999998</v>
      </c>
      <c r="M87" s="1">
        <v>791.73593600000004</v>
      </c>
      <c r="N87" s="2">
        <f t="shared" si="2"/>
        <v>1.1909610630802326E-3</v>
      </c>
      <c r="O87" s="4">
        <v>19.8</v>
      </c>
      <c r="P87" s="5">
        <v>2.7989997761324048E-4</v>
      </c>
    </row>
    <row r="88" spans="1:16">
      <c r="A88" s="1" t="s">
        <v>106</v>
      </c>
      <c r="B88" s="1">
        <v>9</v>
      </c>
      <c r="C88" s="1">
        <v>6</v>
      </c>
      <c r="D88" s="1" t="s">
        <v>18</v>
      </c>
      <c r="E88" s="1">
        <v>8</v>
      </c>
      <c r="F88" s="1">
        <v>6</v>
      </c>
      <c r="G88" s="1" t="s">
        <v>18</v>
      </c>
      <c r="H88" s="1">
        <v>0</v>
      </c>
      <c r="I88" s="1" t="s">
        <v>19</v>
      </c>
      <c r="J88" s="1" t="s">
        <v>20</v>
      </c>
      <c r="K88" s="1" t="s">
        <v>17</v>
      </c>
      <c r="L88" s="1">
        <v>141.96</v>
      </c>
      <c r="M88" s="1">
        <v>142.90295399999999</v>
      </c>
      <c r="N88" s="2">
        <f t="shared" si="2"/>
        <v>6.6423922231613553E-3</v>
      </c>
      <c r="O88" s="4">
        <v>19.510000000000002</v>
      </c>
      <c r="P88" s="5">
        <v>2.4630001280456781E-4</v>
      </c>
    </row>
    <row r="89" spans="1:16">
      <c r="A89" s="1" t="s">
        <v>107</v>
      </c>
      <c r="B89" s="1">
        <v>10</v>
      </c>
      <c r="C89" s="1">
        <v>3</v>
      </c>
      <c r="D89" s="1" t="s">
        <v>18</v>
      </c>
      <c r="E89" s="1">
        <v>5</v>
      </c>
      <c r="F89" s="1">
        <v>0</v>
      </c>
      <c r="G89" s="1" t="s">
        <v>18</v>
      </c>
      <c r="H89" s="1">
        <v>2</v>
      </c>
      <c r="I89" s="1" t="s">
        <v>19</v>
      </c>
      <c r="J89" s="1" t="s">
        <v>20</v>
      </c>
      <c r="K89" s="1" t="s">
        <v>17</v>
      </c>
      <c r="L89" s="1">
        <v>188.439998</v>
      </c>
      <c r="M89" s="1">
        <v>187.19606400000001</v>
      </c>
      <c r="N89" s="2">
        <f t="shared" si="2"/>
        <v>6.6012206177161808E-3</v>
      </c>
      <c r="O89" s="4">
        <v>20.010000000000002</v>
      </c>
      <c r="P89" s="5">
        <v>2.5000004097819328E-4</v>
      </c>
    </row>
    <row r="90" spans="1:16">
      <c r="A90" s="1" t="s">
        <v>108</v>
      </c>
      <c r="B90" s="1">
        <v>5</v>
      </c>
      <c r="C90" s="1">
        <v>3</v>
      </c>
      <c r="D90" s="1" t="s">
        <v>17</v>
      </c>
      <c r="E90" s="1">
        <v>6</v>
      </c>
      <c r="F90" s="1">
        <v>0</v>
      </c>
      <c r="G90" s="1" t="s">
        <v>18</v>
      </c>
      <c r="H90" s="1">
        <v>4</v>
      </c>
      <c r="I90" s="1" t="s">
        <v>19</v>
      </c>
      <c r="J90" s="1" t="s">
        <v>20</v>
      </c>
      <c r="K90" s="1" t="s">
        <v>17</v>
      </c>
      <c r="L90" s="1">
        <v>204.95999699999999</v>
      </c>
      <c r="M90" s="1">
        <v>203.533996</v>
      </c>
      <c r="N90" s="2">
        <f t="shared" si="2"/>
        <v>6.9574600940298867E-3</v>
      </c>
      <c r="O90" s="4">
        <v>19.850000000000001</v>
      </c>
      <c r="P90" s="5">
        <v>1.7130002379417419E-4</v>
      </c>
    </row>
    <row r="91" spans="1:16">
      <c r="A91" s="1" t="s">
        <v>109</v>
      </c>
      <c r="B91" s="1">
        <v>14</v>
      </c>
      <c r="C91" s="1">
        <v>0</v>
      </c>
      <c r="D91" s="1" t="s">
        <v>18</v>
      </c>
      <c r="E91" s="1">
        <v>12</v>
      </c>
      <c r="F91" s="1">
        <v>2</v>
      </c>
      <c r="G91" s="1" t="s">
        <v>18</v>
      </c>
      <c r="H91" s="1">
        <v>1</v>
      </c>
      <c r="I91" s="1" t="s">
        <v>19</v>
      </c>
      <c r="J91" s="1" t="s">
        <v>20</v>
      </c>
      <c r="K91" s="1" t="s">
        <v>18</v>
      </c>
      <c r="L91" s="1">
        <v>247.24000100000001</v>
      </c>
      <c r="M91" s="1">
        <v>244.33722299999999</v>
      </c>
      <c r="N91" s="2">
        <f t="shared" si="2"/>
        <v>1.1740729607908439E-2</v>
      </c>
      <c r="O91" s="4">
        <v>19.63</v>
      </c>
      <c r="P91" s="5">
        <v>2.536000101827085E-4</v>
      </c>
    </row>
    <row r="92" spans="1:16">
      <c r="A92" s="1" t="s">
        <v>110</v>
      </c>
      <c r="B92" s="1">
        <v>4</v>
      </c>
      <c r="C92" s="1">
        <v>0</v>
      </c>
      <c r="D92" s="1" t="s">
        <v>18</v>
      </c>
      <c r="E92" s="1">
        <v>9</v>
      </c>
      <c r="F92" s="1">
        <v>2</v>
      </c>
      <c r="G92" s="1" t="s">
        <v>18</v>
      </c>
      <c r="H92" s="1">
        <v>0</v>
      </c>
      <c r="I92" s="1" t="s">
        <v>19</v>
      </c>
      <c r="J92" s="1" t="s">
        <v>20</v>
      </c>
      <c r="K92" s="1" t="s">
        <v>17</v>
      </c>
      <c r="L92" s="1">
        <v>72.52</v>
      </c>
      <c r="M92" s="1">
        <v>76.239034000000004</v>
      </c>
      <c r="N92" s="2">
        <f t="shared" si="2"/>
        <v>5.1282873690016655E-2</v>
      </c>
      <c r="O92" s="4">
        <v>20.010000000000002</v>
      </c>
      <c r="P92" s="5">
        <v>1.6450003022328019E-4</v>
      </c>
    </row>
    <row r="93" spans="1:16">
      <c r="A93" s="1" t="s">
        <v>111</v>
      </c>
      <c r="B93" s="1">
        <v>8</v>
      </c>
      <c r="C93" s="1">
        <v>4</v>
      </c>
      <c r="D93" s="1" t="s">
        <v>18</v>
      </c>
      <c r="E93" s="1">
        <v>16</v>
      </c>
      <c r="F93" s="1">
        <v>4</v>
      </c>
      <c r="G93" s="1" t="s">
        <v>18</v>
      </c>
      <c r="H93" s="1">
        <v>0</v>
      </c>
      <c r="I93" s="1" t="s">
        <v>19</v>
      </c>
      <c r="J93" s="1" t="s">
        <v>20</v>
      </c>
      <c r="K93" s="1" t="s">
        <v>17</v>
      </c>
      <c r="L93" s="1">
        <v>146.719999</v>
      </c>
      <c r="M93" s="1">
        <v>155.29920000000001</v>
      </c>
      <c r="N93" s="2">
        <f t="shared" si="2"/>
        <v>5.8473289656988149E-2</v>
      </c>
      <c r="O93" s="4">
        <v>20.059999999999999</v>
      </c>
      <c r="P93" s="5">
        <v>1.7080001998692751E-4</v>
      </c>
    </row>
    <row r="94" spans="1:16">
      <c r="A94" s="1" t="s">
        <v>112</v>
      </c>
      <c r="B94" s="1">
        <v>10</v>
      </c>
      <c r="C94" s="1">
        <v>4</v>
      </c>
      <c r="D94" s="1" t="s">
        <v>18</v>
      </c>
      <c r="E94" s="1">
        <v>12</v>
      </c>
      <c r="F94" s="1">
        <v>6</v>
      </c>
      <c r="G94" s="1" t="s">
        <v>18</v>
      </c>
      <c r="H94" s="1">
        <v>6</v>
      </c>
      <c r="I94" s="1" t="s">
        <v>19</v>
      </c>
      <c r="J94" s="1" t="s">
        <v>20</v>
      </c>
      <c r="K94" s="1" t="s">
        <v>18</v>
      </c>
      <c r="L94" s="1">
        <v>514.360006</v>
      </c>
      <c r="M94" s="1">
        <v>520.41722300000004</v>
      </c>
      <c r="N94" s="2">
        <f t="shared" si="2"/>
        <v>1.1776220797384541E-2</v>
      </c>
      <c r="O94" s="4">
        <v>19.489999999999998</v>
      </c>
      <c r="P94" s="5">
        <v>1.7889996524900201E-4</v>
      </c>
    </row>
    <row r="95" spans="1:16">
      <c r="A95" s="1" t="s">
        <v>113</v>
      </c>
      <c r="B95" s="1">
        <v>8</v>
      </c>
      <c r="C95" s="1">
        <v>0</v>
      </c>
      <c r="D95" s="1" t="s">
        <v>18</v>
      </c>
      <c r="E95" s="1">
        <v>6</v>
      </c>
      <c r="F95" s="1">
        <v>3</v>
      </c>
      <c r="G95" s="1" t="s">
        <v>18</v>
      </c>
      <c r="H95" s="1">
        <v>2</v>
      </c>
      <c r="I95" s="1" t="s">
        <v>19</v>
      </c>
      <c r="J95" s="1" t="s">
        <v>20</v>
      </c>
      <c r="K95" s="1" t="s">
        <v>18</v>
      </c>
      <c r="L95" s="1">
        <v>79.52</v>
      </c>
      <c r="M95" s="1">
        <v>94.384251000000006</v>
      </c>
      <c r="N95" s="2">
        <f t="shared" si="2"/>
        <v>0.18692468561368222</v>
      </c>
      <c r="O95" s="4">
        <v>19.8</v>
      </c>
      <c r="P95" s="5">
        <v>2.4429999757558107E-4</v>
      </c>
    </row>
    <row r="96" spans="1:16">
      <c r="A96" s="1" t="s">
        <v>114</v>
      </c>
      <c r="B96" s="1">
        <v>6</v>
      </c>
      <c r="C96" s="1">
        <v>0</v>
      </c>
      <c r="D96" s="1" t="s">
        <v>17</v>
      </c>
      <c r="E96" s="1">
        <v>8</v>
      </c>
      <c r="F96" s="1">
        <v>2</v>
      </c>
      <c r="G96" s="1" t="s">
        <v>18</v>
      </c>
      <c r="H96" s="1">
        <v>1</v>
      </c>
      <c r="I96" s="1" t="s">
        <v>19</v>
      </c>
      <c r="J96" s="1" t="s">
        <v>20</v>
      </c>
      <c r="K96" s="1" t="s">
        <v>17</v>
      </c>
      <c r="L96" s="1">
        <v>208.039998</v>
      </c>
      <c r="M96" s="1">
        <v>210.041102</v>
      </c>
      <c r="N96" s="2">
        <f t="shared" si="2"/>
        <v>9.6188426227537174E-3</v>
      </c>
      <c r="O96" s="4">
        <v>19.829999999999998</v>
      </c>
      <c r="P96" s="5">
        <v>1.7170002683997149E-4</v>
      </c>
    </row>
    <row r="97" spans="1:16">
      <c r="A97" s="1" t="s">
        <v>115</v>
      </c>
      <c r="B97" s="1">
        <v>6</v>
      </c>
      <c r="C97" s="1">
        <v>4</v>
      </c>
      <c r="D97" s="1" t="s">
        <v>18</v>
      </c>
      <c r="E97" s="1">
        <v>16</v>
      </c>
      <c r="F97" s="1">
        <v>8</v>
      </c>
      <c r="G97" s="1" t="s">
        <v>18</v>
      </c>
      <c r="H97" s="1">
        <v>4</v>
      </c>
      <c r="I97" s="1" t="s">
        <v>19</v>
      </c>
      <c r="J97" s="1" t="s">
        <v>20</v>
      </c>
      <c r="K97" s="1" t="s">
        <v>18</v>
      </c>
      <c r="L97" s="1">
        <v>269.36000300000001</v>
      </c>
      <c r="M97" s="1">
        <v>278.61841500000003</v>
      </c>
      <c r="N97" s="2">
        <f t="shared" si="2"/>
        <v>3.4371888539071707E-2</v>
      </c>
      <c r="O97" s="4">
        <v>19.66</v>
      </c>
      <c r="P97" s="5">
        <v>1.7190002836287019E-4</v>
      </c>
    </row>
    <row r="98" spans="1:16">
      <c r="A98" s="1" t="s">
        <v>116</v>
      </c>
      <c r="B98" s="1">
        <v>10</v>
      </c>
      <c r="C98" s="1">
        <v>0</v>
      </c>
      <c r="D98" s="1" t="s">
        <v>17</v>
      </c>
      <c r="E98" s="1">
        <v>9</v>
      </c>
      <c r="F98" s="1">
        <v>1</v>
      </c>
      <c r="G98" s="1" t="s">
        <v>18</v>
      </c>
      <c r="H98" s="1">
        <v>6</v>
      </c>
      <c r="I98" s="1" t="s">
        <v>19</v>
      </c>
      <c r="J98" s="1" t="s">
        <v>20</v>
      </c>
      <c r="K98" s="1" t="s">
        <v>18</v>
      </c>
      <c r="L98" s="1">
        <v>557.76000499999998</v>
      </c>
      <c r="M98" s="1">
        <v>559.64014799999995</v>
      </c>
      <c r="N98" s="2">
        <f t="shared" ref="N98:N129" si="3">ABS(M98-L98)/L98</f>
        <v>3.370881711032643E-3</v>
      </c>
      <c r="O98" s="4">
        <v>19.87</v>
      </c>
      <c r="P98" s="5">
        <v>4.6169996494427318E-4</v>
      </c>
    </row>
    <row r="99" spans="1:16">
      <c r="A99" s="1" t="s">
        <v>117</v>
      </c>
      <c r="B99" s="1">
        <v>9</v>
      </c>
      <c r="C99" s="1">
        <v>3</v>
      </c>
      <c r="D99" s="1" t="s">
        <v>18</v>
      </c>
      <c r="E99" s="1">
        <v>5</v>
      </c>
      <c r="F99" s="1">
        <v>2</v>
      </c>
      <c r="G99" s="1" t="s">
        <v>18</v>
      </c>
      <c r="H99" s="1">
        <v>2</v>
      </c>
      <c r="I99" s="1" t="s">
        <v>19</v>
      </c>
      <c r="J99" s="1" t="s">
        <v>20</v>
      </c>
      <c r="K99" s="1" t="s">
        <v>18</v>
      </c>
      <c r="L99" s="1">
        <v>167.720001</v>
      </c>
      <c r="M99" s="1">
        <v>159.86569</v>
      </c>
      <c r="N99" s="2">
        <f t="shared" si="3"/>
        <v>4.6829900746303929E-2</v>
      </c>
      <c r="O99" s="4">
        <v>19.78</v>
      </c>
      <c r="P99" s="5">
        <v>4.7620001714676619E-4</v>
      </c>
    </row>
    <row r="100" spans="1:16">
      <c r="A100" s="1" t="s">
        <v>118</v>
      </c>
      <c r="B100" s="1">
        <v>6</v>
      </c>
      <c r="C100" s="1">
        <v>0</v>
      </c>
      <c r="D100" s="1" t="s">
        <v>18</v>
      </c>
      <c r="E100" s="1">
        <v>16</v>
      </c>
      <c r="F100" s="1">
        <v>2</v>
      </c>
      <c r="G100" s="1" t="s">
        <v>18</v>
      </c>
      <c r="H100" s="1">
        <v>6</v>
      </c>
      <c r="I100" s="1" t="s">
        <v>19</v>
      </c>
      <c r="J100" s="1" t="s">
        <v>20</v>
      </c>
      <c r="K100" s="1" t="s">
        <v>17</v>
      </c>
      <c r="L100" s="1">
        <v>400.399991</v>
      </c>
      <c r="M100" s="1">
        <v>396.21841499999999</v>
      </c>
      <c r="N100" s="2">
        <f t="shared" si="3"/>
        <v>1.0443496738240453E-2</v>
      </c>
      <c r="O100" s="4">
        <v>19.690000000000001</v>
      </c>
      <c r="P100" s="5">
        <v>3.2730004750192171E-4</v>
      </c>
    </row>
    <row r="101" spans="1:16">
      <c r="A101" s="1" t="s">
        <v>119</v>
      </c>
      <c r="B101" s="1">
        <v>8</v>
      </c>
      <c r="C101" s="1">
        <v>6</v>
      </c>
      <c r="D101" s="1" t="s">
        <v>17</v>
      </c>
      <c r="E101" s="1">
        <v>12</v>
      </c>
      <c r="F101" s="1">
        <v>0</v>
      </c>
      <c r="G101" s="1" t="s">
        <v>18</v>
      </c>
      <c r="H101" s="1">
        <v>3</v>
      </c>
      <c r="I101" s="1" t="s">
        <v>19</v>
      </c>
      <c r="J101" s="1" t="s">
        <v>20</v>
      </c>
      <c r="K101" s="1" t="s">
        <v>17</v>
      </c>
      <c r="L101" s="1">
        <v>267.11999800000001</v>
      </c>
      <c r="M101" s="1">
        <v>278.17220200000003</v>
      </c>
      <c r="N101" s="2">
        <f t="shared" si="3"/>
        <v>4.1375427084272505E-2</v>
      </c>
      <c r="O101" s="4">
        <v>19.87</v>
      </c>
      <c r="P101" s="5">
        <v>3.3990002702921629E-4</v>
      </c>
    </row>
    <row r="102" spans="1:16">
      <c r="N102" s="6">
        <f>AVERAGE(N2:N101)</f>
        <v>3.6203641328850865E-2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2"/>
  <sheetViews>
    <sheetView topLeftCell="G1" workbookViewId="0">
      <pane ySplit="1" topLeftCell="A87" activePane="bottomLeft" state="frozen"/>
      <selection pane="bottomLeft" activeCell="V103" sqref="V103"/>
    </sheetView>
  </sheetViews>
  <sheetFormatPr defaultRowHeight="14"/>
  <cols>
    <col min="1" max="1" width="6.6640625" customWidth="1"/>
    <col min="2" max="2" width="13.4140625" customWidth="1"/>
    <col min="3" max="3" width="14.1640625" customWidth="1"/>
    <col min="4" max="4" width="18.75" customWidth="1"/>
    <col min="5" max="5" width="13.4140625" customWidth="1"/>
    <col min="6" max="6" width="14.1640625" customWidth="1"/>
    <col min="7" max="7" width="18.75" customWidth="1"/>
    <col min="8" max="8" width="13.5" customWidth="1"/>
    <col min="9" max="9" width="14.25" customWidth="1"/>
    <col min="10" max="10" width="18.9140625" customWidth="1"/>
    <col min="11" max="11" width="12.5" customWidth="1"/>
    <col min="12" max="12" width="9.9140625" customWidth="1"/>
    <col min="13" max="13" width="9.75" customWidth="1"/>
    <col min="14" max="14" width="9.1640625" customWidth="1"/>
    <col min="15" max="15" width="8.1640625" customWidth="1"/>
    <col min="16" max="17" width="7.9140625" customWidth="1"/>
    <col min="18" max="18" width="8.4140625" customWidth="1"/>
    <col min="19" max="19" width="8" customWidth="1"/>
    <col min="20" max="20" width="15" customWidth="1"/>
    <col min="21" max="21" width="9.25" customWidth="1"/>
    <col min="22" max="22" width="6" customWidth="1"/>
    <col min="23" max="23" width="9.9140625" customWidth="1"/>
  </cols>
  <sheetData>
    <row r="1" spans="1:24">
      <c r="A1" s="3" t="s">
        <v>0</v>
      </c>
      <c r="B1" s="3" t="s">
        <v>253</v>
      </c>
      <c r="C1" s="3" t="s">
        <v>254</v>
      </c>
      <c r="D1" s="3" t="s">
        <v>255</v>
      </c>
      <c r="E1" s="3" t="s">
        <v>256</v>
      </c>
      <c r="F1" s="3" t="s">
        <v>257</v>
      </c>
      <c r="G1" s="3" t="s">
        <v>258</v>
      </c>
      <c r="H1" s="3" t="s">
        <v>4</v>
      </c>
      <c r="I1" s="3" t="s">
        <v>5</v>
      </c>
      <c r="J1" s="3" t="s">
        <v>6</v>
      </c>
      <c r="K1" s="3" t="s">
        <v>121</v>
      </c>
      <c r="L1" s="3" t="s">
        <v>8</v>
      </c>
      <c r="M1" s="3" t="s">
        <v>9</v>
      </c>
      <c r="N1" s="3" t="s">
        <v>10</v>
      </c>
      <c r="O1" s="3" t="s">
        <v>265</v>
      </c>
      <c r="P1" s="3" t="s">
        <v>266</v>
      </c>
      <c r="Q1" s="3" t="s">
        <v>267</v>
      </c>
      <c r="R1" s="3" t="s">
        <v>268</v>
      </c>
      <c r="S1" s="3" t="s">
        <v>269</v>
      </c>
      <c r="T1" s="3" t="s">
        <v>11</v>
      </c>
      <c r="U1" s="3" t="s">
        <v>270</v>
      </c>
      <c r="V1" s="3" t="s">
        <v>13</v>
      </c>
      <c r="W1" s="3" t="s">
        <v>14</v>
      </c>
      <c r="X1" s="3" t="s">
        <v>15</v>
      </c>
    </row>
    <row r="2" spans="1:24">
      <c r="A2" s="1" t="s">
        <v>16</v>
      </c>
      <c r="B2" s="1">
        <v>9</v>
      </c>
      <c r="C2" s="1">
        <v>4</v>
      </c>
      <c r="D2" s="1" t="s">
        <v>17</v>
      </c>
      <c r="E2" s="1">
        <v>6</v>
      </c>
      <c r="F2" s="1">
        <v>3</v>
      </c>
      <c r="G2" s="1" t="s">
        <v>17</v>
      </c>
      <c r="H2" s="1">
        <v>10</v>
      </c>
      <c r="I2" s="1">
        <v>4</v>
      </c>
      <c r="J2" s="1" t="s">
        <v>17</v>
      </c>
      <c r="K2" s="1">
        <v>6</v>
      </c>
      <c r="L2" s="1" t="s">
        <v>19</v>
      </c>
      <c r="M2" s="1" t="s">
        <v>20</v>
      </c>
      <c r="N2" s="1" t="s">
        <v>17</v>
      </c>
      <c r="O2" s="1" t="s">
        <v>18</v>
      </c>
      <c r="P2" s="1" t="s">
        <v>18</v>
      </c>
      <c r="Q2" s="1" t="s">
        <v>18</v>
      </c>
      <c r="R2" s="1" t="s">
        <v>17</v>
      </c>
      <c r="S2" s="1" t="s">
        <v>18</v>
      </c>
      <c r="T2" s="1">
        <v>493.91998699999999</v>
      </c>
      <c r="U2" s="1">
        <v>474.66342600000002</v>
      </c>
      <c r="V2" s="2">
        <f t="shared" ref="V2:V33" si="0">ABS(U2-T2)/T2</f>
        <v>3.8987207456336395E-2</v>
      </c>
      <c r="W2" s="4">
        <v>19.579999999999998</v>
      </c>
      <c r="X2" s="5">
        <v>1.8500001169741151E-4</v>
      </c>
    </row>
    <row r="3" spans="1:24">
      <c r="A3" s="1" t="s">
        <v>21</v>
      </c>
      <c r="B3" s="1">
        <v>12</v>
      </c>
      <c r="C3" s="1">
        <v>8</v>
      </c>
      <c r="D3" s="1" t="s">
        <v>17</v>
      </c>
      <c r="E3" s="1">
        <v>8</v>
      </c>
      <c r="F3" s="1">
        <v>2</v>
      </c>
      <c r="G3" s="1" t="s">
        <v>17</v>
      </c>
      <c r="H3" s="1">
        <v>6</v>
      </c>
      <c r="I3" s="1">
        <v>3</v>
      </c>
      <c r="J3" s="1" t="s">
        <v>17</v>
      </c>
      <c r="K3" s="1">
        <v>6</v>
      </c>
      <c r="L3" s="1" t="s">
        <v>19</v>
      </c>
      <c r="M3" s="1" t="s">
        <v>20</v>
      </c>
      <c r="N3" s="1" t="s">
        <v>18</v>
      </c>
      <c r="O3" s="1" t="s">
        <v>17</v>
      </c>
      <c r="P3" s="1" t="s">
        <v>18</v>
      </c>
      <c r="Q3" s="1" t="s">
        <v>18</v>
      </c>
      <c r="R3" s="1" t="s">
        <v>18</v>
      </c>
      <c r="S3" s="1" t="s">
        <v>18</v>
      </c>
      <c r="T3" s="1">
        <v>91</v>
      </c>
      <c r="U3" s="1">
        <v>88.537250999999998</v>
      </c>
      <c r="V3" s="2">
        <f t="shared" si="0"/>
        <v>2.7063175824175851E-2</v>
      </c>
      <c r="W3" s="4">
        <v>19.7</v>
      </c>
      <c r="X3" s="5">
        <v>1.8339999951422209E-4</v>
      </c>
    </row>
    <row r="4" spans="1:24">
      <c r="A4" s="1" t="s">
        <v>22</v>
      </c>
      <c r="B4" s="1">
        <v>12</v>
      </c>
      <c r="C4" s="1">
        <v>4</v>
      </c>
      <c r="D4" s="1" t="s">
        <v>18</v>
      </c>
      <c r="E4" s="1">
        <v>5</v>
      </c>
      <c r="F4" s="1">
        <v>0</v>
      </c>
      <c r="G4" s="1" t="s">
        <v>18</v>
      </c>
      <c r="H4" s="1">
        <v>10</v>
      </c>
      <c r="I4" s="1">
        <v>0</v>
      </c>
      <c r="J4" s="1" t="s">
        <v>18</v>
      </c>
      <c r="K4" s="1">
        <v>3</v>
      </c>
      <c r="L4" s="1" t="s">
        <v>19</v>
      </c>
      <c r="M4" s="1" t="s">
        <v>20</v>
      </c>
      <c r="N4" s="1" t="s">
        <v>17</v>
      </c>
      <c r="O4" s="1" t="s">
        <v>18</v>
      </c>
      <c r="P4" s="1" t="s">
        <v>18</v>
      </c>
      <c r="Q4" s="1" t="s">
        <v>17</v>
      </c>
      <c r="R4" s="1" t="s">
        <v>18</v>
      </c>
      <c r="S4" s="1" t="s">
        <v>17</v>
      </c>
      <c r="T4" s="1">
        <v>261.23999400000002</v>
      </c>
      <c r="U4" s="1">
        <v>266.33428800000002</v>
      </c>
      <c r="V4" s="2">
        <f t="shared" si="0"/>
        <v>1.9500436828213945E-2</v>
      </c>
      <c r="W4" s="4">
        <v>19.170000000000002</v>
      </c>
      <c r="X4" s="5">
        <v>1.7330003902316091E-4</v>
      </c>
    </row>
    <row r="5" spans="1:24">
      <c r="A5" s="1" t="s">
        <v>23</v>
      </c>
      <c r="B5" s="1">
        <v>6</v>
      </c>
      <c r="C5" s="1">
        <v>4</v>
      </c>
      <c r="D5" s="1" t="s">
        <v>17</v>
      </c>
      <c r="E5" s="1">
        <v>10</v>
      </c>
      <c r="F5" s="1">
        <v>6</v>
      </c>
      <c r="G5" s="1" t="s">
        <v>18</v>
      </c>
      <c r="H5" s="1">
        <v>10</v>
      </c>
      <c r="I5" s="1">
        <v>8</v>
      </c>
      <c r="J5" s="1" t="s">
        <v>17</v>
      </c>
      <c r="K5" s="1">
        <v>4</v>
      </c>
      <c r="L5" s="1" t="s">
        <v>19</v>
      </c>
      <c r="M5" s="1" t="s">
        <v>20</v>
      </c>
      <c r="N5" s="1" t="s">
        <v>17</v>
      </c>
      <c r="O5" s="1" t="s">
        <v>18</v>
      </c>
      <c r="P5" s="1" t="s">
        <v>18</v>
      </c>
      <c r="Q5" s="1" t="s">
        <v>18</v>
      </c>
      <c r="R5" s="1" t="s">
        <v>17</v>
      </c>
      <c r="S5" s="1" t="s">
        <v>18</v>
      </c>
      <c r="T5" s="1">
        <v>296.79999299999997</v>
      </c>
      <c r="U5" s="1">
        <v>290.110162</v>
      </c>
      <c r="V5" s="2">
        <f t="shared" si="0"/>
        <v>2.2539862391438702E-2</v>
      </c>
      <c r="W5" s="4">
        <v>20.14</v>
      </c>
      <c r="X5" s="5">
        <v>1.779000158421695E-4</v>
      </c>
    </row>
    <row r="6" spans="1:24">
      <c r="A6" s="1" t="s">
        <v>24</v>
      </c>
      <c r="B6" s="1">
        <v>9</v>
      </c>
      <c r="C6" s="1">
        <v>6</v>
      </c>
      <c r="D6" s="1" t="s">
        <v>17</v>
      </c>
      <c r="E6" s="1">
        <v>6</v>
      </c>
      <c r="F6" s="1">
        <v>0</v>
      </c>
      <c r="G6" s="1" t="s">
        <v>18</v>
      </c>
      <c r="H6" s="1">
        <v>10</v>
      </c>
      <c r="I6" s="1">
        <v>6</v>
      </c>
      <c r="J6" s="1" t="s">
        <v>17</v>
      </c>
      <c r="K6" s="1">
        <v>1</v>
      </c>
      <c r="L6" s="1" t="s">
        <v>19</v>
      </c>
      <c r="M6" s="1" t="s">
        <v>20</v>
      </c>
      <c r="N6" s="1" t="s">
        <v>18</v>
      </c>
      <c r="O6" s="1" t="s">
        <v>17</v>
      </c>
      <c r="P6" s="1" t="s">
        <v>18</v>
      </c>
      <c r="Q6" s="1" t="s">
        <v>18</v>
      </c>
      <c r="R6" s="1" t="s">
        <v>17</v>
      </c>
      <c r="S6" s="1" t="s">
        <v>18</v>
      </c>
      <c r="T6" s="1">
        <v>140.000001</v>
      </c>
      <c r="U6" s="1">
        <v>134.83219500000001</v>
      </c>
      <c r="V6" s="2">
        <f t="shared" si="0"/>
        <v>3.6912899736336324E-2</v>
      </c>
      <c r="W6" s="4">
        <v>19.54</v>
      </c>
      <c r="X6" s="5">
        <v>1.749999937601388E-4</v>
      </c>
    </row>
    <row r="7" spans="1:24">
      <c r="A7" s="1" t="s">
        <v>25</v>
      </c>
      <c r="B7" s="1">
        <v>6</v>
      </c>
      <c r="C7" s="1">
        <v>3</v>
      </c>
      <c r="D7" s="1" t="s">
        <v>18</v>
      </c>
      <c r="E7" s="1">
        <v>5</v>
      </c>
      <c r="F7" s="1">
        <v>3</v>
      </c>
      <c r="G7" s="1" t="s">
        <v>18</v>
      </c>
      <c r="H7" s="1">
        <v>8</v>
      </c>
      <c r="I7" s="1">
        <v>0</v>
      </c>
      <c r="J7" s="1" t="s">
        <v>18</v>
      </c>
      <c r="K7" s="1">
        <v>4</v>
      </c>
      <c r="L7" s="1" t="s">
        <v>19</v>
      </c>
      <c r="M7" s="1" t="s">
        <v>20</v>
      </c>
      <c r="N7" s="1" t="s">
        <v>17</v>
      </c>
      <c r="O7" s="1" t="s">
        <v>18</v>
      </c>
      <c r="P7" s="1" t="s">
        <v>18</v>
      </c>
      <c r="Q7" s="1" t="s">
        <v>17</v>
      </c>
      <c r="R7" s="1" t="s">
        <v>18</v>
      </c>
      <c r="S7" s="1" t="s">
        <v>17</v>
      </c>
      <c r="T7" s="1">
        <v>159.599996</v>
      </c>
      <c r="U7" s="1">
        <v>162.14390299999999</v>
      </c>
      <c r="V7" s="2">
        <f t="shared" si="0"/>
        <v>1.5939267316773555E-2</v>
      </c>
      <c r="W7" s="4">
        <v>18.940000000000001</v>
      </c>
      <c r="X7" s="5">
        <v>1.10899971332401E-4</v>
      </c>
    </row>
    <row r="8" spans="1:24">
      <c r="A8" s="1" t="s">
        <v>26</v>
      </c>
      <c r="B8" s="1">
        <v>14</v>
      </c>
      <c r="C8" s="1">
        <v>8</v>
      </c>
      <c r="D8" s="1" t="s">
        <v>18</v>
      </c>
      <c r="E8" s="1">
        <v>10</v>
      </c>
      <c r="F8" s="1">
        <v>0</v>
      </c>
      <c r="G8" s="1" t="s">
        <v>17</v>
      </c>
      <c r="H8" s="1">
        <v>8</v>
      </c>
      <c r="I8" s="1">
        <v>1</v>
      </c>
      <c r="J8" s="1" t="s">
        <v>17</v>
      </c>
      <c r="K8" s="1">
        <v>1</v>
      </c>
      <c r="L8" s="1" t="s">
        <v>19</v>
      </c>
      <c r="M8" s="1" t="s">
        <v>20</v>
      </c>
      <c r="N8" s="1" t="s">
        <v>17</v>
      </c>
      <c r="O8" s="1" t="s">
        <v>17</v>
      </c>
      <c r="P8" s="1" t="s">
        <v>18</v>
      </c>
      <c r="Q8" s="1" t="s">
        <v>18</v>
      </c>
      <c r="R8" s="1" t="s">
        <v>17</v>
      </c>
      <c r="S8" s="1" t="s">
        <v>18</v>
      </c>
      <c r="T8" s="1">
        <v>146.159998</v>
      </c>
      <c r="U8" s="1">
        <v>139.99585999999999</v>
      </c>
      <c r="V8" s="2">
        <f t="shared" si="0"/>
        <v>4.2173905886342504E-2</v>
      </c>
      <c r="W8" s="4">
        <v>19.5</v>
      </c>
      <c r="X8" s="5">
        <v>9.9099997896701097E-5</v>
      </c>
    </row>
    <row r="9" spans="1:24">
      <c r="A9" s="1" t="s">
        <v>27</v>
      </c>
      <c r="B9" s="1">
        <v>10</v>
      </c>
      <c r="C9" s="1">
        <v>1</v>
      </c>
      <c r="D9" s="1" t="s">
        <v>17</v>
      </c>
      <c r="E9" s="1">
        <v>10</v>
      </c>
      <c r="F9" s="1">
        <v>2</v>
      </c>
      <c r="G9" s="1" t="s">
        <v>18</v>
      </c>
      <c r="H9" s="1">
        <v>10</v>
      </c>
      <c r="I9" s="1">
        <v>2</v>
      </c>
      <c r="J9" s="1" t="s">
        <v>17</v>
      </c>
      <c r="K9" s="1">
        <v>1</v>
      </c>
      <c r="L9" s="1" t="s">
        <v>19</v>
      </c>
      <c r="M9" s="1" t="s">
        <v>20</v>
      </c>
      <c r="N9" s="1" t="s">
        <v>18</v>
      </c>
      <c r="O9" s="1" t="s">
        <v>18</v>
      </c>
      <c r="P9" s="1" t="s">
        <v>17</v>
      </c>
      <c r="Q9" s="1" t="s">
        <v>18</v>
      </c>
      <c r="R9" s="1" t="s">
        <v>18</v>
      </c>
      <c r="S9" s="1" t="s">
        <v>18</v>
      </c>
      <c r="T9" s="1">
        <v>63</v>
      </c>
      <c r="U9" s="1">
        <v>59.059063999999999</v>
      </c>
      <c r="V9" s="2">
        <f t="shared" si="0"/>
        <v>6.2554539682539698E-2</v>
      </c>
      <c r="W9" s="4">
        <v>19.559999999999999</v>
      </c>
      <c r="X9" s="5">
        <v>9.399995906278491E-5</v>
      </c>
    </row>
    <row r="10" spans="1:24">
      <c r="A10" s="1" t="s">
        <v>28</v>
      </c>
      <c r="B10" s="1">
        <v>10</v>
      </c>
      <c r="C10" s="1">
        <v>2</v>
      </c>
      <c r="D10" s="1" t="s">
        <v>18</v>
      </c>
      <c r="E10" s="1">
        <v>9</v>
      </c>
      <c r="F10" s="1">
        <v>3</v>
      </c>
      <c r="G10" s="1" t="s">
        <v>17</v>
      </c>
      <c r="H10" s="1">
        <v>16</v>
      </c>
      <c r="I10" s="1">
        <v>6</v>
      </c>
      <c r="J10" s="1" t="s">
        <v>17</v>
      </c>
      <c r="K10" s="1">
        <v>1</v>
      </c>
      <c r="L10" s="1" t="s">
        <v>19</v>
      </c>
      <c r="M10" s="1" t="s">
        <v>20</v>
      </c>
      <c r="N10" s="1" t="s">
        <v>17</v>
      </c>
      <c r="O10" s="1" t="s">
        <v>17</v>
      </c>
      <c r="P10" s="1" t="s">
        <v>18</v>
      </c>
      <c r="Q10" s="1" t="s">
        <v>18</v>
      </c>
      <c r="R10" s="1" t="s">
        <v>18</v>
      </c>
      <c r="S10" s="1" t="s">
        <v>18</v>
      </c>
      <c r="T10" s="1">
        <v>61.319999000000003</v>
      </c>
      <c r="U10" s="1">
        <v>61.698976000000002</v>
      </c>
      <c r="V10" s="2">
        <f t="shared" si="0"/>
        <v>6.1803164739125159E-3</v>
      </c>
      <c r="W10" s="4">
        <v>19.600000000000001</v>
      </c>
      <c r="X10" s="5">
        <v>9.4600021839141846E-5</v>
      </c>
    </row>
    <row r="11" spans="1:24">
      <c r="A11" s="1" t="s">
        <v>29</v>
      </c>
      <c r="B11" s="1">
        <v>8</v>
      </c>
      <c r="C11" s="1">
        <v>3</v>
      </c>
      <c r="D11" s="1" t="s">
        <v>18</v>
      </c>
      <c r="E11" s="1">
        <v>5</v>
      </c>
      <c r="F11" s="1">
        <v>1</v>
      </c>
      <c r="G11" s="1" t="s">
        <v>17</v>
      </c>
      <c r="H11" s="1">
        <v>6</v>
      </c>
      <c r="I11" s="1">
        <v>4</v>
      </c>
      <c r="J11" s="1" t="s">
        <v>17</v>
      </c>
      <c r="K11" s="1">
        <v>4</v>
      </c>
      <c r="L11" s="1" t="s">
        <v>19</v>
      </c>
      <c r="M11" s="1" t="s">
        <v>20</v>
      </c>
      <c r="N11" s="1" t="s">
        <v>18</v>
      </c>
      <c r="O11" s="1" t="s">
        <v>18</v>
      </c>
      <c r="P11" s="1" t="s">
        <v>18</v>
      </c>
      <c r="Q11" s="1" t="s">
        <v>18</v>
      </c>
      <c r="R11" s="1" t="s">
        <v>18</v>
      </c>
      <c r="S11" s="1" t="s">
        <v>17</v>
      </c>
      <c r="T11" s="1">
        <v>172.48000200000001</v>
      </c>
      <c r="U11" s="1">
        <v>172.749953</v>
      </c>
      <c r="V11" s="2">
        <f t="shared" si="0"/>
        <v>1.5651147777699574E-3</v>
      </c>
      <c r="W11" s="4">
        <v>18.89</v>
      </c>
      <c r="X11" s="5">
        <v>9.3300011940300465E-5</v>
      </c>
    </row>
    <row r="12" spans="1:24">
      <c r="A12" s="1" t="s">
        <v>30</v>
      </c>
      <c r="B12" s="1">
        <v>16</v>
      </c>
      <c r="C12" s="1">
        <v>2</v>
      </c>
      <c r="D12" s="1" t="s">
        <v>18</v>
      </c>
      <c r="E12" s="1">
        <v>9</v>
      </c>
      <c r="F12" s="1">
        <v>6</v>
      </c>
      <c r="G12" s="1" t="s">
        <v>17</v>
      </c>
      <c r="H12" s="1">
        <v>6</v>
      </c>
      <c r="I12" s="1">
        <v>1</v>
      </c>
      <c r="J12" s="1" t="s">
        <v>17</v>
      </c>
      <c r="K12" s="1">
        <v>3</v>
      </c>
      <c r="L12" s="1" t="s">
        <v>19</v>
      </c>
      <c r="M12" s="1" t="s">
        <v>20</v>
      </c>
      <c r="N12" s="1" t="s">
        <v>18</v>
      </c>
      <c r="O12" s="1" t="s">
        <v>17</v>
      </c>
      <c r="P12" s="1" t="s">
        <v>18</v>
      </c>
      <c r="Q12" s="1" t="s">
        <v>18</v>
      </c>
      <c r="R12" s="1" t="s">
        <v>18</v>
      </c>
      <c r="S12" s="1" t="s">
        <v>18</v>
      </c>
      <c r="T12" s="1">
        <v>89.88</v>
      </c>
      <c r="U12" s="1">
        <v>89.88</v>
      </c>
      <c r="V12" s="2">
        <f t="shared" si="0"/>
        <v>0</v>
      </c>
      <c r="W12" s="4">
        <v>19.510000000000002</v>
      </c>
      <c r="X12" s="5">
        <v>9.1499998234212399E-5</v>
      </c>
    </row>
    <row r="13" spans="1:24">
      <c r="A13" s="1" t="s">
        <v>31</v>
      </c>
      <c r="B13" s="1">
        <v>9</v>
      </c>
      <c r="C13" s="1">
        <v>3</v>
      </c>
      <c r="D13" s="1" t="s">
        <v>17</v>
      </c>
      <c r="E13" s="1">
        <v>4</v>
      </c>
      <c r="F13" s="1">
        <v>2</v>
      </c>
      <c r="G13" s="1" t="s">
        <v>17</v>
      </c>
      <c r="H13" s="1">
        <v>8</v>
      </c>
      <c r="I13" s="1">
        <v>0</v>
      </c>
      <c r="J13" s="1" t="s">
        <v>17</v>
      </c>
      <c r="K13" s="1">
        <v>0</v>
      </c>
      <c r="L13" s="1" t="s">
        <v>19</v>
      </c>
      <c r="M13" s="1" t="s">
        <v>20</v>
      </c>
      <c r="N13" s="1" t="s">
        <v>17</v>
      </c>
      <c r="O13" s="1" t="s">
        <v>18</v>
      </c>
      <c r="P13" s="1" t="s">
        <v>18</v>
      </c>
      <c r="Q13" s="1" t="s">
        <v>18</v>
      </c>
      <c r="R13" s="1" t="s">
        <v>17</v>
      </c>
      <c r="S13" s="1" t="s">
        <v>18</v>
      </c>
      <c r="T13" s="1">
        <v>53.2</v>
      </c>
      <c r="U13" s="1">
        <v>72.076244000000003</v>
      </c>
      <c r="V13" s="2">
        <f t="shared" si="0"/>
        <v>0.35481661654135338</v>
      </c>
      <c r="W13" s="4">
        <v>19.559999999999999</v>
      </c>
      <c r="X13" s="5">
        <v>8.5800013039261103E-5</v>
      </c>
    </row>
    <row r="14" spans="1:24">
      <c r="A14" s="1" t="s">
        <v>32</v>
      </c>
      <c r="B14" s="1">
        <v>14</v>
      </c>
      <c r="C14" s="1">
        <v>8</v>
      </c>
      <c r="D14" s="1" t="s">
        <v>17</v>
      </c>
      <c r="E14" s="1">
        <v>10</v>
      </c>
      <c r="F14" s="1">
        <v>3</v>
      </c>
      <c r="G14" s="1" t="s">
        <v>17</v>
      </c>
      <c r="H14" s="1">
        <v>5</v>
      </c>
      <c r="I14" s="1">
        <v>1</v>
      </c>
      <c r="J14" s="1" t="s">
        <v>17</v>
      </c>
      <c r="K14" s="1">
        <v>0</v>
      </c>
      <c r="L14" s="1" t="s">
        <v>19</v>
      </c>
      <c r="M14" s="1" t="s">
        <v>20</v>
      </c>
      <c r="N14" s="1" t="s">
        <v>18</v>
      </c>
      <c r="O14" s="1" t="s">
        <v>18</v>
      </c>
      <c r="P14" s="1" t="s">
        <v>18</v>
      </c>
      <c r="Q14" s="1" t="s">
        <v>17</v>
      </c>
      <c r="R14" s="1" t="s">
        <v>18</v>
      </c>
      <c r="S14" s="1" t="s">
        <v>17</v>
      </c>
      <c r="T14" s="1">
        <v>102.75999899999999</v>
      </c>
      <c r="U14" s="1">
        <v>106.291381</v>
      </c>
      <c r="V14" s="2">
        <f t="shared" si="0"/>
        <v>3.4365337041313206E-2</v>
      </c>
      <c r="W14" s="4">
        <v>19.29</v>
      </c>
      <c r="X14" s="5">
        <v>8.7499967776238918E-5</v>
      </c>
    </row>
    <row r="15" spans="1:24">
      <c r="A15" s="1" t="s">
        <v>33</v>
      </c>
      <c r="B15" s="1">
        <v>16</v>
      </c>
      <c r="C15" s="1">
        <v>6</v>
      </c>
      <c r="D15" s="1" t="s">
        <v>17</v>
      </c>
      <c r="E15" s="1">
        <v>5</v>
      </c>
      <c r="F15" s="1">
        <v>0</v>
      </c>
      <c r="G15" s="1" t="s">
        <v>17</v>
      </c>
      <c r="H15" s="1">
        <v>8</v>
      </c>
      <c r="I15" s="1">
        <v>1</v>
      </c>
      <c r="J15" s="1" t="s">
        <v>17</v>
      </c>
      <c r="K15" s="1">
        <v>2</v>
      </c>
      <c r="L15" s="1" t="s">
        <v>19</v>
      </c>
      <c r="M15" s="1" t="s">
        <v>20</v>
      </c>
      <c r="N15" s="1" t="s">
        <v>18</v>
      </c>
      <c r="O15" s="1" t="s">
        <v>17</v>
      </c>
      <c r="P15" s="1" t="s">
        <v>17</v>
      </c>
      <c r="Q15" s="1" t="s">
        <v>17</v>
      </c>
      <c r="R15" s="1" t="s">
        <v>17</v>
      </c>
      <c r="S15" s="1" t="s">
        <v>17</v>
      </c>
      <c r="T15" s="1">
        <v>378.56000399999999</v>
      </c>
      <c r="U15" s="1">
        <v>383.73319900000001</v>
      </c>
      <c r="V15" s="2">
        <f t="shared" si="0"/>
        <v>1.3665455793898452E-2</v>
      </c>
      <c r="W15" s="4">
        <v>19.62</v>
      </c>
      <c r="X15" s="5">
        <v>8.6400017607957125E-5</v>
      </c>
    </row>
    <row r="16" spans="1:24">
      <c r="A16" s="1" t="s">
        <v>34</v>
      </c>
      <c r="B16" s="1">
        <v>14</v>
      </c>
      <c r="C16" s="1">
        <v>6</v>
      </c>
      <c r="D16" s="1" t="s">
        <v>18</v>
      </c>
      <c r="E16" s="1">
        <v>12</v>
      </c>
      <c r="F16" s="1">
        <v>3</v>
      </c>
      <c r="G16" s="1" t="s">
        <v>18</v>
      </c>
      <c r="H16" s="1">
        <v>8</v>
      </c>
      <c r="I16" s="1">
        <v>4</v>
      </c>
      <c r="J16" s="1" t="s">
        <v>18</v>
      </c>
      <c r="K16" s="1">
        <v>0</v>
      </c>
      <c r="L16" s="1" t="s">
        <v>19</v>
      </c>
      <c r="M16" s="1" t="s">
        <v>20</v>
      </c>
      <c r="N16" s="1" t="s">
        <v>17</v>
      </c>
      <c r="O16" s="1" t="s">
        <v>18</v>
      </c>
      <c r="P16" s="1" t="s">
        <v>18</v>
      </c>
      <c r="Q16" s="1" t="s">
        <v>17</v>
      </c>
      <c r="R16" s="1" t="s">
        <v>18</v>
      </c>
      <c r="S16" s="1" t="s">
        <v>17</v>
      </c>
      <c r="T16" s="1">
        <v>124.879999</v>
      </c>
      <c r="U16" s="1">
        <v>124.11053</v>
      </c>
      <c r="V16" s="2">
        <f t="shared" si="0"/>
        <v>6.1616672498532041E-3</v>
      </c>
      <c r="W16" s="4">
        <v>19.739999999999998</v>
      </c>
      <c r="X16" s="5">
        <v>8.4800005424767733E-5</v>
      </c>
    </row>
    <row r="17" spans="1:24">
      <c r="A17" s="1" t="s">
        <v>35</v>
      </c>
      <c r="B17" s="1">
        <v>14</v>
      </c>
      <c r="C17" s="1">
        <v>1</v>
      </c>
      <c r="D17" s="1" t="s">
        <v>18</v>
      </c>
      <c r="E17" s="1">
        <v>12</v>
      </c>
      <c r="F17" s="1">
        <v>1</v>
      </c>
      <c r="G17" s="1" t="s">
        <v>17</v>
      </c>
      <c r="H17" s="1">
        <v>5</v>
      </c>
      <c r="I17" s="1">
        <v>2</v>
      </c>
      <c r="J17" s="1" t="s">
        <v>17</v>
      </c>
      <c r="K17" s="1">
        <v>6</v>
      </c>
      <c r="L17" s="1" t="s">
        <v>19</v>
      </c>
      <c r="M17" s="1" t="s">
        <v>20</v>
      </c>
      <c r="N17" s="1" t="s">
        <v>17</v>
      </c>
      <c r="O17" s="1" t="s">
        <v>18</v>
      </c>
      <c r="P17" s="1" t="s">
        <v>18</v>
      </c>
      <c r="Q17" s="1" t="s">
        <v>18</v>
      </c>
      <c r="R17" s="1" t="s">
        <v>17</v>
      </c>
      <c r="S17" s="1" t="s">
        <v>18</v>
      </c>
      <c r="T17" s="1">
        <v>255.639994</v>
      </c>
      <c r="U17" s="1">
        <v>260.00216</v>
      </c>
      <c r="V17" s="2">
        <f t="shared" si="0"/>
        <v>1.7063707175646398E-2</v>
      </c>
      <c r="W17" s="4">
        <v>19.690000000000001</v>
      </c>
      <c r="X17" s="5">
        <v>8.6300016846507788E-5</v>
      </c>
    </row>
    <row r="18" spans="1:24">
      <c r="A18" s="1" t="s">
        <v>36</v>
      </c>
      <c r="B18" s="1">
        <v>16</v>
      </c>
      <c r="C18" s="1">
        <v>3</v>
      </c>
      <c r="D18" s="1" t="s">
        <v>17</v>
      </c>
      <c r="E18" s="1">
        <v>14</v>
      </c>
      <c r="F18" s="1">
        <v>3</v>
      </c>
      <c r="G18" s="1" t="s">
        <v>18</v>
      </c>
      <c r="H18" s="1">
        <v>9</v>
      </c>
      <c r="I18" s="1">
        <v>8</v>
      </c>
      <c r="J18" s="1" t="s">
        <v>17</v>
      </c>
      <c r="K18" s="1">
        <v>1</v>
      </c>
      <c r="L18" s="1" t="s">
        <v>19</v>
      </c>
      <c r="M18" s="1" t="s">
        <v>20</v>
      </c>
      <c r="N18" s="1" t="s">
        <v>17</v>
      </c>
      <c r="O18" s="1" t="s">
        <v>18</v>
      </c>
      <c r="P18" s="1" t="s">
        <v>18</v>
      </c>
      <c r="Q18" s="1" t="s">
        <v>18</v>
      </c>
      <c r="R18" s="1" t="s">
        <v>17</v>
      </c>
      <c r="S18" s="1" t="s">
        <v>18</v>
      </c>
      <c r="T18" s="1">
        <v>131.599998</v>
      </c>
      <c r="U18" s="1">
        <v>133.17352099999999</v>
      </c>
      <c r="V18" s="2">
        <f t="shared" si="0"/>
        <v>1.1956861883842844E-2</v>
      </c>
      <c r="W18" s="4">
        <v>19.61</v>
      </c>
      <c r="X18" s="5">
        <v>8.6800020653754473E-5</v>
      </c>
    </row>
    <row r="19" spans="1:24">
      <c r="A19" s="1" t="s">
        <v>37</v>
      </c>
      <c r="B19" s="1">
        <v>6</v>
      </c>
      <c r="C19" s="1">
        <v>2</v>
      </c>
      <c r="D19" s="1" t="s">
        <v>18</v>
      </c>
      <c r="E19" s="1">
        <v>6</v>
      </c>
      <c r="F19" s="1">
        <v>0</v>
      </c>
      <c r="G19" s="1" t="s">
        <v>18</v>
      </c>
      <c r="H19" s="1">
        <v>5</v>
      </c>
      <c r="I19" s="1">
        <v>4</v>
      </c>
      <c r="J19" s="1" t="s">
        <v>18</v>
      </c>
      <c r="K19" s="1">
        <v>2</v>
      </c>
      <c r="L19" s="1" t="s">
        <v>19</v>
      </c>
      <c r="M19" s="1" t="s">
        <v>20</v>
      </c>
      <c r="N19" s="1" t="s">
        <v>17</v>
      </c>
      <c r="O19" s="1" t="s">
        <v>18</v>
      </c>
      <c r="P19" s="1" t="s">
        <v>18</v>
      </c>
      <c r="Q19" s="1" t="s">
        <v>17</v>
      </c>
      <c r="R19" s="1" t="s">
        <v>17</v>
      </c>
      <c r="S19" s="1" t="s">
        <v>18</v>
      </c>
      <c r="T19" s="1">
        <v>102.47999799999999</v>
      </c>
      <c r="U19" s="1">
        <v>105.03979200000001</v>
      </c>
      <c r="V19" s="2">
        <f t="shared" si="0"/>
        <v>2.4978474336035904E-2</v>
      </c>
      <c r="W19" s="4">
        <v>19.95</v>
      </c>
      <c r="X19" s="5">
        <v>8.4300001617521048E-5</v>
      </c>
    </row>
    <row r="20" spans="1:24">
      <c r="A20" s="1" t="s">
        <v>38</v>
      </c>
      <c r="B20" s="1">
        <v>16</v>
      </c>
      <c r="C20" s="1">
        <v>4</v>
      </c>
      <c r="D20" s="1" t="s">
        <v>18</v>
      </c>
      <c r="E20" s="1">
        <v>6</v>
      </c>
      <c r="F20" s="1">
        <v>1</v>
      </c>
      <c r="G20" s="1" t="s">
        <v>17</v>
      </c>
      <c r="H20" s="1">
        <v>10</v>
      </c>
      <c r="I20" s="1">
        <v>1</v>
      </c>
      <c r="J20" s="1" t="s">
        <v>17</v>
      </c>
      <c r="K20" s="1">
        <v>2</v>
      </c>
      <c r="L20" s="1" t="s">
        <v>19</v>
      </c>
      <c r="M20" s="1" t="s">
        <v>20</v>
      </c>
      <c r="N20" s="1" t="s">
        <v>17</v>
      </c>
      <c r="O20" s="1" t="s">
        <v>18</v>
      </c>
      <c r="P20" s="1" t="s">
        <v>18</v>
      </c>
      <c r="Q20" s="1" t="s">
        <v>17</v>
      </c>
      <c r="R20" s="1" t="s">
        <v>17</v>
      </c>
      <c r="S20" s="1" t="s">
        <v>18</v>
      </c>
      <c r="T20" s="1">
        <v>279.43999500000001</v>
      </c>
      <c r="U20" s="1">
        <v>273.06962900000002</v>
      </c>
      <c r="V20" s="2">
        <f t="shared" si="0"/>
        <v>2.2796901352649931E-2</v>
      </c>
      <c r="W20" s="4">
        <v>19.89</v>
      </c>
      <c r="X20" s="5">
        <v>8.6000014562159777E-5</v>
      </c>
    </row>
    <row r="21" spans="1:24">
      <c r="A21" s="1" t="s">
        <v>39</v>
      </c>
      <c r="B21" s="1">
        <v>14</v>
      </c>
      <c r="C21" s="1">
        <v>6</v>
      </c>
      <c r="D21" s="1" t="s">
        <v>17</v>
      </c>
      <c r="E21" s="1">
        <v>10</v>
      </c>
      <c r="F21" s="1">
        <v>1</v>
      </c>
      <c r="G21" s="1" t="s">
        <v>18</v>
      </c>
      <c r="H21" s="1">
        <v>16</v>
      </c>
      <c r="I21" s="1">
        <v>6</v>
      </c>
      <c r="J21" s="1" t="s">
        <v>17</v>
      </c>
      <c r="K21" s="1">
        <v>6</v>
      </c>
      <c r="L21" s="1" t="s">
        <v>19</v>
      </c>
      <c r="M21" s="1" t="s">
        <v>20</v>
      </c>
      <c r="N21" s="1" t="s">
        <v>17</v>
      </c>
      <c r="O21" s="1" t="s">
        <v>18</v>
      </c>
      <c r="P21" s="1" t="s">
        <v>18</v>
      </c>
      <c r="Q21" s="1" t="s">
        <v>17</v>
      </c>
      <c r="R21" s="1" t="s">
        <v>18</v>
      </c>
      <c r="S21" s="1" t="s">
        <v>17</v>
      </c>
      <c r="T21" s="1">
        <v>830.75997800000005</v>
      </c>
      <c r="U21" s="1">
        <v>818.69127100000003</v>
      </c>
      <c r="V21" s="2">
        <f t="shared" si="0"/>
        <v>1.4527309114065214E-2</v>
      </c>
      <c r="W21" s="4">
        <v>19.7</v>
      </c>
      <c r="X21" s="5">
        <v>8.6200016085058451E-5</v>
      </c>
    </row>
    <row r="22" spans="1:24">
      <c r="A22" s="1" t="s">
        <v>40</v>
      </c>
      <c r="B22" s="1">
        <v>9</v>
      </c>
      <c r="C22" s="1">
        <v>1</v>
      </c>
      <c r="D22" s="1" t="s">
        <v>18</v>
      </c>
      <c r="E22" s="1">
        <v>10</v>
      </c>
      <c r="F22" s="1">
        <v>6</v>
      </c>
      <c r="G22" s="1" t="s">
        <v>17</v>
      </c>
      <c r="H22" s="1">
        <v>6</v>
      </c>
      <c r="I22" s="1">
        <v>2</v>
      </c>
      <c r="J22" s="1" t="s">
        <v>17</v>
      </c>
      <c r="K22" s="1">
        <v>1</v>
      </c>
      <c r="L22" s="1" t="s">
        <v>19</v>
      </c>
      <c r="M22" s="1" t="s">
        <v>20</v>
      </c>
      <c r="N22" s="1" t="s">
        <v>18</v>
      </c>
      <c r="O22" s="1" t="s">
        <v>18</v>
      </c>
      <c r="P22" s="1" t="s">
        <v>18</v>
      </c>
      <c r="Q22" s="1" t="s">
        <v>18</v>
      </c>
      <c r="R22" s="1" t="s">
        <v>18</v>
      </c>
      <c r="S22" s="1" t="s">
        <v>17</v>
      </c>
      <c r="T22" s="1">
        <v>120.96</v>
      </c>
      <c r="U22" s="1">
        <v>114.928853</v>
      </c>
      <c r="V22" s="2">
        <f t="shared" si="0"/>
        <v>4.9860672949735368E-2</v>
      </c>
      <c r="W22" s="4">
        <v>19.38</v>
      </c>
      <c r="X22" s="5">
        <v>8.6999963968992233E-5</v>
      </c>
    </row>
    <row r="23" spans="1:24">
      <c r="A23" s="1" t="s">
        <v>41</v>
      </c>
      <c r="B23" s="1">
        <v>12</v>
      </c>
      <c r="C23" s="1">
        <v>1</v>
      </c>
      <c r="D23" s="1" t="s">
        <v>17</v>
      </c>
      <c r="E23" s="1">
        <v>6</v>
      </c>
      <c r="F23" s="1">
        <v>4</v>
      </c>
      <c r="G23" s="1" t="s">
        <v>18</v>
      </c>
      <c r="H23" s="1">
        <v>16</v>
      </c>
      <c r="I23" s="1">
        <v>6</v>
      </c>
      <c r="J23" s="1" t="s">
        <v>17</v>
      </c>
      <c r="K23" s="1">
        <v>6</v>
      </c>
      <c r="L23" s="1" t="s">
        <v>19</v>
      </c>
      <c r="M23" s="1" t="s">
        <v>20</v>
      </c>
      <c r="N23" s="1" t="s">
        <v>17</v>
      </c>
      <c r="O23" s="1" t="s">
        <v>17</v>
      </c>
      <c r="P23" s="1" t="s">
        <v>18</v>
      </c>
      <c r="Q23" s="1" t="s">
        <v>18</v>
      </c>
      <c r="R23" s="1" t="s">
        <v>17</v>
      </c>
      <c r="S23" s="1" t="s">
        <v>18</v>
      </c>
      <c r="T23" s="1">
        <v>695.51998100000003</v>
      </c>
      <c r="U23" s="1">
        <v>686.185877</v>
      </c>
      <c r="V23" s="2">
        <f t="shared" si="0"/>
        <v>1.342032472824102E-2</v>
      </c>
      <c r="W23" s="4">
        <v>19.579999999999998</v>
      </c>
      <c r="X23" s="5">
        <v>8.8399974629282951E-5</v>
      </c>
    </row>
    <row r="24" spans="1:24">
      <c r="A24" s="1" t="s">
        <v>42</v>
      </c>
      <c r="B24" s="1">
        <v>16</v>
      </c>
      <c r="C24" s="1">
        <v>8</v>
      </c>
      <c r="D24" s="1" t="s">
        <v>17</v>
      </c>
      <c r="E24" s="1">
        <v>6</v>
      </c>
      <c r="F24" s="1">
        <v>0</v>
      </c>
      <c r="G24" s="1" t="s">
        <v>17</v>
      </c>
      <c r="H24" s="1">
        <v>8</v>
      </c>
      <c r="I24" s="1">
        <v>4</v>
      </c>
      <c r="J24" s="1" t="s">
        <v>17</v>
      </c>
      <c r="K24" s="1">
        <v>0</v>
      </c>
      <c r="L24" s="1" t="s">
        <v>19</v>
      </c>
      <c r="M24" s="1" t="s">
        <v>20</v>
      </c>
      <c r="N24" s="1" t="s">
        <v>18</v>
      </c>
      <c r="O24" s="1" t="s">
        <v>18</v>
      </c>
      <c r="P24" s="1" t="s">
        <v>18</v>
      </c>
      <c r="Q24" s="1" t="s">
        <v>18</v>
      </c>
      <c r="R24" s="1" t="s">
        <v>18</v>
      </c>
      <c r="S24" s="1" t="s">
        <v>17</v>
      </c>
      <c r="T24" s="1">
        <v>81.760000000000005</v>
      </c>
      <c r="U24" s="1">
        <v>86.432450000000003</v>
      </c>
      <c r="V24" s="2">
        <f t="shared" si="0"/>
        <v>5.7148361056751439E-2</v>
      </c>
      <c r="W24" s="4">
        <v>19.59</v>
      </c>
      <c r="X24" s="5">
        <v>8.8599976152181625E-5</v>
      </c>
    </row>
    <row r="25" spans="1:24">
      <c r="A25" s="1" t="s">
        <v>43</v>
      </c>
      <c r="B25" s="1">
        <v>10</v>
      </c>
      <c r="C25" s="1">
        <v>4</v>
      </c>
      <c r="D25" s="1" t="s">
        <v>18</v>
      </c>
      <c r="E25" s="1">
        <v>4</v>
      </c>
      <c r="F25" s="1">
        <v>1</v>
      </c>
      <c r="G25" s="1" t="s">
        <v>18</v>
      </c>
      <c r="H25" s="1">
        <v>12</v>
      </c>
      <c r="I25" s="1">
        <v>6</v>
      </c>
      <c r="J25" s="1" t="s">
        <v>18</v>
      </c>
      <c r="K25" s="1">
        <v>4</v>
      </c>
      <c r="L25" s="1" t="s">
        <v>19</v>
      </c>
      <c r="M25" s="1" t="s">
        <v>20</v>
      </c>
      <c r="N25" s="1" t="s">
        <v>17</v>
      </c>
      <c r="O25" s="1" t="s">
        <v>18</v>
      </c>
      <c r="P25" s="1" t="s">
        <v>18</v>
      </c>
      <c r="Q25" s="1" t="s">
        <v>17</v>
      </c>
      <c r="R25" s="1" t="s">
        <v>17</v>
      </c>
      <c r="S25" s="1" t="s">
        <v>18</v>
      </c>
      <c r="T25" s="1">
        <v>371.27999</v>
      </c>
      <c r="U25" s="1">
        <v>373.92179499999997</v>
      </c>
      <c r="V25" s="2">
        <f t="shared" si="0"/>
        <v>7.1153982739548573E-3</v>
      </c>
      <c r="W25" s="4">
        <v>19.41</v>
      </c>
      <c r="X25" s="5">
        <v>8.7999971583485603E-5</v>
      </c>
    </row>
    <row r="26" spans="1:24">
      <c r="A26" s="1" t="s">
        <v>44</v>
      </c>
      <c r="B26" s="1">
        <v>10</v>
      </c>
      <c r="C26" s="1">
        <v>6</v>
      </c>
      <c r="D26" s="1" t="s">
        <v>17</v>
      </c>
      <c r="E26" s="1">
        <v>14</v>
      </c>
      <c r="F26" s="1">
        <v>0</v>
      </c>
      <c r="G26" s="1" t="s">
        <v>18</v>
      </c>
      <c r="H26" s="1">
        <v>5</v>
      </c>
      <c r="I26" s="1">
        <v>3</v>
      </c>
      <c r="J26" s="1" t="s">
        <v>17</v>
      </c>
      <c r="K26" s="1">
        <v>3</v>
      </c>
      <c r="L26" s="1" t="s">
        <v>19</v>
      </c>
      <c r="M26" s="1" t="s">
        <v>20</v>
      </c>
      <c r="N26" s="1" t="s">
        <v>18</v>
      </c>
      <c r="O26" s="1" t="s">
        <v>18</v>
      </c>
      <c r="P26" s="1" t="s">
        <v>18</v>
      </c>
      <c r="Q26" s="1" t="s">
        <v>18</v>
      </c>
      <c r="R26" s="1" t="s">
        <v>18</v>
      </c>
      <c r="S26" s="1" t="s">
        <v>17</v>
      </c>
      <c r="T26" s="1">
        <v>169.680001</v>
      </c>
      <c r="U26" s="1">
        <v>187.03184300000001</v>
      </c>
      <c r="V26" s="2">
        <f t="shared" si="0"/>
        <v>0.10226215168398074</v>
      </c>
      <c r="W26" s="4">
        <v>19.82</v>
      </c>
      <c r="X26" s="5">
        <v>8.7899970822036266E-5</v>
      </c>
    </row>
    <row r="27" spans="1:24">
      <c r="A27" s="1" t="s">
        <v>45</v>
      </c>
      <c r="B27" s="1">
        <v>14</v>
      </c>
      <c r="C27" s="1">
        <v>4</v>
      </c>
      <c r="D27" s="1" t="s">
        <v>18</v>
      </c>
      <c r="E27" s="1">
        <v>9</v>
      </c>
      <c r="F27" s="1">
        <v>6</v>
      </c>
      <c r="G27" s="1" t="s">
        <v>18</v>
      </c>
      <c r="H27" s="1">
        <v>6</v>
      </c>
      <c r="I27" s="1">
        <v>1</v>
      </c>
      <c r="J27" s="1" t="s">
        <v>18</v>
      </c>
      <c r="K27" s="1">
        <v>3</v>
      </c>
      <c r="L27" s="1" t="s">
        <v>19</v>
      </c>
      <c r="M27" s="1" t="s">
        <v>20</v>
      </c>
      <c r="N27" s="1" t="s">
        <v>17</v>
      </c>
      <c r="O27" s="1" t="s">
        <v>17</v>
      </c>
      <c r="P27" s="1" t="s">
        <v>18</v>
      </c>
      <c r="Q27" s="1" t="s">
        <v>18</v>
      </c>
      <c r="R27" s="1" t="s">
        <v>17</v>
      </c>
      <c r="S27" s="1" t="s">
        <v>18</v>
      </c>
      <c r="T27" s="1">
        <v>214.479995</v>
      </c>
      <c r="U27" s="1">
        <v>212.322575</v>
      </c>
      <c r="V27" s="2">
        <f t="shared" si="0"/>
        <v>1.0058840219573867E-2</v>
      </c>
      <c r="W27" s="4">
        <v>19.16</v>
      </c>
      <c r="X27" s="5">
        <v>8.4400002378970385E-5</v>
      </c>
    </row>
    <row r="28" spans="1:24">
      <c r="A28" s="1" t="s">
        <v>46</v>
      </c>
      <c r="B28" s="1">
        <v>10</v>
      </c>
      <c r="C28" s="1">
        <v>8</v>
      </c>
      <c r="D28" s="1" t="s">
        <v>18</v>
      </c>
      <c r="E28" s="1">
        <v>9</v>
      </c>
      <c r="F28" s="1">
        <v>6</v>
      </c>
      <c r="G28" s="1" t="s">
        <v>17</v>
      </c>
      <c r="H28" s="1">
        <v>8</v>
      </c>
      <c r="I28" s="1">
        <v>3</v>
      </c>
      <c r="J28" s="1" t="s">
        <v>17</v>
      </c>
      <c r="K28" s="1">
        <v>0</v>
      </c>
      <c r="L28" s="1" t="s">
        <v>19</v>
      </c>
      <c r="M28" s="1" t="s">
        <v>20</v>
      </c>
      <c r="N28" s="1" t="s">
        <v>18</v>
      </c>
      <c r="O28" s="1" t="s">
        <v>17</v>
      </c>
      <c r="P28" s="1" t="s">
        <v>17</v>
      </c>
      <c r="Q28" s="1" t="s">
        <v>17</v>
      </c>
      <c r="R28" s="1" t="s">
        <v>17</v>
      </c>
      <c r="S28" s="1" t="s">
        <v>17</v>
      </c>
      <c r="T28" s="1">
        <v>141.11999900000001</v>
      </c>
      <c r="U28" s="1">
        <v>138.79290700000001</v>
      </c>
      <c r="V28" s="2">
        <f t="shared" si="0"/>
        <v>1.6490164515944993E-2</v>
      </c>
      <c r="W28" s="4">
        <v>19.59</v>
      </c>
      <c r="X28" s="5">
        <v>8.490000618621707E-5</v>
      </c>
    </row>
    <row r="29" spans="1:24">
      <c r="A29" s="1" t="s">
        <v>47</v>
      </c>
      <c r="B29" s="1">
        <v>9</v>
      </c>
      <c r="C29" s="1">
        <v>6</v>
      </c>
      <c r="D29" s="1" t="s">
        <v>18</v>
      </c>
      <c r="E29" s="1">
        <v>9</v>
      </c>
      <c r="F29" s="1">
        <v>3</v>
      </c>
      <c r="G29" s="1" t="s">
        <v>17</v>
      </c>
      <c r="H29" s="1">
        <v>9</v>
      </c>
      <c r="I29" s="1">
        <v>2</v>
      </c>
      <c r="J29" s="1" t="s">
        <v>17</v>
      </c>
      <c r="K29" s="1">
        <v>6</v>
      </c>
      <c r="L29" s="1" t="s">
        <v>19</v>
      </c>
      <c r="M29" s="1" t="s">
        <v>20</v>
      </c>
      <c r="N29" s="1" t="s">
        <v>18</v>
      </c>
      <c r="O29" s="1" t="s">
        <v>18</v>
      </c>
      <c r="P29" s="1" t="s">
        <v>18</v>
      </c>
      <c r="Q29" s="1" t="s">
        <v>17</v>
      </c>
      <c r="R29" s="1" t="s">
        <v>18</v>
      </c>
      <c r="S29" s="1" t="s">
        <v>17</v>
      </c>
      <c r="T29" s="1">
        <v>434.28000700000001</v>
      </c>
      <c r="U29" s="1">
        <v>434.144136</v>
      </c>
      <c r="V29" s="2">
        <f t="shared" si="0"/>
        <v>3.1286496686458958E-4</v>
      </c>
      <c r="W29" s="4">
        <v>19.57</v>
      </c>
      <c r="X29" s="5">
        <v>8.5100007709115744E-5</v>
      </c>
    </row>
    <row r="30" spans="1:24">
      <c r="A30" s="1" t="s">
        <v>48</v>
      </c>
      <c r="B30" s="1">
        <v>9</v>
      </c>
      <c r="C30" s="1">
        <v>4</v>
      </c>
      <c r="D30" s="1" t="s">
        <v>18</v>
      </c>
      <c r="E30" s="1">
        <v>14</v>
      </c>
      <c r="F30" s="1">
        <v>6</v>
      </c>
      <c r="G30" s="1" t="s">
        <v>17</v>
      </c>
      <c r="H30" s="1">
        <v>5</v>
      </c>
      <c r="I30" s="1">
        <v>1</v>
      </c>
      <c r="J30" s="1" t="s">
        <v>17</v>
      </c>
      <c r="K30" s="1">
        <v>3</v>
      </c>
      <c r="L30" s="1" t="s">
        <v>19</v>
      </c>
      <c r="M30" s="1" t="s">
        <v>20</v>
      </c>
      <c r="N30" s="1" t="s">
        <v>18</v>
      </c>
      <c r="O30" s="1" t="s">
        <v>17</v>
      </c>
      <c r="P30" s="1" t="s">
        <v>18</v>
      </c>
      <c r="Q30" s="1" t="s">
        <v>18</v>
      </c>
      <c r="R30" s="1" t="s">
        <v>17</v>
      </c>
      <c r="S30" s="1" t="s">
        <v>18</v>
      </c>
      <c r="T30" s="1">
        <v>182.000001</v>
      </c>
      <c r="U30" s="1">
        <v>184.877546</v>
      </c>
      <c r="V30" s="2">
        <f t="shared" si="0"/>
        <v>1.5810686726314895E-2</v>
      </c>
      <c r="W30" s="4">
        <v>19.64</v>
      </c>
      <c r="X30" s="5">
        <v>8.5200008470565081E-5</v>
      </c>
    </row>
    <row r="31" spans="1:24">
      <c r="A31" s="1" t="s">
        <v>49</v>
      </c>
      <c r="B31" s="1">
        <v>6</v>
      </c>
      <c r="C31" s="1">
        <v>4</v>
      </c>
      <c r="D31" s="1" t="s">
        <v>18</v>
      </c>
      <c r="E31" s="1">
        <v>5</v>
      </c>
      <c r="F31" s="1">
        <v>4</v>
      </c>
      <c r="G31" s="1" t="s">
        <v>18</v>
      </c>
      <c r="H31" s="1">
        <v>16</v>
      </c>
      <c r="I31" s="1">
        <v>4</v>
      </c>
      <c r="J31" s="1" t="s">
        <v>18</v>
      </c>
      <c r="K31" s="1">
        <v>0</v>
      </c>
      <c r="L31" s="1" t="s">
        <v>19</v>
      </c>
      <c r="M31" s="1" t="s">
        <v>20</v>
      </c>
      <c r="N31" s="1" t="s">
        <v>18</v>
      </c>
      <c r="O31" s="1" t="s">
        <v>17</v>
      </c>
      <c r="P31" s="1" t="s">
        <v>17</v>
      </c>
      <c r="Q31" s="1" t="s">
        <v>17</v>
      </c>
      <c r="R31" s="1" t="s">
        <v>17</v>
      </c>
      <c r="S31" s="1" t="s">
        <v>17</v>
      </c>
      <c r="T31" s="1">
        <v>131.319998</v>
      </c>
      <c r="U31" s="1">
        <v>125.88744800000001</v>
      </c>
      <c r="V31" s="2">
        <f t="shared" si="0"/>
        <v>4.1368794416216728E-2</v>
      </c>
      <c r="W31" s="4">
        <v>19.79</v>
      </c>
      <c r="X31" s="5">
        <v>8.3099992480129004E-5</v>
      </c>
    </row>
    <row r="32" spans="1:24">
      <c r="A32" s="1" t="s">
        <v>50</v>
      </c>
      <c r="B32" s="1">
        <v>12</v>
      </c>
      <c r="C32" s="1">
        <v>2</v>
      </c>
      <c r="D32" s="1" t="s">
        <v>17</v>
      </c>
      <c r="E32" s="1">
        <v>6</v>
      </c>
      <c r="F32" s="1">
        <v>1</v>
      </c>
      <c r="G32" s="1" t="s">
        <v>18</v>
      </c>
      <c r="H32" s="1">
        <v>16</v>
      </c>
      <c r="I32" s="1">
        <v>8</v>
      </c>
      <c r="J32" s="1" t="s">
        <v>17</v>
      </c>
      <c r="K32" s="1">
        <v>1</v>
      </c>
      <c r="L32" s="1" t="s">
        <v>19</v>
      </c>
      <c r="M32" s="1" t="s">
        <v>20</v>
      </c>
      <c r="N32" s="1" t="s">
        <v>17</v>
      </c>
      <c r="O32" s="1" t="s">
        <v>17</v>
      </c>
      <c r="P32" s="1" t="s">
        <v>18</v>
      </c>
      <c r="Q32" s="1" t="s">
        <v>18</v>
      </c>
      <c r="R32" s="1" t="s">
        <v>17</v>
      </c>
      <c r="S32" s="1" t="s">
        <v>18</v>
      </c>
      <c r="T32" s="1">
        <v>157.919997</v>
      </c>
      <c r="U32" s="1">
        <v>156.374437</v>
      </c>
      <c r="V32" s="2">
        <f t="shared" si="0"/>
        <v>9.7869809356695633E-3</v>
      </c>
      <c r="W32" s="4">
        <v>19.649999999999999</v>
      </c>
      <c r="X32" s="5">
        <v>8.6500018369406462E-5</v>
      </c>
    </row>
    <row r="33" spans="1:24">
      <c r="A33" s="1" t="s">
        <v>51</v>
      </c>
      <c r="B33" s="1">
        <v>6</v>
      </c>
      <c r="C33" s="1">
        <v>3</v>
      </c>
      <c r="D33" s="1" t="s">
        <v>17</v>
      </c>
      <c r="E33" s="1">
        <v>9</v>
      </c>
      <c r="F33" s="1">
        <v>3</v>
      </c>
      <c r="G33" s="1" t="s">
        <v>18</v>
      </c>
      <c r="H33" s="1">
        <v>8</v>
      </c>
      <c r="I33" s="1">
        <v>0</v>
      </c>
      <c r="J33" s="1" t="s">
        <v>17</v>
      </c>
      <c r="K33" s="1">
        <v>0</v>
      </c>
      <c r="L33" s="1" t="s">
        <v>19</v>
      </c>
      <c r="M33" s="1" t="s">
        <v>20</v>
      </c>
      <c r="N33" s="1" t="s">
        <v>18</v>
      </c>
      <c r="O33" s="1" t="s">
        <v>18</v>
      </c>
      <c r="P33" s="1" t="s">
        <v>18</v>
      </c>
      <c r="Q33" s="1" t="s">
        <v>18</v>
      </c>
      <c r="R33" s="1" t="s">
        <v>18</v>
      </c>
      <c r="S33" s="1" t="s">
        <v>17</v>
      </c>
      <c r="T33" s="1">
        <v>42.56</v>
      </c>
      <c r="U33" s="1">
        <v>82.233687000000003</v>
      </c>
      <c r="V33" s="2">
        <f t="shared" si="0"/>
        <v>0.93218249530075181</v>
      </c>
      <c r="W33" s="4">
        <v>19.559999999999999</v>
      </c>
      <c r="X33" s="5">
        <v>8.5700012277811766E-5</v>
      </c>
    </row>
    <row r="34" spans="1:24">
      <c r="A34" s="1" t="s">
        <v>52</v>
      </c>
      <c r="B34" s="1">
        <v>6</v>
      </c>
      <c r="C34" s="1">
        <v>1</v>
      </c>
      <c r="D34" s="1" t="s">
        <v>17</v>
      </c>
      <c r="E34" s="1">
        <v>14</v>
      </c>
      <c r="F34" s="1">
        <v>4</v>
      </c>
      <c r="G34" s="1" t="s">
        <v>17</v>
      </c>
      <c r="H34" s="1">
        <v>8</v>
      </c>
      <c r="I34" s="1">
        <v>3</v>
      </c>
      <c r="J34" s="1" t="s">
        <v>17</v>
      </c>
      <c r="K34" s="1">
        <v>1</v>
      </c>
      <c r="L34" s="1" t="s">
        <v>19</v>
      </c>
      <c r="M34" s="1" t="s">
        <v>20</v>
      </c>
      <c r="N34" s="1" t="s">
        <v>17</v>
      </c>
      <c r="O34" s="1" t="s">
        <v>17</v>
      </c>
      <c r="P34" s="1" t="s">
        <v>18</v>
      </c>
      <c r="Q34" s="1" t="s">
        <v>18</v>
      </c>
      <c r="R34" s="1" t="s">
        <v>17</v>
      </c>
      <c r="S34" s="1" t="s">
        <v>18</v>
      </c>
      <c r="T34" s="1">
        <v>153.71999700000001</v>
      </c>
      <c r="U34" s="1">
        <v>153.71999700000001</v>
      </c>
      <c r="V34" s="2">
        <f t="shared" ref="V34:V65" si="1">ABS(U34-T34)/T34</f>
        <v>0</v>
      </c>
      <c r="W34" s="4">
        <v>19.82</v>
      </c>
      <c r="X34" s="5">
        <v>8.4799947217106819E-5</v>
      </c>
    </row>
    <row r="35" spans="1:24">
      <c r="A35" s="1" t="s">
        <v>53</v>
      </c>
      <c r="B35" s="1">
        <v>10</v>
      </c>
      <c r="C35" s="1">
        <v>6</v>
      </c>
      <c r="D35" s="1" t="s">
        <v>18</v>
      </c>
      <c r="E35" s="1">
        <v>8</v>
      </c>
      <c r="F35" s="1">
        <v>0</v>
      </c>
      <c r="G35" s="1" t="s">
        <v>17</v>
      </c>
      <c r="H35" s="1">
        <v>5</v>
      </c>
      <c r="I35" s="1">
        <v>0</v>
      </c>
      <c r="J35" s="1" t="s">
        <v>17</v>
      </c>
      <c r="K35" s="1">
        <v>3</v>
      </c>
      <c r="L35" s="1" t="s">
        <v>19</v>
      </c>
      <c r="M35" s="1" t="s">
        <v>20</v>
      </c>
      <c r="N35" s="1" t="s">
        <v>17</v>
      </c>
      <c r="O35" s="1" t="s">
        <v>18</v>
      </c>
      <c r="P35" s="1" t="s">
        <v>18</v>
      </c>
      <c r="Q35" s="1" t="s">
        <v>18</v>
      </c>
      <c r="R35" s="1" t="s">
        <v>17</v>
      </c>
      <c r="S35" s="1" t="s">
        <v>18</v>
      </c>
      <c r="T35" s="1">
        <v>161.55999600000001</v>
      </c>
      <c r="U35" s="1">
        <v>157.59298899999999</v>
      </c>
      <c r="V35" s="2">
        <f t="shared" si="1"/>
        <v>2.4554389070423246E-2</v>
      </c>
      <c r="W35" s="4">
        <v>19.43</v>
      </c>
      <c r="X35" s="5">
        <v>8.2999991718679667E-5</v>
      </c>
    </row>
    <row r="36" spans="1:24">
      <c r="A36" s="1" t="s">
        <v>54</v>
      </c>
      <c r="B36" s="1">
        <v>9</v>
      </c>
      <c r="C36" s="1">
        <v>1</v>
      </c>
      <c r="D36" s="1" t="s">
        <v>17</v>
      </c>
      <c r="E36" s="1">
        <v>8</v>
      </c>
      <c r="F36" s="1">
        <v>4</v>
      </c>
      <c r="G36" s="1" t="s">
        <v>17</v>
      </c>
      <c r="H36" s="1">
        <v>12</v>
      </c>
      <c r="I36" s="1">
        <v>1</v>
      </c>
      <c r="J36" s="1" t="s">
        <v>17</v>
      </c>
      <c r="K36" s="1">
        <v>3</v>
      </c>
      <c r="L36" s="1" t="s">
        <v>19</v>
      </c>
      <c r="M36" s="1" t="s">
        <v>20</v>
      </c>
      <c r="N36" s="1" t="s">
        <v>17</v>
      </c>
      <c r="O36" s="1" t="s">
        <v>18</v>
      </c>
      <c r="P36" s="1" t="s">
        <v>18</v>
      </c>
      <c r="Q36" s="1" t="s">
        <v>17</v>
      </c>
      <c r="R36" s="1" t="s">
        <v>17</v>
      </c>
      <c r="S36" s="1" t="s">
        <v>18</v>
      </c>
      <c r="T36" s="1">
        <v>364.279991</v>
      </c>
      <c r="U36" s="1">
        <v>363.32988499999999</v>
      </c>
      <c r="V36" s="2">
        <f t="shared" si="1"/>
        <v>2.6081750946348441E-3</v>
      </c>
      <c r="W36" s="4">
        <v>19.73</v>
      </c>
      <c r="X36" s="5">
        <v>8.6600019130855799E-5</v>
      </c>
    </row>
    <row r="37" spans="1:24">
      <c r="A37" s="1" t="s">
        <v>55</v>
      </c>
      <c r="B37" s="1">
        <v>14</v>
      </c>
      <c r="C37" s="1">
        <v>2</v>
      </c>
      <c r="D37" s="1" t="s">
        <v>17</v>
      </c>
      <c r="E37" s="1">
        <v>14</v>
      </c>
      <c r="F37" s="1">
        <v>4</v>
      </c>
      <c r="G37" s="1" t="s">
        <v>17</v>
      </c>
      <c r="H37" s="1">
        <v>12</v>
      </c>
      <c r="I37" s="1">
        <v>8</v>
      </c>
      <c r="J37" s="1" t="s">
        <v>17</v>
      </c>
      <c r="K37" s="1">
        <v>2</v>
      </c>
      <c r="L37" s="1" t="s">
        <v>19</v>
      </c>
      <c r="M37" s="1" t="s">
        <v>20</v>
      </c>
      <c r="N37" s="1" t="s">
        <v>18</v>
      </c>
      <c r="O37" s="1" t="s">
        <v>17</v>
      </c>
      <c r="P37" s="1" t="s">
        <v>18</v>
      </c>
      <c r="Q37" s="1" t="s">
        <v>18</v>
      </c>
      <c r="R37" s="1" t="s">
        <v>18</v>
      </c>
      <c r="S37" s="1" t="s">
        <v>18</v>
      </c>
      <c r="T37" s="1">
        <v>89.32</v>
      </c>
      <c r="U37" s="1">
        <v>89.294912999999994</v>
      </c>
      <c r="V37" s="2">
        <f t="shared" si="1"/>
        <v>2.8086654724584858E-4</v>
      </c>
      <c r="W37" s="4">
        <v>19.260000000000002</v>
      </c>
      <c r="X37" s="5">
        <v>1.0280002607032659E-4</v>
      </c>
    </row>
    <row r="38" spans="1:24">
      <c r="A38" s="1" t="s">
        <v>56</v>
      </c>
      <c r="B38" s="1">
        <v>6</v>
      </c>
      <c r="C38" s="1">
        <v>1</v>
      </c>
      <c r="D38" s="1" t="s">
        <v>18</v>
      </c>
      <c r="E38" s="1">
        <v>4</v>
      </c>
      <c r="F38" s="1">
        <v>0</v>
      </c>
      <c r="G38" s="1" t="s">
        <v>17</v>
      </c>
      <c r="H38" s="1">
        <v>12</v>
      </c>
      <c r="I38" s="1">
        <v>6</v>
      </c>
      <c r="J38" s="1" t="s">
        <v>17</v>
      </c>
      <c r="K38" s="1">
        <v>6</v>
      </c>
      <c r="L38" s="1" t="s">
        <v>19</v>
      </c>
      <c r="M38" s="1" t="s">
        <v>20</v>
      </c>
      <c r="N38" s="1" t="s">
        <v>18</v>
      </c>
      <c r="O38" s="1" t="s">
        <v>18</v>
      </c>
      <c r="P38" s="1" t="s">
        <v>18</v>
      </c>
      <c r="Q38" s="1" t="s">
        <v>18</v>
      </c>
      <c r="R38" s="1" t="s">
        <v>17</v>
      </c>
      <c r="S38" s="1" t="s">
        <v>18</v>
      </c>
      <c r="T38" s="1">
        <v>308.00000399999999</v>
      </c>
      <c r="U38" s="1">
        <v>308.00000399999999</v>
      </c>
      <c r="V38" s="2">
        <f t="shared" si="1"/>
        <v>0</v>
      </c>
      <c r="W38" s="4">
        <v>19.23</v>
      </c>
      <c r="X38" s="5">
        <v>9.0199988335371017E-5</v>
      </c>
    </row>
    <row r="39" spans="1:24">
      <c r="A39" s="1" t="s">
        <v>57</v>
      </c>
      <c r="B39" s="1">
        <v>9</v>
      </c>
      <c r="C39" s="1">
        <v>8</v>
      </c>
      <c r="D39" s="1" t="s">
        <v>17</v>
      </c>
      <c r="E39" s="1">
        <v>8</v>
      </c>
      <c r="F39" s="1">
        <v>6</v>
      </c>
      <c r="G39" s="1" t="s">
        <v>18</v>
      </c>
      <c r="H39" s="1">
        <v>16</v>
      </c>
      <c r="I39" s="1">
        <v>4</v>
      </c>
      <c r="J39" s="1" t="s">
        <v>17</v>
      </c>
      <c r="K39" s="1">
        <v>0</v>
      </c>
      <c r="L39" s="1" t="s">
        <v>19</v>
      </c>
      <c r="M39" s="1" t="s">
        <v>20</v>
      </c>
      <c r="N39" s="1" t="s">
        <v>17</v>
      </c>
      <c r="O39" s="1" t="s">
        <v>18</v>
      </c>
      <c r="P39" s="1" t="s">
        <v>18</v>
      </c>
      <c r="Q39" s="1" t="s">
        <v>17</v>
      </c>
      <c r="R39" s="1" t="s">
        <v>18</v>
      </c>
      <c r="S39" s="1" t="s">
        <v>17</v>
      </c>
      <c r="T39" s="1">
        <v>98.84</v>
      </c>
      <c r="U39" s="1">
        <v>121.161732</v>
      </c>
      <c r="V39" s="2">
        <f t="shared" si="1"/>
        <v>0.22583702954269522</v>
      </c>
      <c r="W39" s="4">
        <v>19.809999999999999</v>
      </c>
      <c r="X39" s="5">
        <v>9.0600049588829279E-5</v>
      </c>
    </row>
    <row r="40" spans="1:24">
      <c r="A40" s="1" t="s">
        <v>58</v>
      </c>
      <c r="B40" s="1">
        <v>9</v>
      </c>
      <c r="C40" s="1">
        <v>2</v>
      </c>
      <c r="D40" s="1" t="s">
        <v>18</v>
      </c>
      <c r="E40" s="1">
        <v>5</v>
      </c>
      <c r="F40" s="1">
        <v>2</v>
      </c>
      <c r="G40" s="1" t="s">
        <v>17</v>
      </c>
      <c r="H40" s="1">
        <v>5</v>
      </c>
      <c r="I40" s="1">
        <v>3</v>
      </c>
      <c r="J40" s="1" t="s">
        <v>17</v>
      </c>
      <c r="K40" s="1">
        <v>4</v>
      </c>
      <c r="L40" s="1" t="s">
        <v>19</v>
      </c>
      <c r="M40" s="1" t="s">
        <v>20</v>
      </c>
      <c r="N40" s="1" t="s">
        <v>17</v>
      </c>
      <c r="O40" s="1" t="s">
        <v>17</v>
      </c>
      <c r="P40" s="1" t="s">
        <v>17</v>
      </c>
      <c r="Q40" s="1" t="s">
        <v>17</v>
      </c>
      <c r="R40" s="1" t="s">
        <v>17</v>
      </c>
      <c r="S40" s="1" t="s">
        <v>17</v>
      </c>
      <c r="T40" s="1">
        <v>411.87999000000002</v>
      </c>
      <c r="U40" s="1">
        <v>404.72801700000002</v>
      </c>
      <c r="V40" s="2">
        <f t="shared" si="1"/>
        <v>1.7364215727013098E-2</v>
      </c>
      <c r="W40" s="4">
        <v>19.39</v>
      </c>
      <c r="X40" s="5">
        <v>9.5099967438727617E-5</v>
      </c>
    </row>
    <row r="41" spans="1:24">
      <c r="A41" s="1" t="s">
        <v>59</v>
      </c>
      <c r="B41" s="1">
        <v>6</v>
      </c>
      <c r="C41" s="1">
        <v>2</v>
      </c>
      <c r="D41" s="1" t="s">
        <v>17</v>
      </c>
      <c r="E41" s="1">
        <v>9</v>
      </c>
      <c r="F41" s="1">
        <v>6</v>
      </c>
      <c r="G41" s="1" t="s">
        <v>18</v>
      </c>
      <c r="H41" s="1">
        <v>6</v>
      </c>
      <c r="I41" s="1">
        <v>3</v>
      </c>
      <c r="J41" s="1" t="s">
        <v>17</v>
      </c>
      <c r="K41" s="1">
        <v>2</v>
      </c>
      <c r="L41" s="1" t="s">
        <v>19</v>
      </c>
      <c r="M41" s="1" t="s">
        <v>20</v>
      </c>
      <c r="N41" s="1" t="s">
        <v>18</v>
      </c>
      <c r="O41" s="1" t="s">
        <v>17</v>
      </c>
      <c r="P41" s="1" t="s">
        <v>17</v>
      </c>
      <c r="Q41" s="1" t="s">
        <v>17</v>
      </c>
      <c r="R41" s="1" t="s">
        <v>17</v>
      </c>
      <c r="S41" s="1" t="s">
        <v>17</v>
      </c>
      <c r="T41" s="1">
        <v>278.32000299999999</v>
      </c>
      <c r="U41" s="1">
        <v>268.56963999999999</v>
      </c>
      <c r="V41" s="2">
        <f t="shared" si="1"/>
        <v>3.5032922157592794E-2</v>
      </c>
      <c r="W41" s="4">
        <v>19.829999999999998</v>
      </c>
      <c r="X41" s="5">
        <v>8.7599968537688255E-5</v>
      </c>
    </row>
    <row r="42" spans="1:24">
      <c r="A42" s="1" t="s">
        <v>60</v>
      </c>
      <c r="B42" s="1">
        <v>10</v>
      </c>
      <c r="C42" s="1">
        <v>4</v>
      </c>
      <c r="D42" s="1" t="s">
        <v>17</v>
      </c>
      <c r="E42" s="1">
        <v>5</v>
      </c>
      <c r="F42" s="1">
        <v>3</v>
      </c>
      <c r="G42" s="1" t="s">
        <v>18</v>
      </c>
      <c r="H42" s="1">
        <v>6</v>
      </c>
      <c r="I42" s="1">
        <v>2</v>
      </c>
      <c r="J42" s="1" t="s">
        <v>17</v>
      </c>
      <c r="K42" s="1">
        <v>4</v>
      </c>
      <c r="L42" s="1" t="s">
        <v>19</v>
      </c>
      <c r="M42" s="1" t="s">
        <v>20</v>
      </c>
      <c r="N42" s="1" t="s">
        <v>17</v>
      </c>
      <c r="O42" s="1" t="s">
        <v>18</v>
      </c>
      <c r="P42" s="1" t="s">
        <v>18</v>
      </c>
      <c r="Q42" s="1" t="s">
        <v>17</v>
      </c>
      <c r="R42" s="1" t="s">
        <v>18</v>
      </c>
      <c r="S42" s="1" t="s">
        <v>17</v>
      </c>
      <c r="T42" s="1">
        <v>254.519994</v>
      </c>
      <c r="U42" s="1">
        <v>255.83041</v>
      </c>
      <c r="V42" s="2">
        <f t="shared" si="1"/>
        <v>5.1485778362858345E-3</v>
      </c>
      <c r="W42" s="4">
        <v>20.16</v>
      </c>
      <c r="X42" s="5">
        <v>8.9500041212886572E-5</v>
      </c>
    </row>
    <row r="43" spans="1:24">
      <c r="A43" s="1" t="s">
        <v>61</v>
      </c>
      <c r="B43" s="1">
        <v>12</v>
      </c>
      <c r="C43" s="1">
        <v>3</v>
      </c>
      <c r="D43" s="1" t="s">
        <v>18</v>
      </c>
      <c r="E43" s="1">
        <v>4</v>
      </c>
      <c r="F43" s="1">
        <v>0</v>
      </c>
      <c r="G43" s="1" t="s">
        <v>17</v>
      </c>
      <c r="H43" s="1">
        <v>8</v>
      </c>
      <c r="I43" s="1">
        <v>0</v>
      </c>
      <c r="J43" s="1" t="s">
        <v>17</v>
      </c>
      <c r="K43" s="1">
        <v>1</v>
      </c>
      <c r="L43" s="1" t="s">
        <v>19</v>
      </c>
      <c r="M43" s="1" t="s">
        <v>20</v>
      </c>
      <c r="N43" s="1" t="s">
        <v>17</v>
      </c>
      <c r="O43" s="1" t="s">
        <v>17</v>
      </c>
      <c r="P43" s="1" t="s">
        <v>18</v>
      </c>
      <c r="Q43" s="1" t="s">
        <v>18</v>
      </c>
      <c r="R43" s="1" t="s">
        <v>17</v>
      </c>
      <c r="S43" s="1" t="s">
        <v>18</v>
      </c>
      <c r="T43" s="1">
        <v>145.039998</v>
      </c>
      <c r="U43" s="1">
        <v>134.726967</v>
      </c>
      <c r="V43" s="2">
        <f t="shared" si="1"/>
        <v>7.110473760486398E-2</v>
      </c>
      <c r="W43" s="4">
        <v>19.350000000000001</v>
      </c>
      <c r="X43" s="5">
        <v>8.7999971583485603E-5</v>
      </c>
    </row>
    <row r="44" spans="1:24">
      <c r="A44" s="1" t="s">
        <v>62</v>
      </c>
      <c r="B44" s="1">
        <v>10</v>
      </c>
      <c r="C44" s="1">
        <v>8</v>
      </c>
      <c r="D44" s="1" t="s">
        <v>17</v>
      </c>
      <c r="E44" s="1">
        <v>9</v>
      </c>
      <c r="F44" s="1">
        <v>3</v>
      </c>
      <c r="G44" s="1" t="s">
        <v>18</v>
      </c>
      <c r="H44" s="1">
        <v>12</v>
      </c>
      <c r="I44" s="1">
        <v>1</v>
      </c>
      <c r="J44" s="1" t="s">
        <v>17</v>
      </c>
      <c r="K44" s="1">
        <v>4</v>
      </c>
      <c r="L44" s="1" t="s">
        <v>19</v>
      </c>
      <c r="M44" s="1" t="s">
        <v>20</v>
      </c>
      <c r="N44" s="1" t="s">
        <v>17</v>
      </c>
      <c r="O44" s="1" t="s">
        <v>17</v>
      </c>
      <c r="P44" s="1" t="s">
        <v>17</v>
      </c>
      <c r="Q44" s="1" t="s">
        <v>17</v>
      </c>
      <c r="R44" s="1" t="s">
        <v>17</v>
      </c>
      <c r="S44" s="1" t="s">
        <v>17</v>
      </c>
      <c r="T44" s="1">
        <v>892.07997699999999</v>
      </c>
      <c r="U44" s="1">
        <v>870.268283</v>
      </c>
      <c r="V44" s="2">
        <f t="shared" si="1"/>
        <v>2.4450379520176126E-2</v>
      </c>
      <c r="W44" s="4">
        <v>19.88</v>
      </c>
      <c r="X44" s="5">
        <v>9.1099995188415051E-5</v>
      </c>
    </row>
    <row r="45" spans="1:24">
      <c r="A45" s="1" t="s">
        <v>63</v>
      </c>
      <c r="B45" s="1">
        <v>8</v>
      </c>
      <c r="C45" s="1">
        <v>1</v>
      </c>
      <c r="D45" s="1" t="s">
        <v>18</v>
      </c>
      <c r="E45" s="1">
        <v>8</v>
      </c>
      <c r="F45" s="1">
        <v>1</v>
      </c>
      <c r="G45" s="1" t="s">
        <v>18</v>
      </c>
      <c r="H45" s="1">
        <v>12</v>
      </c>
      <c r="I45" s="1">
        <v>2</v>
      </c>
      <c r="J45" s="1" t="s">
        <v>18</v>
      </c>
      <c r="K45" s="1">
        <v>2</v>
      </c>
      <c r="L45" s="1" t="s">
        <v>19</v>
      </c>
      <c r="M45" s="1" t="s">
        <v>20</v>
      </c>
      <c r="N45" s="1" t="s">
        <v>18</v>
      </c>
      <c r="O45" s="1" t="s">
        <v>18</v>
      </c>
      <c r="P45" s="1" t="s">
        <v>18</v>
      </c>
      <c r="Q45" s="1" t="s">
        <v>18</v>
      </c>
      <c r="R45" s="1" t="s">
        <v>18</v>
      </c>
      <c r="S45" s="1" t="s">
        <v>17</v>
      </c>
      <c r="T45" s="1">
        <v>172.48000099999999</v>
      </c>
      <c r="U45" s="1">
        <v>171.02076600000001</v>
      </c>
      <c r="V45" s="2">
        <f t="shared" si="1"/>
        <v>8.4603141902809837E-3</v>
      </c>
      <c r="W45" s="4">
        <v>18.89</v>
      </c>
      <c r="X45" s="5">
        <v>8.9200038928538561E-5</v>
      </c>
    </row>
    <row r="46" spans="1:24">
      <c r="A46" s="1" t="s">
        <v>64</v>
      </c>
      <c r="B46" s="1">
        <v>16</v>
      </c>
      <c r="C46" s="1">
        <v>1</v>
      </c>
      <c r="D46" s="1" t="s">
        <v>17</v>
      </c>
      <c r="E46" s="1">
        <v>4</v>
      </c>
      <c r="F46" s="1">
        <v>2</v>
      </c>
      <c r="G46" s="1" t="s">
        <v>18</v>
      </c>
      <c r="H46" s="1">
        <v>12</v>
      </c>
      <c r="I46" s="1">
        <v>3</v>
      </c>
      <c r="J46" s="1" t="s">
        <v>17</v>
      </c>
      <c r="K46" s="1">
        <v>3</v>
      </c>
      <c r="L46" s="1" t="s">
        <v>19</v>
      </c>
      <c r="M46" s="1" t="s">
        <v>20</v>
      </c>
      <c r="N46" s="1" t="s">
        <v>17</v>
      </c>
      <c r="O46" s="1" t="s">
        <v>18</v>
      </c>
      <c r="P46" s="1" t="s">
        <v>17</v>
      </c>
      <c r="Q46" s="1" t="s">
        <v>18</v>
      </c>
      <c r="R46" s="1" t="s">
        <v>18</v>
      </c>
      <c r="S46" s="1" t="s">
        <v>18</v>
      </c>
      <c r="T46" s="1">
        <v>62.999999000000003</v>
      </c>
      <c r="U46" s="1">
        <v>60.117823999999999</v>
      </c>
      <c r="V46" s="2">
        <f t="shared" si="1"/>
        <v>4.5748810249981176E-2</v>
      </c>
      <c r="W46" s="4">
        <v>19.3</v>
      </c>
      <c r="X46" s="5">
        <v>8.7700027506798506E-5</v>
      </c>
    </row>
    <row r="47" spans="1:24">
      <c r="A47" s="1" t="s">
        <v>65</v>
      </c>
      <c r="B47" s="1">
        <v>12</v>
      </c>
      <c r="C47" s="1">
        <v>4</v>
      </c>
      <c r="D47" s="1" t="s">
        <v>17</v>
      </c>
      <c r="E47" s="1">
        <v>10</v>
      </c>
      <c r="F47" s="1">
        <v>0</v>
      </c>
      <c r="G47" s="1" t="s">
        <v>17</v>
      </c>
      <c r="H47" s="1">
        <v>9</v>
      </c>
      <c r="I47" s="1">
        <v>6</v>
      </c>
      <c r="J47" s="1" t="s">
        <v>17</v>
      </c>
      <c r="K47" s="1">
        <v>6</v>
      </c>
      <c r="L47" s="1" t="s">
        <v>19</v>
      </c>
      <c r="M47" s="1" t="s">
        <v>20</v>
      </c>
      <c r="N47" s="1" t="s">
        <v>17</v>
      </c>
      <c r="O47" s="1" t="s">
        <v>17</v>
      </c>
      <c r="P47" s="1" t="s">
        <v>18</v>
      </c>
      <c r="Q47" s="1" t="s">
        <v>18</v>
      </c>
      <c r="R47" s="1" t="s">
        <v>17</v>
      </c>
      <c r="S47" s="1" t="s">
        <v>18</v>
      </c>
      <c r="T47" s="1">
        <v>417.19998900000002</v>
      </c>
      <c r="U47" s="1">
        <v>411.141505</v>
      </c>
      <c r="V47" s="2">
        <f t="shared" si="1"/>
        <v>1.4521774112510873E-2</v>
      </c>
      <c r="W47" s="4">
        <v>19.48</v>
      </c>
      <c r="X47" s="5">
        <v>8.7800028268247843E-5</v>
      </c>
    </row>
    <row r="48" spans="1:24">
      <c r="A48" s="1" t="s">
        <v>66</v>
      </c>
      <c r="B48" s="1">
        <v>12</v>
      </c>
      <c r="C48" s="1">
        <v>6</v>
      </c>
      <c r="D48" s="1" t="s">
        <v>18</v>
      </c>
      <c r="E48" s="1">
        <v>9</v>
      </c>
      <c r="F48" s="1">
        <v>2</v>
      </c>
      <c r="G48" s="1" t="s">
        <v>18</v>
      </c>
      <c r="H48" s="1">
        <v>5</v>
      </c>
      <c r="I48" s="1">
        <v>1</v>
      </c>
      <c r="J48" s="1" t="s">
        <v>18</v>
      </c>
      <c r="K48" s="1">
        <v>4</v>
      </c>
      <c r="L48" s="1" t="s">
        <v>19</v>
      </c>
      <c r="M48" s="1" t="s">
        <v>20</v>
      </c>
      <c r="N48" s="1" t="s">
        <v>17</v>
      </c>
      <c r="O48" s="1" t="s">
        <v>18</v>
      </c>
      <c r="P48" s="1" t="s">
        <v>18</v>
      </c>
      <c r="Q48" s="1" t="s">
        <v>17</v>
      </c>
      <c r="R48" s="1" t="s">
        <v>18</v>
      </c>
      <c r="S48" s="1" t="s">
        <v>17</v>
      </c>
      <c r="T48" s="1">
        <v>247.799995</v>
      </c>
      <c r="U48" s="1">
        <v>247.472173</v>
      </c>
      <c r="V48" s="2">
        <f t="shared" si="1"/>
        <v>1.3229298087758137E-3</v>
      </c>
      <c r="W48" s="4">
        <v>19.82</v>
      </c>
      <c r="X48" s="5">
        <v>8.7300024461001158E-5</v>
      </c>
    </row>
    <row r="49" spans="1:24">
      <c r="A49" s="1" t="s">
        <v>67</v>
      </c>
      <c r="B49" s="1">
        <v>10</v>
      </c>
      <c r="C49" s="1">
        <v>3</v>
      </c>
      <c r="D49" s="1" t="s">
        <v>18</v>
      </c>
      <c r="E49" s="1">
        <v>9</v>
      </c>
      <c r="F49" s="1">
        <v>2</v>
      </c>
      <c r="G49" s="1" t="s">
        <v>18</v>
      </c>
      <c r="H49" s="1">
        <v>9</v>
      </c>
      <c r="I49" s="1">
        <v>1</v>
      </c>
      <c r="J49" s="1" t="s">
        <v>18</v>
      </c>
      <c r="K49" s="1">
        <v>0</v>
      </c>
      <c r="L49" s="1" t="s">
        <v>19</v>
      </c>
      <c r="M49" s="1" t="s">
        <v>20</v>
      </c>
      <c r="N49" s="1" t="s">
        <v>18</v>
      </c>
      <c r="O49" s="1" t="s">
        <v>18</v>
      </c>
      <c r="P49" s="1" t="s">
        <v>18</v>
      </c>
      <c r="Q49" s="1" t="s">
        <v>17</v>
      </c>
      <c r="R49" s="1" t="s">
        <v>18</v>
      </c>
      <c r="S49" s="1" t="s">
        <v>17</v>
      </c>
      <c r="T49" s="1">
        <v>109.19999900000001</v>
      </c>
      <c r="U49" s="1">
        <v>104.503936</v>
      </c>
      <c r="V49" s="2">
        <f t="shared" si="1"/>
        <v>4.3004240320551737E-2</v>
      </c>
      <c r="W49" s="4">
        <v>19.600000000000001</v>
      </c>
      <c r="X49" s="5">
        <v>8.7200023699551821E-5</v>
      </c>
    </row>
    <row r="50" spans="1:24">
      <c r="A50" s="1" t="s">
        <v>68</v>
      </c>
      <c r="B50" s="1">
        <v>12</v>
      </c>
      <c r="C50" s="1">
        <v>8</v>
      </c>
      <c r="D50" s="1" t="s">
        <v>18</v>
      </c>
      <c r="E50" s="1">
        <v>5</v>
      </c>
      <c r="F50" s="1">
        <v>4</v>
      </c>
      <c r="G50" s="1" t="s">
        <v>17</v>
      </c>
      <c r="H50" s="1">
        <v>5</v>
      </c>
      <c r="I50" s="1">
        <v>0</v>
      </c>
      <c r="J50" s="1" t="s">
        <v>17</v>
      </c>
      <c r="K50" s="1">
        <v>1</v>
      </c>
      <c r="L50" s="1" t="s">
        <v>19</v>
      </c>
      <c r="M50" s="1" t="s">
        <v>20</v>
      </c>
      <c r="N50" s="1" t="s">
        <v>17</v>
      </c>
      <c r="O50" s="1" t="s">
        <v>18</v>
      </c>
      <c r="P50" s="1" t="s">
        <v>18</v>
      </c>
      <c r="Q50" s="1" t="s">
        <v>17</v>
      </c>
      <c r="R50" s="1" t="s">
        <v>17</v>
      </c>
      <c r="S50" s="1" t="s">
        <v>18</v>
      </c>
      <c r="T50" s="1">
        <v>122.079998</v>
      </c>
      <c r="U50" s="1">
        <v>119.37162600000001</v>
      </c>
      <c r="V50" s="2">
        <f t="shared" si="1"/>
        <v>2.2185223168172046E-2</v>
      </c>
      <c r="W50" s="4">
        <v>19.43</v>
      </c>
      <c r="X50" s="5">
        <v>8.8399974629282951E-5</v>
      </c>
    </row>
    <row r="51" spans="1:24">
      <c r="A51" s="1" t="s">
        <v>69</v>
      </c>
      <c r="B51" s="1">
        <v>12</v>
      </c>
      <c r="C51" s="1">
        <v>2</v>
      </c>
      <c r="D51" s="1" t="s">
        <v>18</v>
      </c>
      <c r="E51" s="1">
        <v>14</v>
      </c>
      <c r="F51" s="1">
        <v>2</v>
      </c>
      <c r="G51" s="1" t="s">
        <v>18</v>
      </c>
      <c r="H51" s="1">
        <v>12</v>
      </c>
      <c r="I51" s="1">
        <v>8</v>
      </c>
      <c r="J51" s="1" t="s">
        <v>18</v>
      </c>
      <c r="K51" s="1">
        <v>3</v>
      </c>
      <c r="L51" s="1" t="s">
        <v>19</v>
      </c>
      <c r="M51" s="1" t="s">
        <v>20</v>
      </c>
      <c r="N51" s="1" t="s">
        <v>17</v>
      </c>
      <c r="O51" s="1" t="s">
        <v>17</v>
      </c>
      <c r="P51" s="1" t="s">
        <v>18</v>
      </c>
      <c r="Q51" s="1" t="s">
        <v>18</v>
      </c>
      <c r="R51" s="1" t="s">
        <v>18</v>
      </c>
      <c r="S51" s="1" t="s">
        <v>18</v>
      </c>
      <c r="T51" s="1">
        <v>92.959998999999996</v>
      </c>
      <c r="U51" s="1">
        <v>91.348459000000005</v>
      </c>
      <c r="V51" s="2">
        <f t="shared" si="1"/>
        <v>1.733584355998101E-2</v>
      </c>
      <c r="W51" s="4">
        <v>19.48</v>
      </c>
      <c r="X51" s="5">
        <v>8.6499960161745548E-5</v>
      </c>
    </row>
    <row r="52" spans="1:24">
      <c r="A52" s="1" t="s">
        <v>70</v>
      </c>
      <c r="B52" s="1">
        <v>16</v>
      </c>
      <c r="C52" s="1">
        <v>3</v>
      </c>
      <c r="D52" s="1" t="s">
        <v>18</v>
      </c>
      <c r="E52" s="1">
        <v>12</v>
      </c>
      <c r="F52" s="1">
        <v>2</v>
      </c>
      <c r="G52" s="1" t="s">
        <v>18</v>
      </c>
      <c r="H52" s="1">
        <v>5</v>
      </c>
      <c r="I52" s="1">
        <v>2</v>
      </c>
      <c r="J52" s="1" t="s">
        <v>18</v>
      </c>
      <c r="K52" s="1">
        <v>1</v>
      </c>
      <c r="L52" s="1" t="s">
        <v>19</v>
      </c>
      <c r="M52" s="1" t="s">
        <v>20</v>
      </c>
      <c r="N52" s="1" t="s">
        <v>17</v>
      </c>
      <c r="O52" s="1" t="s">
        <v>18</v>
      </c>
      <c r="P52" s="1" t="s">
        <v>18</v>
      </c>
      <c r="Q52" s="1" t="s">
        <v>18</v>
      </c>
      <c r="R52" s="1" t="s">
        <v>17</v>
      </c>
      <c r="S52" s="1" t="s">
        <v>18</v>
      </c>
      <c r="T52" s="1">
        <v>130.47999799999999</v>
      </c>
      <c r="U52" s="1">
        <v>125.80539899999999</v>
      </c>
      <c r="V52" s="2">
        <f t="shared" si="1"/>
        <v>3.5826173142645211E-2</v>
      </c>
      <c r="W52" s="4">
        <v>19.79</v>
      </c>
      <c r="X52" s="5">
        <v>8.5800013039261103E-5</v>
      </c>
    </row>
    <row r="53" spans="1:24">
      <c r="A53" s="1" t="s">
        <v>71</v>
      </c>
      <c r="B53" s="1">
        <v>10</v>
      </c>
      <c r="C53" s="1">
        <v>1</v>
      </c>
      <c r="D53" s="1" t="s">
        <v>18</v>
      </c>
      <c r="E53" s="1">
        <v>12</v>
      </c>
      <c r="F53" s="1">
        <v>1</v>
      </c>
      <c r="G53" s="1" t="s">
        <v>17</v>
      </c>
      <c r="H53" s="1">
        <v>10</v>
      </c>
      <c r="I53" s="1">
        <v>4</v>
      </c>
      <c r="J53" s="1" t="s">
        <v>17</v>
      </c>
      <c r="K53" s="1">
        <v>4</v>
      </c>
      <c r="L53" s="1" t="s">
        <v>19</v>
      </c>
      <c r="M53" s="1" t="s">
        <v>20</v>
      </c>
      <c r="N53" s="1" t="s">
        <v>17</v>
      </c>
      <c r="O53" s="1" t="s">
        <v>17</v>
      </c>
      <c r="P53" s="1" t="s">
        <v>18</v>
      </c>
      <c r="Q53" s="1" t="s">
        <v>18</v>
      </c>
      <c r="R53" s="1" t="s">
        <v>18</v>
      </c>
      <c r="S53" s="1" t="s">
        <v>18</v>
      </c>
      <c r="T53" s="1">
        <v>89.039998999999995</v>
      </c>
      <c r="U53" s="1">
        <v>88.468064999999996</v>
      </c>
      <c r="V53" s="2">
        <f t="shared" si="1"/>
        <v>6.4233378978362171E-3</v>
      </c>
      <c r="W53" s="4">
        <v>19.149999999999999</v>
      </c>
      <c r="X53" s="5">
        <v>8.7600026745349169E-5</v>
      </c>
    </row>
    <row r="54" spans="1:24">
      <c r="A54" s="1" t="s">
        <v>72</v>
      </c>
      <c r="B54" s="1">
        <v>14</v>
      </c>
      <c r="C54" s="1">
        <v>3</v>
      </c>
      <c r="D54" s="1" t="s">
        <v>17</v>
      </c>
      <c r="E54" s="1">
        <v>9</v>
      </c>
      <c r="F54" s="1">
        <v>4</v>
      </c>
      <c r="G54" s="1" t="s">
        <v>17</v>
      </c>
      <c r="H54" s="1">
        <v>5</v>
      </c>
      <c r="I54" s="1">
        <v>3</v>
      </c>
      <c r="J54" s="1" t="s">
        <v>17</v>
      </c>
      <c r="K54" s="1">
        <v>4</v>
      </c>
      <c r="L54" s="1" t="s">
        <v>19</v>
      </c>
      <c r="M54" s="1" t="s">
        <v>20</v>
      </c>
      <c r="N54" s="1" t="s">
        <v>18</v>
      </c>
      <c r="O54" s="1" t="s">
        <v>18</v>
      </c>
      <c r="P54" s="1" t="s">
        <v>18</v>
      </c>
      <c r="Q54" s="1" t="s">
        <v>17</v>
      </c>
      <c r="R54" s="1" t="s">
        <v>18</v>
      </c>
      <c r="S54" s="1" t="s">
        <v>17</v>
      </c>
      <c r="T54" s="1">
        <v>252.00000199999999</v>
      </c>
      <c r="U54" s="1">
        <v>252.00000199999999</v>
      </c>
      <c r="V54" s="2">
        <f t="shared" si="1"/>
        <v>0</v>
      </c>
      <c r="W54" s="4">
        <v>19.510000000000002</v>
      </c>
      <c r="X54" s="5">
        <v>8.790002902969718E-5</v>
      </c>
    </row>
    <row r="55" spans="1:24">
      <c r="A55" s="1" t="s">
        <v>73</v>
      </c>
      <c r="B55" s="1">
        <v>16</v>
      </c>
      <c r="C55" s="1">
        <v>2</v>
      </c>
      <c r="D55" s="1" t="s">
        <v>17</v>
      </c>
      <c r="E55" s="1">
        <v>10</v>
      </c>
      <c r="F55" s="1">
        <v>1</v>
      </c>
      <c r="G55" s="1" t="s">
        <v>17</v>
      </c>
      <c r="H55" s="1">
        <v>5</v>
      </c>
      <c r="I55" s="1">
        <v>0</v>
      </c>
      <c r="J55" s="1" t="s">
        <v>17</v>
      </c>
      <c r="K55" s="1">
        <v>1</v>
      </c>
      <c r="L55" s="1" t="s">
        <v>19</v>
      </c>
      <c r="M55" s="1" t="s">
        <v>20</v>
      </c>
      <c r="N55" s="1" t="s">
        <v>17</v>
      </c>
      <c r="O55" s="1" t="s">
        <v>18</v>
      </c>
      <c r="P55" s="1" t="s">
        <v>18</v>
      </c>
      <c r="Q55" s="1" t="s">
        <v>18</v>
      </c>
      <c r="R55" s="1" t="s">
        <v>18</v>
      </c>
      <c r="S55" s="1" t="s">
        <v>17</v>
      </c>
      <c r="T55" s="1">
        <v>139.439998</v>
      </c>
      <c r="U55" s="1">
        <v>132.04928100000001</v>
      </c>
      <c r="V55" s="2">
        <f t="shared" si="1"/>
        <v>5.30028478629209E-2</v>
      </c>
      <c r="W55" s="4">
        <v>19.489999999999998</v>
      </c>
      <c r="X55" s="5">
        <v>8.9299981482326984E-5</v>
      </c>
    </row>
    <row r="56" spans="1:24">
      <c r="A56" s="1" t="s">
        <v>74</v>
      </c>
      <c r="B56" s="1">
        <v>14</v>
      </c>
      <c r="C56" s="1">
        <v>4</v>
      </c>
      <c r="D56" s="1" t="s">
        <v>17</v>
      </c>
      <c r="E56" s="1">
        <v>5</v>
      </c>
      <c r="F56" s="1">
        <v>2</v>
      </c>
      <c r="G56" s="1" t="s">
        <v>17</v>
      </c>
      <c r="H56" s="1">
        <v>5</v>
      </c>
      <c r="I56" s="1">
        <v>2</v>
      </c>
      <c r="J56" s="1" t="s">
        <v>17</v>
      </c>
      <c r="K56" s="1">
        <v>3</v>
      </c>
      <c r="L56" s="1" t="s">
        <v>19</v>
      </c>
      <c r="M56" s="1" t="s">
        <v>20</v>
      </c>
      <c r="N56" s="1" t="s">
        <v>18</v>
      </c>
      <c r="O56" s="1" t="s">
        <v>17</v>
      </c>
      <c r="P56" s="1" t="s">
        <v>18</v>
      </c>
      <c r="Q56" s="1" t="s">
        <v>18</v>
      </c>
      <c r="R56" s="1" t="s">
        <v>18</v>
      </c>
      <c r="S56" s="1" t="s">
        <v>18</v>
      </c>
      <c r="T56" s="1">
        <v>91.56</v>
      </c>
      <c r="U56" s="1">
        <v>72.378309999999999</v>
      </c>
      <c r="V56" s="2">
        <f t="shared" si="1"/>
        <v>0.20949858016601139</v>
      </c>
      <c r="W56" s="4">
        <v>19.149999999999999</v>
      </c>
      <c r="X56" s="5">
        <v>1.113999751396477E-4</v>
      </c>
    </row>
    <row r="57" spans="1:24">
      <c r="A57" s="1" t="s">
        <v>75</v>
      </c>
      <c r="B57" s="1">
        <v>16</v>
      </c>
      <c r="C57" s="1">
        <v>6</v>
      </c>
      <c r="D57" s="1" t="s">
        <v>18</v>
      </c>
      <c r="E57" s="1">
        <v>4</v>
      </c>
      <c r="F57" s="1">
        <v>0</v>
      </c>
      <c r="G57" s="1" t="s">
        <v>17</v>
      </c>
      <c r="H57" s="1">
        <v>16</v>
      </c>
      <c r="I57" s="1">
        <v>6</v>
      </c>
      <c r="J57" s="1" t="s">
        <v>17</v>
      </c>
      <c r="K57" s="1">
        <v>6</v>
      </c>
      <c r="L57" s="1" t="s">
        <v>19</v>
      </c>
      <c r="M57" s="1" t="s">
        <v>20</v>
      </c>
      <c r="N57" s="1" t="s">
        <v>17</v>
      </c>
      <c r="O57" s="1" t="s">
        <v>17</v>
      </c>
      <c r="P57" s="1" t="s">
        <v>18</v>
      </c>
      <c r="Q57" s="1" t="s">
        <v>18</v>
      </c>
      <c r="R57" s="1" t="s">
        <v>17</v>
      </c>
      <c r="S57" s="1" t="s">
        <v>18</v>
      </c>
      <c r="T57" s="1">
        <v>824.59997799999996</v>
      </c>
      <c r="U57" s="1">
        <v>788.39425600000004</v>
      </c>
      <c r="V57" s="2">
        <f t="shared" si="1"/>
        <v>4.3907013055971639E-2</v>
      </c>
      <c r="W57" s="4">
        <v>19.59</v>
      </c>
      <c r="X57" s="5">
        <v>9.0699992142617702E-5</v>
      </c>
    </row>
    <row r="58" spans="1:24">
      <c r="A58" s="1" t="s">
        <v>76</v>
      </c>
      <c r="B58" s="1">
        <v>10</v>
      </c>
      <c r="C58" s="1">
        <v>2</v>
      </c>
      <c r="D58" s="1" t="s">
        <v>17</v>
      </c>
      <c r="E58" s="1">
        <v>12</v>
      </c>
      <c r="F58" s="1">
        <v>2</v>
      </c>
      <c r="G58" s="1" t="s">
        <v>17</v>
      </c>
      <c r="H58" s="1">
        <v>5</v>
      </c>
      <c r="I58" s="1">
        <v>1</v>
      </c>
      <c r="J58" s="1" t="s">
        <v>17</v>
      </c>
      <c r="K58" s="1">
        <v>4</v>
      </c>
      <c r="L58" s="1" t="s">
        <v>19</v>
      </c>
      <c r="M58" s="1" t="s">
        <v>20</v>
      </c>
      <c r="N58" s="1" t="s">
        <v>17</v>
      </c>
      <c r="O58" s="1" t="s">
        <v>17</v>
      </c>
      <c r="P58" s="1" t="s">
        <v>18</v>
      </c>
      <c r="Q58" s="1" t="s">
        <v>18</v>
      </c>
      <c r="R58" s="1" t="s">
        <v>17</v>
      </c>
      <c r="S58" s="1" t="s">
        <v>18</v>
      </c>
      <c r="T58" s="1">
        <v>250.03999400000001</v>
      </c>
      <c r="U58" s="1">
        <v>246.98382599999999</v>
      </c>
      <c r="V58" s="2">
        <f t="shared" si="1"/>
        <v>1.2222716658679866E-2</v>
      </c>
      <c r="W58" s="4">
        <v>19.87</v>
      </c>
      <c r="X58" s="5">
        <v>8.7799970060586929E-5</v>
      </c>
    </row>
    <row r="59" spans="1:24">
      <c r="A59" s="1" t="s">
        <v>77</v>
      </c>
      <c r="B59" s="1">
        <v>14</v>
      </c>
      <c r="C59" s="1">
        <v>1</v>
      </c>
      <c r="D59" s="1" t="s">
        <v>17</v>
      </c>
      <c r="E59" s="1">
        <v>5</v>
      </c>
      <c r="F59" s="1">
        <v>3</v>
      </c>
      <c r="G59" s="1" t="s">
        <v>18</v>
      </c>
      <c r="H59" s="1">
        <v>10</v>
      </c>
      <c r="I59" s="1">
        <v>6</v>
      </c>
      <c r="J59" s="1" t="s">
        <v>17</v>
      </c>
      <c r="K59" s="1">
        <v>3</v>
      </c>
      <c r="L59" s="1" t="s">
        <v>19</v>
      </c>
      <c r="M59" s="1" t="s">
        <v>20</v>
      </c>
      <c r="N59" s="1" t="s">
        <v>18</v>
      </c>
      <c r="O59" s="1" t="s">
        <v>17</v>
      </c>
      <c r="P59" s="1" t="s">
        <v>17</v>
      </c>
      <c r="Q59" s="1" t="s">
        <v>17</v>
      </c>
      <c r="R59" s="1" t="s">
        <v>17</v>
      </c>
      <c r="S59" s="1" t="s">
        <v>17</v>
      </c>
      <c r="T59" s="1">
        <v>399.84000500000002</v>
      </c>
      <c r="U59" s="1">
        <v>434.053316</v>
      </c>
      <c r="V59" s="2">
        <f t="shared" si="1"/>
        <v>8.5567503431778852E-2</v>
      </c>
      <c r="W59" s="4">
        <v>19.95</v>
      </c>
      <c r="X59" s="5">
        <v>8.8100030552595854E-5</v>
      </c>
    </row>
    <row r="60" spans="1:24">
      <c r="A60" s="1" t="s">
        <v>78</v>
      </c>
      <c r="B60" s="1">
        <v>8</v>
      </c>
      <c r="C60" s="1">
        <v>4</v>
      </c>
      <c r="D60" s="1" t="s">
        <v>18</v>
      </c>
      <c r="E60" s="1">
        <v>6</v>
      </c>
      <c r="F60" s="1">
        <v>1</v>
      </c>
      <c r="G60" s="1" t="s">
        <v>17</v>
      </c>
      <c r="H60" s="1">
        <v>10</v>
      </c>
      <c r="I60" s="1">
        <v>2</v>
      </c>
      <c r="J60" s="1" t="s">
        <v>17</v>
      </c>
      <c r="K60" s="1">
        <v>6</v>
      </c>
      <c r="L60" s="1" t="s">
        <v>19</v>
      </c>
      <c r="M60" s="1" t="s">
        <v>20</v>
      </c>
      <c r="N60" s="1" t="s">
        <v>18</v>
      </c>
      <c r="O60" s="1" t="s">
        <v>18</v>
      </c>
      <c r="P60" s="1" t="s">
        <v>18</v>
      </c>
      <c r="Q60" s="1" t="s">
        <v>18</v>
      </c>
      <c r="R60" s="1" t="s">
        <v>18</v>
      </c>
      <c r="S60" s="1" t="s">
        <v>17</v>
      </c>
      <c r="T60" s="1">
        <v>411.32000599999998</v>
      </c>
      <c r="U60" s="1">
        <v>416.95998500000002</v>
      </c>
      <c r="V60" s="2">
        <f t="shared" si="1"/>
        <v>1.3711900509891657E-2</v>
      </c>
      <c r="W60" s="4">
        <v>19.79</v>
      </c>
      <c r="X60" s="5">
        <v>8.9399982243776321E-5</v>
      </c>
    </row>
    <row r="61" spans="1:24">
      <c r="A61" s="1" t="s">
        <v>79</v>
      </c>
      <c r="B61" s="1">
        <v>14</v>
      </c>
      <c r="C61" s="1">
        <v>2</v>
      </c>
      <c r="D61" s="1" t="s">
        <v>18</v>
      </c>
      <c r="E61" s="1">
        <v>8</v>
      </c>
      <c r="F61" s="1">
        <v>0</v>
      </c>
      <c r="G61" s="1" t="s">
        <v>17</v>
      </c>
      <c r="H61" s="1">
        <v>12</v>
      </c>
      <c r="I61" s="1">
        <v>1</v>
      </c>
      <c r="J61" s="1" t="s">
        <v>17</v>
      </c>
      <c r="K61" s="1">
        <v>2</v>
      </c>
      <c r="L61" s="1" t="s">
        <v>19</v>
      </c>
      <c r="M61" s="1" t="s">
        <v>20</v>
      </c>
      <c r="N61" s="1" t="s">
        <v>18</v>
      </c>
      <c r="O61" s="1" t="s">
        <v>17</v>
      </c>
      <c r="P61" s="1" t="s">
        <v>17</v>
      </c>
      <c r="Q61" s="1" t="s">
        <v>17</v>
      </c>
      <c r="R61" s="1" t="s">
        <v>17</v>
      </c>
      <c r="S61" s="1" t="s">
        <v>17</v>
      </c>
      <c r="T61" s="1">
        <v>511.00000599999998</v>
      </c>
      <c r="U61" s="1">
        <v>511.00000599999998</v>
      </c>
      <c r="V61" s="2">
        <f t="shared" si="1"/>
        <v>0</v>
      </c>
      <c r="W61" s="4">
        <v>19.62</v>
      </c>
      <c r="X61" s="5">
        <v>8.9700042735785246E-5</v>
      </c>
    </row>
    <row r="62" spans="1:24">
      <c r="A62" s="1" t="s">
        <v>80</v>
      </c>
      <c r="B62" s="1">
        <v>16</v>
      </c>
      <c r="C62" s="1">
        <v>4</v>
      </c>
      <c r="D62" s="1" t="s">
        <v>17</v>
      </c>
      <c r="E62" s="1">
        <v>8</v>
      </c>
      <c r="F62" s="1">
        <v>4</v>
      </c>
      <c r="G62" s="1" t="s">
        <v>18</v>
      </c>
      <c r="H62" s="1">
        <v>16</v>
      </c>
      <c r="I62" s="1">
        <v>4</v>
      </c>
      <c r="J62" s="1" t="s">
        <v>17</v>
      </c>
      <c r="K62" s="1">
        <v>1</v>
      </c>
      <c r="L62" s="1" t="s">
        <v>19</v>
      </c>
      <c r="M62" s="1" t="s">
        <v>20</v>
      </c>
      <c r="N62" s="1" t="s">
        <v>18</v>
      </c>
      <c r="O62" s="1" t="s">
        <v>18</v>
      </c>
      <c r="P62" s="1" t="s">
        <v>18</v>
      </c>
      <c r="Q62" s="1" t="s">
        <v>18</v>
      </c>
      <c r="R62" s="1" t="s">
        <v>18</v>
      </c>
      <c r="S62" s="1" t="s">
        <v>17</v>
      </c>
      <c r="T62" s="1">
        <v>204.96000100000001</v>
      </c>
      <c r="U62" s="1">
        <v>195.37572399999999</v>
      </c>
      <c r="V62" s="2">
        <f t="shared" si="1"/>
        <v>4.676169473672092E-2</v>
      </c>
      <c r="W62" s="4">
        <v>19.260000000000002</v>
      </c>
      <c r="X62" s="5">
        <v>9.0600049588829279E-5</v>
      </c>
    </row>
    <row r="63" spans="1:24">
      <c r="A63" s="1" t="s">
        <v>81</v>
      </c>
      <c r="B63" s="1">
        <v>8</v>
      </c>
      <c r="C63" s="1">
        <v>2</v>
      </c>
      <c r="D63" s="1" t="s">
        <v>17</v>
      </c>
      <c r="E63" s="1">
        <v>12</v>
      </c>
      <c r="F63" s="1">
        <v>6</v>
      </c>
      <c r="G63" s="1" t="s">
        <v>18</v>
      </c>
      <c r="H63" s="1">
        <v>16</v>
      </c>
      <c r="I63" s="1">
        <v>8</v>
      </c>
      <c r="J63" s="1" t="s">
        <v>17</v>
      </c>
      <c r="K63" s="1">
        <v>3</v>
      </c>
      <c r="L63" s="1" t="s">
        <v>19</v>
      </c>
      <c r="M63" s="1" t="s">
        <v>20</v>
      </c>
      <c r="N63" s="1" t="s">
        <v>18</v>
      </c>
      <c r="O63" s="1" t="s">
        <v>17</v>
      </c>
      <c r="P63" s="1" t="s">
        <v>18</v>
      </c>
      <c r="Q63" s="1" t="s">
        <v>18</v>
      </c>
      <c r="R63" s="1" t="s">
        <v>18</v>
      </c>
      <c r="S63" s="1" t="s">
        <v>18</v>
      </c>
      <c r="T63" s="1">
        <v>64.400000000000006</v>
      </c>
      <c r="U63" s="1">
        <v>70.628505000000004</v>
      </c>
      <c r="V63" s="2">
        <f t="shared" si="1"/>
        <v>9.6715916149068284E-2</v>
      </c>
      <c r="W63" s="4">
        <v>19.71</v>
      </c>
      <c r="X63" s="5">
        <v>9.4799965154379606E-5</v>
      </c>
    </row>
    <row r="64" spans="1:24">
      <c r="A64" s="1" t="s">
        <v>82</v>
      </c>
      <c r="B64" s="1">
        <v>8</v>
      </c>
      <c r="C64" s="1">
        <v>6</v>
      </c>
      <c r="D64" s="1" t="s">
        <v>17</v>
      </c>
      <c r="E64" s="1">
        <v>10</v>
      </c>
      <c r="F64" s="1">
        <v>4</v>
      </c>
      <c r="G64" s="1" t="s">
        <v>17</v>
      </c>
      <c r="H64" s="1">
        <v>8</v>
      </c>
      <c r="I64" s="1">
        <v>0</v>
      </c>
      <c r="J64" s="1" t="s">
        <v>17</v>
      </c>
      <c r="K64" s="1">
        <v>3</v>
      </c>
      <c r="L64" s="1" t="s">
        <v>19</v>
      </c>
      <c r="M64" s="1" t="s">
        <v>20</v>
      </c>
      <c r="N64" s="1" t="s">
        <v>18</v>
      </c>
      <c r="O64" s="1" t="s">
        <v>17</v>
      </c>
      <c r="P64" s="1" t="s">
        <v>18</v>
      </c>
      <c r="Q64" s="1" t="s">
        <v>18</v>
      </c>
      <c r="R64" s="1" t="s">
        <v>18</v>
      </c>
      <c r="S64" s="1" t="s">
        <v>18</v>
      </c>
      <c r="T64" s="1">
        <v>72.8</v>
      </c>
      <c r="U64" s="1">
        <v>72.581366000000003</v>
      </c>
      <c r="V64" s="2">
        <f t="shared" si="1"/>
        <v>3.0032142857142094E-3</v>
      </c>
      <c r="W64" s="4">
        <v>19.32</v>
      </c>
      <c r="X64" s="5">
        <v>1.0699999984353779E-4</v>
      </c>
    </row>
    <row r="65" spans="1:24">
      <c r="A65" s="1" t="s">
        <v>83</v>
      </c>
      <c r="B65" s="1">
        <v>16</v>
      </c>
      <c r="C65" s="1">
        <v>1</v>
      </c>
      <c r="D65" s="1" t="s">
        <v>18</v>
      </c>
      <c r="E65" s="1">
        <v>14</v>
      </c>
      <c r="F65" s="1">
        <v>3</v>
      </c>
      <c r="G65" s="1" t="s">
        <v>18</v>
      </c>
      <c r="H65" s="1">
        <v>10</v>
      </c>
      <c r="I65" s="1">
        <v>4</v>
      </c>
      <c r="J65" s="1" t="s">
        <v>18</v>
      </c>
      <c r="K65" s="1">
        <v>2</v>
      </c>
      <c r="L65" s="1" t="s">
        <v>19</v>
      </c>
      <c r="M65" s="1" t="s">
        <v>20</v>
      </c>
      <c r="N65" s="1" t="s">
        <v>17</v>
      </c>
      <c r="O65" s="1" t="s">
        <v>17</v>
      </c>
      <c r="P65" s="1" t="s">
        <v>18</v>
      </c>
      <c r="Q65" s="1" t="s">
        <v>18</v>
      </c>
      <c r="R65" s="1" t="s">
        <v>17</v>
      </c>
      <c r="S65" s="1" t="s">
        <v>18</v>
      </c>
      <c r="T65" s="1">
        <v>245.55999499999999</v>
      </c>
      <c r="U65" s="1">
        <v>246.312487</v>
      </c>
      <c r="V65" s="2">
        <f t="shared" si="1"/>
        <v>3.0643916571183264E-3</v>
      </c>
      <c r="W65" s="4">
        <v>19.260000000000002</v>
      </c>
      <c r="X65" s="5">
        <v>9.4299961347132921E-5</v>
      </c>
    </row>
    <row r="66" spans="1:24">
      <c r="A66" s="1" t="s">
        <v>84</v>
      </c>
      <c r="B66" s="1">
        <v>12</v>
      </c>
      <c r="C66" s="1">
        <v>1</v>
      </c>
      <c r="D66" s="1" t="s">
        <v>18</v>
      </c>
      <c r="E66" s="1">
        <v>8</v>
      </c>
      <c r="F66" s="1">
        <v>6</v>
      </c>
      <c r="G66" s="1" t="s">
        <v>18</v>
      </c>
      <c r="H66" s="1">
        <v>12</v>
      </c>
      <c r="I66" s="1">
        <v>2</v>
      </c>
      <c r="J66" s="1" t="s">
        <v>18</v>
      </c>
      <c r="K66" s="1">
        <v>2</v>
      </c>
      <c r="L66" s="1" t="s">
        <v>19</v>
      </c>
      <c r="M66" s="1" t="s">
        <v>20</v>
      </c>
      <c r="N66" s="1" t="s">
        <v>17</v>
      </c>
      <c r="O66" s="1" t="s">
        <v>18</v>
      </c>
      <c r="P66" s="1" t="s">
        <v>18</v>
      </c>
      <c r="Q66" s="1" t="s">
        <v>18</v>
      </c>
      <c r="R66" s="1" t="s">
        <v>18</v>
      </c>
      <c r="S66" s="1" t="s">
        <v>17</v>
      </c>
      <c r="T66" s="1">
        <v>239.67999499999999</v>
      </c>
      <c r="U66" s="1">
        <v>238.954668</v>
      </c>
      <c r="V66" s="2">
        <f t="shared" ref="V66:V97" si="2">ABS(U66-T66)/T66</f>
        <v>3.0262308708742798E-3</v>
      </c>
      <c r="W66" s="4">
        <v>19.5</v>
      </c>
      <c r="X66" s="5">
        <v>8.509994950145483E-5</v>
      </c>
    </row>
    <row r="67" spans="1:24">
      <c r="A67" s="1" t="s">
        <v>85</v>
      </c>
      <c r="B67" s="1">
        <v>9</v>
      </c>
      <c r="C67" s="1">
        <v>3</v>
      </c>
      <c r="D67" s="1" t="s">
        <v>18</v>
      </c>
      <c r="E67" s="1">
        <v>9</v>
      </c>
      <c r="F67" s="1">
        <v>0</v>
      </c>
      <c r="G67" s="1" t="s">
        <v>17</v>
      </c>
      <c r="H67" s="1">
        <v>8</v>
      </c>
      <c r="I67" s="1">
        <v>6</v>
      </c>
      <c r="J67" s="1" t="s">
        <v>17</v>
      </c>
      <c r="K67" s="1">
        <v>2</v>
      </c>
      <c r="L67" s="1" t="s">
        <v>19</v>
      </c>
      <c r="M67" s="1" t="s">
        <v>20</v>
      </c>
      <c r="N67" s="1" t="s">
        <v>18</v>
      </c>
      <c r="O67" s="1" t="s">
        <v>17</v>
      </c>
      <c r="P67" s="1" t="s">
        <v>18</v>
      </c>
      <c r="Q67" s="1" t="s">
        <v>18</v>
      </c>
      <c r="R67" s="1" t="s">
        <v>18</v>
      </c>
      <c r="S67" s="1" t="s">
        <v>18</v>
      </c>
      <c r="T67" s="1">
        <v>57.96</v>
      </c>
      <c r="U67" s="1">
        <v>59.100234999999998</v>
      </c>
      <c r="V67" s="2">
        <f t="shared" si="2"/>
        <v>1.9672791580400223E-2</v>
      </c>
      <c r="W67" s="4">
        <v>19.43</v>
      </c>
      <c r="X67" s="5">
        <v>8.6700019892305136E-5</v>
      </c>
    </row>
    <row r="68" spans="1:24">
      <c r="A68" s="1" t="s">
        <v>86</v>
      </c>
      <c r="B68" s="1">
        <v>9</v>
      </c>
      <c r="C68" s="1">
        <v>8</v>
      </c>
      <c r="D68" s="1" t="s">
        <v>18</v>
      </c>
      <c r="E68" s="1">
        <v>12</v>
      </c>
      <c r="F68" s="1">
        <v>3</v>
      </c>
      <c r="G68" s="1" t="s">
        <v>17</v>
      </c>
      <c r="H68" s="1">
        <v>12</v>
      </c>
      <c r="I68" s="1">
        <v>2</v>
      </c>
      <c r="J68" s="1" t="s">
        <v>17</v>
      </c>
      <c r="K68" s="1">
        <v>2</v>
      </c>
      <c r="L68" s="1" t="s">
        <v>19</v>
      </c>
      <c r="M68" s="1" t="s">
        <v>20</v>
      </c>
      <c r="N68" s="1" t="s">
        <v>18</v>
      </c>
      <c r="O68" s="1" t="s">
        <v>17</v>
      </c>
      <c r="P68" s="1" t="s">
        <v>18</v>
      </c>
      <c r="Q68" s="1" t="s">
        <v>18</v>
      </c>
      <c r="R68" s="1" t="s">
        <v>17</v>
      </c>
      <c r="S68" s="1" t="s">
        <v>18</v>
      </c>
      <c r="T68" s="1">
        <v>233.800003</v>
      </c>
      <c r="U68" s="1">
        <v>233.800003</v>
      </c>
      <c r="V68" s="2">
        <f t="shared" si="2"/>
        <v>0</v>
      </c>
      <c r="W68" s="4">
        <v>19.75</v>
      </c>
      <c r="X68" s="5">
        <v>8.6100015323609114E-5</v>
      </c>
    </row>
    <row r="69" spans="1:24">
      <c r="A69" s="1" t="s">
        <v>87</v>
      </c>
      <c r="B69" s="1">
        <v>8</v>
      </c>
      <c r="C69" s="1">
        <v>4</v>
      </c>
      <c r="D69" s="1" t="s">
        <v>17</v>
      </c>
      <c r="E69" s="1">
        <v>5</v>
      </c>
      <c r="F69" s="1">
        <v>0</v>
      </c>
      <c r="G69" s="1" t="s">
        <v>18</v>
      </c>
      <c r="H69" s="1">
        <v>12</v>
      </c>
      <c r="I69" s="1">
        <v>3</v>
      </c>
      <c r="J69" s="1" t="s">
        <v>17</v>
      </c>
      <c r="K69" s="1">
        <v>3</v>
      </c>
      <c r="L69" s="1" t="s">
        <v>19</v>
      </c>
      <c r="M69" s="1" t="s">
        <v>20</v>
      </c>
      <c r="N69" s="1" t="s">
        <v>17</v>
      </c>
      <c r="O69" s="1" t="s">
        <v>17</v>
      </c>
      <c r="P69" s="1" t="s">
        <v>17</v>
      </c>
      <c r="Q69" s="1" t="s">
        <v>17</v>
      </c>
      <c r="R69" s="1" t="s">
        <v>17</v>
      </c>
      <c r="S69" s="1" t="s">
        <v>17</v>
      </c>
      <c r="T69" s="1">
        <v>667.23998300000005</v>
      </c>
      <c r="U69" s="1">
        <v>672.65302799999995</v>
      </c>
      <c r="V69" s="2">
        <f t="shared" si="2"/>
        <v>8.112590878715218E-3</v>
      </c>
      <c r="W69" s="4">
        <v>19.59</v>
      </c>
      <c r="X69" s="5">
        <v>8.5999956354498863E-5</v>
      </c>
    </row>
    <row r="70" spans="1:24">
      <c r="A70" s="1" t="s">
        <v>88</v>
      </c>
      <c r="B70" s="1">
        <v>14</v>
      </c>
      <c r="C70" s="1">
        <v>3</v>
      </c>
      <c r="D70" s="1" t="s">
        <v>18</v>
      </c>
      <c r="E70" s="1">
        <v>6</v>
      </c>
      <c r="F70" s="1">
        <v>4</v>
      </c>
      <c r="G70" s="1" t="s">
        <v>18</v>
      </c>
      <c r="H70" s="1">
        <v>12</v>
      </c>
      <c r="I70" s="1">
        <v>0</v>
      </c>
      <c r="J70" s="1" t="s">
        <v>18</v>
      </c>
      <c r="K70" s="1">
        <v>0</v>
      </c>
      <c r="L70" s="1" t="s">
        <v>19</v>
      </c>
      <c r="M70" s="1" t="s">
        <v>20</v>
      </c>
      <c r="N70" s="1" t="s">
        <v>18</v>
      </c>
      <c r="O70" s="1" t="s">
        <v>17</v>
      </c>
      <c r="P70" s="1" t="s">
        <v>18</v>
      </c>
      <c r="Q70" s="1" t="s">
        <v>18</v>
      </c>
      <c r="R70" s="1" t="s">
        <v>17</v>
      </c>
      <c r="S70" s="1" t="s">
        <v>18</v>
      </c>
      <c r="T70" s="1">
        <v>76.16</v>
      </c>
      <c r="U70" s="1">
        <v>89.228992000000005</v>
      </c>
      <c r="V70" s="2">
        <f t="shared" si="2"/>
        <v>0.17159915966386566</v>
      </c>
      <c r="W70" s="4">
        <v>19.72</v>
      </c>
      <c r="X70" s="5">
        <v>9.1499998234212399E-5</v>
      </c>
    </row>
    <row r="71" spans="1:24">
      <c r="A71" s="1" t="s">
        <v>89</v>
      </c>
      <c r="B71" s="1">
        <v>12</v>
      </c>
      <c r="C71" s="1">
        <v>6</v>
      </c>
      <c r="D71" s="1" t="s">
        <v>17</v>
      </c>
      <c r="E71" s="1">
        <v>8</v>
      </c>
      <c r="F71" s="1">
        <v>2</v>
      </c>
      <c r="G71" s="1" t="s">
        <v>18</v>
      </c>
      <c r="H71" s="1">
        <v>10</v>
      </c>
      <c r="I71" s="1">
        <v>1</v>
      </c>
      <c r="J71" s="1" t="s">
        <v>17</v>
      </c>
      <c r="K71" s="1">
        <v>4</v>
      </c>
      <c r="L71" s="1" t="s">
        <v>19</v>
      </c>
      <c r="M71" s="1" t="s">
        <v>20</v>
      </c>
      <c r="N71" s="1" t="s">
        <v>18</v>
      </c>
      <c r="O71" s="1" t="s">
        <v>17</v>
      </c>
      <c r="P71" s="1" t="s">
        <v>18</v>
      </c>
      <c r="Q71" s="1" t="s">
        <v>18</v>
      </c>
      <c r="R71" s="1" t="s">
        <v>17</v>
      </c>
      <c r="S71" s="1" t="s">
        <v>18</v>
      </c>
      <c r="T71" s="1">
        <v>346.08000500000003</v>
      </c>
      <c r="U71" s="1">
        <v>340.11541099999999</v>
      </c>
      <c r="V71" s="2">
        <f t="shared" si="2"/>
        <v>1.7234725825896913E-2</v>
      </c>
      <c r="W71" s="4">
        <v>19.89</v>
      </c>
      <c r="X71" s="5">
        <v>8.5300009232014418E-5</v>
      </c>
    </row>
    <row r="72" spans="1:24">
      <c r="A72" s="1" t="s">
        <v>90</v>
      </c>
      <c r="B72" s="1">
        <v>10</v>
      </c>
      <c r="C72" s="1">
        <v>3</v>
      </c>
      <c r="D72" s="1" t="s">
        <v>17</v>
      </c>
      <c r="E72" s="1">
        <v>8</v>
      </c>
      <c r="F72" s="1">
        <v>0</v>
      </c>
      <c r="G72" s="1" t="s">
        <v>17</v>
      </c>
      <c r="H72" s="1">
        <v>12</v>
      </c>
      <c r="I72" s="1">
        <v>2</v>
      </c>
      <c r="J72" s="1" t="s">
        <v>17</v>
      </c>
      <c r="K72" s="1">
        <v>3</v>
      </c>
      <c r="L72" s="1" t="s">
        <v>19</v>
      </c>
      <c r="M72" s="1" t="s">
        <v>20</v>
      </c>
      <c r="N72" s="1" t="s">
        <v>18</v>
      </c>
      <c r="O72" s="1" t="s">
        <v>18</v>
      </c>
      <c r="P72" s="1" t="s">
        <v>18</v>
      </c>
      <c r="Q72" s="1" t="s">
        <v>17</v>
      </c>
      <c r="R72" s="1" t="s">
        <v>18</v>
      </c>
      <c r="S72" s="1" t="s">
        <v>17</v>
      </c>
      <c r="T72" s="1">
        <v>325.360004</v>
      </c>
      <c r="U72" s="1">
        <v>331.01006100000001</v>
      </c>
      <c r="V72" s="2">
        <f t="shared" si="2"/>
        <v>1.736555486395926E-2</v>
      </c>
      <c r="W72" s="4">
        <v>19.38</v>
      </c>
      <c r="X72" s="5">
        <v>8.8199973106384277E-5</v>
      </c>
    </row>
    <row r="73" spans="1:24">
      <c r="A73" s="1" t="s">
        <v>91</v>
      </c>
      <c r="B73" s="1">
        <v>9</v>
      </c>
      <c r="C73" s="1">
        <v>2</v>
      </c>
      <c r="D73" s="1" t="s">
        <v>17</v>
      </c>
      <c r="E73" s="1">
        <v>9</v>
      </c>
      <c r="F73" s="1">
        <v>3</v>
      </c>
      <c r="G73" s="1" t="s">
        <v>17</v>
      </c>
      <c r="H73" s="1">
        <v>10</v>
      </c>
      <c r="I73" s="1">
        <v>4</v>
      </c>
      <c r="J73" s="1" t="s">
        <v>17</v>
      </c>
      <c r="K73" s="1">
        <v>6</v>
      </c>
      <c r="L73" s="1" t="s">
        <v>19</v>
      </c>
      <c r="M73" s="1" t="s">
        <v>20</v>
      </c>
      <c r="N73" s="1" t="s">
        <v>17</v>
      </c>
      <c r="O73" s="1" t="s">
        <v>17</v>
      </c>
      <c r="P73" s="1" t="s">
        <v>18</v>
      </c>
      <c r="Q73" s="1" t="s">
        <v>18</v>
      </c>
      <c r="R73" s="1" t="s">
        <v>17</v>
      </c>
      <c r="S73" s="1" t="s">
        <v>18</v>
      </c>
      <c r="T73" s="1">
        <v>498.11998699999998</v>
      </c>
      <c r="U73" s="1">
        <v>485.13201800000002</v>
      </c>
      <c r="V73" s="2">
        <f t="shared" si="2"/>
        <v>2.6073976830807161E-2</v>
      </c>
      <c r="W73" s="4">
        <v>19.39</v>
      </c>
      <c r="X73" s="5">
        <v>8.7200023699551821E-5</v>
      </c>
    </row>
    <row r="74" spans="1:24">
      <c r="A74" s="1" t="s">
        <v>92</v>
      </c>
      <c r="B74" s="1">
        <v>16</v>
      </c>
      <c r="C74" s="1">
        <v>8</v>
      </c>
      <c r="D74" s="1" t="s">
        <v>18</v>
      </c>
      <c r="E74" s="1">
        <v>10</v>
      </c>
      <c r="F74" s="1">
        <v>3</v>
      </c>
      <c r="G74" s="1" t="s">
        <v>17</v>
      </c>
      <c r="H74" s="1">
        <v>6</v>
      </c>
      <c r="I74" s="1">
        <v>3</v>
      </c>
      <c r="J74" s="1" t="s">
        <v>17</v>
      </c>
      <c r="K74" s="1">
        <v>3</v>
      </c>
      <c r="L74" s="1" t="s">
        <v>19</v>
      </c>
      <c r="M74" s="1" t="s">
        <v>20</v>
      </c>
      <c r="N74" s="1" t="s">
        <v>18</v>
      </c>
      <c r="O74" s="1" t="s">
        <v>18</v>
      </c>
      <c r="P74" s="1" t="s">
        <v>18</v>
      </c>
      <c r="Q74" s="1" t="s">
        <v>17</v>
      </c>
      <c r="R74" s="1" t="s">
        <v>18</v>
      </c>
      <c r="S74" s="1" t="s">
        <v>17</v>
      </c>
      <c r="T74" s="1">
        <v>236.32000199999999</v>
      </c>
      <c r="U74" s="1">
        <v>237.59422599999999</v>
      </c>
      <c r="V74" s="2">
        <f t="shared" si="2"/>
        <v>5.3919430823295431E-3</v>
      </c>
      <c r="W74" s="4">
        <v>19.62</v>
      </c>
      <c r="X74" s="5">
        <v>8.8399974629282951E-5</v>
      </c>
    </row>
    <row r="75" spans="1:24">
      <c r="A75" s="1" t="s">
        <v>93</v>
      </c>
      <c r="B75" s="1">
        <v>8</v>
      </c>
      <c r="C75" s="1">
        <v>3</v>
      </c>
      <c r="D75" s="1" t="s">
        <v>17</v>
      </c>
      <c r="E75" s="1">
        <v>10</v>
      </c>
      <c r="F75" s="1">
        <v>6</v>
      </c>
      <c r="G75" s="1" t="s">
        <v>17</v>
      </c>
      <c r="H75" s="1">
        <v>16</v>
      </c>
      <c r="I75" s="1">
        <v>8</v>
      </c>
      <c r="J75" s="1" t="s">
        <v>17</v>
      </c>
      <c r="K75" s="1">
        <v>6</v>
      </c>
      <c r="L75" s="1" t="s">
        <v>19</v>
      </c>
      <c r="M75" s="1" t="s">
        <v>20</v>
      </c>
      <c r="N75" s="1" t="s">
        <v>17</v>
      </c>
      <c r="O75" s="1" t="s">
        <v>18</v>
      </c>
      <c r="P75" s="1" t="s">
        <v>18</v>
      </c>
      <c r="Q75" s="1" t="s">
        <v>18</v>
      </c>
      <c r="R75" s="1" t="s">
        <v>17</v>
      </c>
      <c r="S75" s="1" t="s">
        <v>18</v>
      </c>
      <c r="T75" s="1">
        <v>669.19998199999998</v>
      </c>
      <c r="U75" s="1">
        <v>658.95966399999998</v>
      </c>
      <c r="V75" s="2">
        <f t="shared" si="2"/>
        <v>1.5302328564617329E-2</v>
      </c>
      <c r="W75" s="4">
        <v>19.62</v>
      </c>
      <c r="X75" s="5">
        <v>8.7400025222450495E-5</v>
      </c>
    </row>
    <row r="76" spans="1:24">
      <c r="A76" s="1" t="s">
        <v>94</v>
      </c>
      <c r="B76" s="1">
        <v>12</v>
      </c>
      <c r="C76" s="1">
        <v>3</v>
      </c>
      <c r="D76" s="1" t="s">
        <v>17</v>
      </c>
      <c r="E76" s="1">
        <v>8</v>
      </c>
      <c r="F76" s="1">
        <v>4</v>
      </c>
      <c r="G76" s="1" t="s">
        <v>17</v>
      </c>
      <c r="H76" s="1">
        <v>9</v>
      </c>
      <c r="I76" s="1">
        <v>4</v>
      </c>
      <c r="J76" s="1" t="s">
        <v>17</v>
      </c>
      <c r="K76" s="1">
        <v>6</v>
      </c>
      <c r="L76" s="1" t="s">
        <v>19</v>
      </c>
      <c r="M76" s="1" t="s">
        <v>20</v>
      </c>
      <c r="N76" s="1" t="s">
        <v>17</v>
      </c>
      <c r="O76" s="1" t="s">
        <v>18</v>
      </c>
      <c r="P76" s="1" t="s">
        <v>18</v>
      </c>
      <c r="Q76" s="1" t="s">
        <v>17</v>
      </c>
      <c r="R76" s="1" t="s">
        <v>18</v>
      </c>
      <c r="S76" s="1" t="s">
        <v>17</v>
      </c>
      <c r="T76" s="1">
        <v>528.91998699999999</v>
      </c>
      <c r="U76" s="1">
        <v>511.18544800000001</v>
      </c>
      <c r="V76" s="2">
        <f t="shared" si="2"/>
        <v>3.3529719874246279E-2</v>
      </c>
      <c r="W76" s="4">
        <v>19.71</v>
      </c>
      <c r="X76" s="5">
        <v>8.7200023699551821E-5</v>
      </c>
    </row>
    <row r="77" spans="1:24">
      <c r="A77" s="1" t="s">
        <v>95</v>
      </c>
      <c r="B77" s="1">
        <v>8</v>
      </c>
      <c r="C77" s="1">
        <v>1</v>
      </c>
      <c r="D77" s="1" t="s">
        <v>17</v>
      </c>
      <c r="E77" s="1">
        <v>4</v>
      </c>
      <c r="F77" s="1">
        <v>3</v>
      </c>
      <c r="G77" s="1" t="s">
        <v>18</v>
      </c>
      <c r="H77" s="1">
        <v>8</v>
      </c>
      <c r="I77" s="1">
        <v>2</v>
      </c>
      <c r="J77" s="1" t="s">
        <v>17</v>
      </c>
      <c r="K77" s="1">
        <v>0</v>
      </c>
      <c r="L77" s="1" t="s">
        <v>19</v>
      </c>
      <c r="M77" s="1" t="s">
        <v>20</v>
      </c>
      <c r="N77" s="1" t="s">
        <v>18</v>
      </c>
      <c r="O77" s="1" t="s">
        <v>17</v>
      </c>
      <c r="P77" s="1" t="s">
        <v>17</v>
      </c>
      <c r="Q77" s="1" t="s">
        <v>17</v>
      </c>
      <c r="R77" s="1" t="s">
        <v>17</v>
      </c>
      <c r="S77" s="1" t="s">
        <v>17</v>
      </c>
      <c r="T77" s="1">
        <v>104.72</v>
      </c>
      <c r="U77" s="1">
        <v>116.378198</v>
      </c>
      <c r="V77" s="2">
        <f t="shared" si="2"/>
        <v>0.11132733002291825</v>
      </c>
      <c r="W77" s="4">
        <v>20.07</v>
      </c>
      <c r="X77" s="5">
        <v>8.6500018369406462E-5</v>
      </c>
    </row>
    <row r="78" spans="1:24">
      <c r="A78" s="1" t="s">
        <v>96</v>
      </c>
      <c r="B78" s="1">
        <v>8</v>
      </c>
      <c r="C78" s="1">
        <v>6</v>
      </c>
      <c r="D78" s="1" t="s">
        <v>18</v>
      </c>
      <c r="E78" s="1">
        <v>12</v>
      </c>
      <c r="F78" s="1">
        <v>1</v>
      </c>
      <c r="G78" s="1" t="s">
        <v>18</v>
      </c>
      <c r="H78" s="1">
        <v>16</v>
      </c>
      <c r="I78" s="1">
        <v>3</v>
      </c>
      <c r="J78" s="1" t="s">
        <v>18</v>
      </c>
      <c r="K78" s="1">
        <v>1</v>
      </c>
      <c r="L78" s="1" t="s">
        <v>19</v>
      </c>
      <c r="M78" s="1" t="s">
        <v>20</v>
      </c>
      <c r="N78" s="1" t="s">
        <v>17</v>
      </c>
      <c r="O78" s="1" t="s">
        <v>18</v>
      </c>
      <c r="P78" s="1" t="s">
        <v>18</v>
      </c>
      <c r="Q78" s="1" t="s">
        <v>17</v>
      </c>
      <c r="R78" s="1" t="s">
        <v>17</v>
      </c>
      <c r="S78" s="1" t="s">
        <v>18</v>
      </c>
      <c r="T78" s="1">
        <v>190.67999599999999</v>
      </c>
      <c r="U78" s="1">
        <v>190.59132299999999</v>
      </c>
      <c r="V78" s="2">
        <f t="shared" si="2"/>
        <v>4.6503567159714019E-4</v>
      </c>
      <c r="W78" s="4">
        <v>20.010000000000002</v>
      </c>
      <c r="X78" s="5">
        <v>8.709996473044157E-5</v>
      </c>
    </row>
    <row r="79" spans="1:24">
      <c r="A79" s="1" t="s">
        <v>97</v>
      </c>
      <c r="B79" s="1">
        <v>8</v>
      </c>
      <c r="C79" s="1">
        <v>2</v>
      </c>
      <c r="D79" s="1" t="s">
        <v>18</v>
      </c>
      <c r="E79" s="1">
        <v>6</v>
      </c>
      <c r="F79" s="1">
        <v>4</v>
      </c>
      <c r="G79" s="1" t="s">
        <v>17</v>
      </c>
      <c r="H79" s="1">
        <v>6</v>
      </c>
      <c r="I79" s="1">
        <v>2</v>
      </c>
      <c r="J79" s="1" t="s">
        <v>17</v>
      </c>
      <c r="K79" s="1">
        <v>6</v>
      </c>
      <c r="L79" s="1" t="s">
        <v>19</v>
      </c>
      <c r="M79" s="1" t="s">
        <v>20</v>
      </c>
      <c r="N79" s="1" t="s">
        <v>18</v>
      </c>
      <c r="O79" s="1" t="s">
        <v>18</v>
      </c>
      <c r="P79" s="1" t="s">
        <v>18</v>
      </c>
      <c r="Q79" s="1" t="s">
        <v>17</v>
      </c>
      <c r="R79" s="1" t="s">
        <v>18</v>
      </c>
      <c r="S79" s="1" t="s">
        <v>17</v>
      </c>
      <c r="T79" s="1">
        <v>330.68000499999999</v>
      </c>
      <c r="U79" s="1">
        <v>322.75031899999999</v>
      </c>
      <c r="V79" s="2">
        <f t="shared" si="2"/>
        <v>2.3979937946353919E-2</v>
      </c>
      <c r="W79" s="4">
        <v>19.91</v>
      </c>
      <c r="X79" s="5">
        <v>8.7200023699551821E-5</v>
      </c>
    </row>
    <row r="80" spans="1:24">
      <c r="A80" s="1" t="s">
        <v>98</v>
      </c>
      <c r="B80" s="1">
        <v>9</v>
      </c>
      <c r="C80" s="1">
        <v>4</v>
      </c>
      <c r="D80" s="1" t="s">
        <v>17</v>
      </c>
      <c r="E80" s="1">
        <v>6</v>
      </c>
      <c r="F80" s="1">
        <v>4</v>
      </c>
      <c r="G80" s="1" t="s">
        <v>18</v>
      </c>
      <c r="H80" s="1">
        <v>5</v>
      </c>
      <c r="I80" s="1">
        <v>4</v>
      </c>
      <c r="J80" s="1" t="s">
        <v>17</v>
      </c>
      <c r="K80" s="1">
        <v>3</v>
      </c>
      <c r="L80" s="1" t="s">
        <v>19</v>
      </c>
      <c r="M80" s="1" t="s">
        <v>20</v>
      </c>
      <c r="N80" s="1" t="s">
        <v>18</v>
      </c>
      <c r="O80" s="1" t="s">
        <v>18</v>
      </c>
      <c r="P80" s="1" t="s">
        <v>17</v>
      </c>
      <c r="Q80" s="1" t="s">
        <v>18</v>
      </c>
      <c r="R80" s="1" t="s">
        <v>18</v>
      </c>
      <c r="S80" s="1" t="s">
        <v>18</v>
      </c>
      <c r="T80" s="1">
        <v>57.4</v>
      </c>
      <c r="U80" s="1">
        <v>56.022734999999997</v>
      </c>
      <c r="V80" s="2">
        <f t="shared" si="2"/>
        <v>2.3994163763066224E-2</v>
      </c>
      <c r="W80" s="4">
        <v>19.39</v>
      </c>
      <c r="X80" s="5">
        <v>8.5100007709115744E-5</v>
      </c>
    </row>
    <row r="81" spans="1:24">
      <c r="A81" s="1" t="s">
        <v>99</v>
      </c>
      <c r="B81" s="1">
        <v>12</v>
      </c>
      <c r="C81" s="1">
        <v>8</v>
      </c>
      <c r="D81" s="1" t="s">
        <v>17</v>
      </c>
      <c r="E81" s="1">
        <v>12</v>
      </c>
      <c r="F81" s="1">
        <v>0</v>
      </c>
      <c r="G81" s="1" t="s">
        <v>17</v>
      </c>
      <c r="H81" s="1">
        <v>9</v>
      </c>
      <c r="I81" s="1">
        <v>4</v>
      </c>
      <c r="J81" s="1" t="s">
        <v>17</v>
      </c>
      <c r="K81" s="1">
        <v>1</v>
      </c>
      <c r="L81" s="1" t="s">
        <v>19</v>
      </c>
      <c r="M81" s="1" t="s">
        <v>20</v>
      </c>
      <c r="N81" s="1" t="s">
        <v>17</v>
      </c>
      <c r="O81" s="1" t="s">
        <v>18</v>
      </c>
      <c r="P81" s="1" t="s">
        <v>17</v>
      </c>
      <c r="Q81" s="1" t="s">
        <v>18</v>
      </c>
      <c r="R81" s="1" t="s">
        <v>18</v>
      </c>
      <c r="S81" s="1" t="s">
        <v>18</v>
      </c>
      <c r="T81" s="1">
        <v>60.759999000000001</v>
      </c>
      <c r="U81" s="1">
        <v>77.316383000000002</v>
      </c>
      <c r="V81" s="2">
        <f t="shared" si="2"/>
        <v>0.27248822041619852</v>
      </c>
      <c r="W81" s="4">
        <v>19.440000000000001</v>
      </c>
      <c r="X81" s="5">
        <v>8.7200023699551821E-5</v>
      </c>
    </row>
    <row r="82" spans="1:24">
      <c r="A82" s="1" t="s">
        <v>100</v>
      </c>
      <c r="B82" s="1">
        <v>12</v>
      </c>
      <c r="C82" s="1">
        <v>4</v>
      </c>
      <c r="D82" s="1" t="s">
        <v>18</v>
      </c>
      <c r="E82" s="1">
        <v>8</v>
      </c>
      <c r="F82" s="1">
        <v>2</v>
      </c>
      <c r="G82" s="1" t="s">
        <v>18</v>
      </c>
      <c r="H82" s="1">
        <v>16</v>
      </c>
      <c r="I82" s="1">
        <v>4</v>
      </c>
      <c r="J82" s="1" t="s">
        <v>18</v>
      </c>
      <c r="K82" s="1">
        <v>4</v>
      </c>
      <c r="L82" s="1" t="s">
        <v>19</v>
      </c>
      <c r="M82" s="1" t="s">
        <v>20</v>
      </c>
      <c r="N82" s="1" t="s">
        <v>18</v>
      </c>
      <c r="O82" s="1" t="s">
        <v>18</v>
      </c>
      <c r="P82" s="1" t="s">
        <v>18</v>
      </c>
      <c r="Q82" s="1" t="s">
        <v>18</v>
      </c>
      <c r="R82" s="1" t="s">
        <v>18</v>
      </c>
      <c r="S82" s="1" t="s">
        <v>17</v>
      </c>
      <c r="T82" s="1">
        <v>378.28000500000002</v>
      </c>
      <c r="U82" s="1">
        <v>373.79449599999998</v>
      </c>
      <c r="V82" s="2">
        <f t="shared" si="2"/>
        <v>1.1857642330315703E-2</v>
      </c>
      <c r="W82" s="4">
        <v>19.649999999999999</v>
      </c>
      <c r="X82" s="5">
        <v>8.5300009232014418E-5</v>
      </c>
    </row>
    <row r="83" spans="1:24">
      <c r="A83" s="1" t="s">
        <v>101</v>
      </c>
      <c r="B83" s="1">
        <v>6</v>
      </c>
      <c r="C83" s="1">
        <v>4</v>
      </c>
      <c r="D83" s="1" t="s">
        <v>17</v>
      </c>
      <c r="E83" s="1">
        <v>5</v>
      </c>
      <c r="F83" s="1">
        <v>4</v>
      </c>
      <c r="G83" s="1" t="s">
        <v>18</v>
      </c>
      <c r="H83" s="1">
        <v>9</v>
      </c>
      <c r="I83" s="1">
        <v>2</v>
      </c>
      <c r="J83" s="1" t="s">
        <v>17</v>
      </c>
      <c r="K83" s="1">
        <v>6</v>
      </c>
      <c r="L83" s="1" t="s">
        <v>19</v>
      </c>
      <c r="M83" s="1" t="s">
        <v>20</v>
      </c>
      <c r="N83" s="1" t="s">
        <v>18</v>
      </c>
      <c r="O83" s="1" t="s">
        <v>18</v>
      </c>
      <c r="P83" s="1" t="s">
        <v>18</v>
      </c>
      <c r="Q83" s="1" t="s">
        <v>17</v>
      </c>
      <c r="R83" s="1" t="s">
        <v>18</v>
      </c>
      <c r="S83" s="1" t="s">
        <v>17</v>
      </c>
      <c r="T83" s="1">
        <v>409.920007</v>
      </c>
      <c r="U83" s="1">
        <v>414.64182099999999</v>
      </c>
      <c r="V83" s="2">
        <f t="shared" si="2"/>
        <v>1.1518866899316761E-2</v>
      </c>
      <c r="W83" s="4">
        <v>19.309999999999999</v>
      </c>
      <c r="X83" s="5">
        <v>8.6600019130855799E-5</v>
      </c>
    </row>
    <row r="84" spans="1:24">
      <c r="A84" s="1" t="s">
        <v>102</v>
      </c>
      <c r="B84" s="1">
        <v>9</v>
      </c>
      <c r="C84" s="1">
        <v>6</v>
      </c>
      <c r="D84" s="1" t="s">
        <v>17</v>
      </c>
      <c r="E84" s="1">
        <v>14</v>
      </c>
      <c r="F84" s="1">
        <v>6</v>
      </c>
      <c r="G84" s="1" t="s">
        <v>18</v>
      </c>
      <c r="H84" s="1">
        <v>8</v>
      </c>
      <c r="I84" s="1">
        <v>1</v>
      </c>
      <c r="J84" s="1" t="s">
        <v>17</v>
      </c>
      <c r="K84" s="1">
        <v>1</v>
      </c>
      <c r="L84" s="1" t="s">
        <v>19</v>
      </c>
      <c r="M84" s="1" t="s">
        <v>20</v>
      </c>
      <c r="N84" s="1" t="s">
        <v>17</v>
      </c>
      <c r="O84" s="1" t="s">
        <v>18</v>
      </c>
      <c r="P84" s="1" t="s">
        <v>18</v>
      </c>
      <c r="Q84" s="1" t="s">
        <v>17</v>
      </c>
      <c r="R84" s="1" t="s">
        <v>18</v>
      </c>
      <c r="S84" s="1" t="s">
        <v>17</v>
      </c>
      <c r="T84" s="1">
        <v>192.63999799999999</v>
      </c>
      <c r="U84" s="1">
        <v>167.35889700000001</v>
      </c>
      <c r="V84" s="2">
        <f t="shared" si="2"/>
        <v>0.13123495256680795</v>
      </c>
      <c r="W84" s="4">
        <v>19.46</v>
      </c>
      <c r="X84" s="5">
        <v>8.690002141520381E-5</v>
      </c>
    </row>
    <row r="85" spans="1:24">
      <c r="A85" s="1" t="s">
        <v>103</v>
      </c>
      <c r="B85" s="1">
        <v>6</v>
      </c>
      <c r="C85" s="1">
        <v>3</v>
      </c>
      <c r="D85" s="1" t="s">
        <v>18</v>
      </c>
      <c r="E85" s="1">
        <v>12</v>
      </c>
      <c r="F85" s="1">
        <v>3</v>
      </c>
      <c r="G85" s="1" t="s">
        <v>17</v>
      </c>
      <c r="H85" s="1">
        <v>8</v>
      </c>
      <c r="I85" s="1">
        <v>2</v>
      </c>
      <c r="J85" s="1" t="s">
        <v>17</v>
      </c>
      <c r="K85" s="1">
        <v>4</v>
      </c>
      <c r="L85" s="1" t="s">
        <v>19</v>
      </c>
      <c r="M85" s="1" t="s">
        <v>20</v>
      </c>
      <c r="N85" s="1" t="s">
        <v>18</v>
      </c>
      <c r="O85" s="1" t="s">
        <v>17</v>
      </c>
      <c r="P85" s="1" t="s">
        <v>18</v>
      </c>
      <c r="Q85" s="1" t="s">
        <v>18</v>
      </c>
      <c r="R85" s="1" t="s">
        <v>17</v>
      </c>
      <c r="S85" s="1" t="s">
        <v>18</v>
      </c>
      <c r="T85" s="1">
        <v>282.240004</v>
      </c>
      <c r="U85" s="1">
        <v>284.09687500000001</v>
      </c>
      <c r="V85" s="2">
        <f t="shared" si="2"/>
        <v>6.5790496516575031E-3</v>
      </c>
      <c r="W85" s="4">
        <v>19.829999999999998</v>
      </c>
      <c r="X85" s="5">
        <v>8.9899986051023006E-5</v>
      </c>
    </row>
    <row r="86" spans="1:24">
      <c r="A86" s="1" t="s">
        <v>104</v>
      </c>
      <c r="B86" s="1">
        <v>14</v>
      </c>
      <c r="C86" s="1">
        <v>8</v>
      </c>
      <c r="D86" s="1" t="s">
        <v>18</v>
      </c>
      <c r="E86" s="1">
        <v>4</v>
      </c>
      <c r="F86" s="1">
        <v>3</v>
      </c>
      <c r="G86" s="1" t="s">
        <v>18</v>
      </c>
      <c r="H86" s="1">
        <v>10</v>
      </c>
      <c r="I86" s="1">
        <v>4</v>
      </c>
      <c r="J86" s="1" t="s">
        <v>18</v>
      </c>
      <c r="K86" s="1">
        <v>6</v>
      </c>
      <c r="L86" s="1" t="s">
        <v>19</v>
      </c>
      <c r="M86" s="1" t="s">
        <v>20</v>
      </c>
      <c r="N86" s="1" t="s">
        <v>18</v>
      </c>
      <c r="O86" s="1" t="s">
        <v>17</v>
      </c>
      <c r="P86" s="1" t="s">
        <v>18</v>
      </c>
      <c r="Q86" s="1" t="s">
        <v>18</v>
      </c>
      <c r="R86" s="1" t="s">
        <v>18</v>
      </c>
      <c r="S86" s="1" t="s">
        <v>18</v>
      </c>
      <c r="T86" s="1">
        <v>77.280000999999999</v>
      </c>
      <c r="U86" s="1">
        <v>73.999892000000003</v>
      </c>
      <c r="V86" s="2">
        <f t="shared" si="2"/>
        <v>4.2444474088451367E-2</v>
      </c>
      <c r="W86" s="4">
        <v>19.28</v>
      </c>
      <c r="X86" s="5">
        <v>8.6499960161745548E-5</v>
      </c>
    </row>
    <row r="87" spans="1:24">
      <c r="A87" s="1" t="s">
        <v>105</v>
      </c>
      <c r="B87" s="1">
        <v>10</v>
      </c>
      <c r="C87" s="1">
        <v>1</v>
      </c>
      <c r="D87" s="1" t="s">
        <v>17</v>
      </c>
      <c r="E87" s="1">
        <v>10</v>
      </c>
      <c r="F87" s="1">
        <v>4</v>
      </c>
      <c r="G87" s="1" t="s">
        <v>18</v>
      </c>
      <c r="H87" s="1">
        <v>5</v>
      </c>
      <c r="I87" s="1">
        <v>0</v>
      </c>
      <c r="J87" s="1" t="s">
        <v>17</v>
      </c>
      <c r="K87" s="1">
        <v>4</v>
      </c>
      <c r="L87" s="1" t="s">
        <v>19</v>
      </c>
      <c r="M87" s="1" t="s">
        <v>20</v>
      </c>
      <c r="N87" s="1" t="s">
        <v>17</v>
      </c>
      <c r="O87" s="1" t="s">
        <v>18</v>
      </c>
      <c r="P87" s="1" t="s">
        <v>18</v>
      </c>
      <c r="Q87" s="1" t="s">
        <v>17</v>
      </c>
      <c r="R87" s="1" t="s">
        <v>17</v>
      </c>
      <c r="S87" s="1" t="s">
        <v>18</v>
      </c>
      <c r="T87" s="1">
        <v>239.67999499999999</v>
      </c>
      <c r="U87" s="1">
        <v>244.97551000000001</v>
      </c>
      <c r="V87" s="2">
        <f t="shared" si="2"/>
        <v>2.2094105100427856E-2</v>
      </c>
      <c r="W87" s="4">
        <v>19.7</v>
      </c>
      <c r="X87" s="5">
        <v>8.7400025222450495E-5</v>
      </c>
    </row>
    <row r="88" spans="1:24">
      <c r="A88" s="1" t="s">
        <v>106</v>
      </c>
      <c r="B88" s="1">
        <v>10</v>
      </c>
      <c r="C88" s="1">
        <v>2</v>
      </c>
      <c r="D88" s="1" t="s">
        <v>18</v>
      </c>
      <c r="E88" s="1">
        <v>9</v>
      </c>
      <c r="F88" s="1">
        <v>0</v>
      </c>
      <c r="G88" s="1" t="s">
        <v>18</v>
      </c>
      <c r="H88" s="1">
        <v>10</v>
      </c>
      <c r="I88" s="1">
        <v>6</v>
      </c>
      <c r="J88" s="1" t="s">
        <v>18</v>
      </c>
      <c r="K88" s="1">
        <v>0</v>
      </c>
      <c r="L88" s="1" t="s">
        <v>19</v>
      </c>
      <c r="M88" s="1" t="s">
        <v>20</v>
      </c>
      <c r="N88" s="1" t="s">
        <v>17</v>
      </c>
      <c r="O88" s="1" t="s">
        <v>18</v>
      </c>
      <c r="P88" s="1" t="s">
        <v>18</v>
      </c>
      <c r="Q88" s="1" t="s">
        <v>17</v>
      </c>
      <c r="R88" s="1" t="s">
        <v>18</v>
      </c>
      <c r="S88" s="1" t="s">
        <v>17</v>
      </c>
      <c r="T88" s="1">
        <v>96.319998999999996</v>
      </c>
      <c r="U88" s="1">
        <v>100.69977299999999</v>
      </c>
      <c r="V88" s="2">
        <f t="shared" si="2"/>
        <v>4.5471076053478755E-2</v>
      </c>
      <c r="W88" s="4">
        <v>19.440000000000001</v>
      </c>
      <c r="X88" s="5">
        <v>8.490000618621707E-5</v>
      </c>
    </row>
    <row r="89" spans="1:24">
      <c r="A89" s="1" t="s">
        <v>107</v>
      </c>
      <c r="B89" s="1">
        <v>8</v>
      </c>
      <c r="C89" s="1">
        <v>3</v>
      </c>
      <c r="D89" s="1" t="s">
        <v>18</v>
      </c>
      <c r="E89" s="1">
        <v>5</v>
      </c>
      <c r="F89" s="1">
        <v>1</v>
      </c>
      <c r="G89" s="1" t="s">
        <v>18</v>
      </c>
      <c r="H89" s="1">
        <v>6</v>
      </c>
      <c r="I89" s="1">
        <v>4</v>
      </c>
      <c r="J89" s="1" t="s">
        <v>18</v>
      </c>
      <c r="K89" s="1">
        <v>2</v>
      </c>
      <c r="L89" s="1" t="s">
        <v>19</v>
      </c>
      <c r="M89" s="1" t="s">
        <v>20</v>
      </c>
      <c r="N89" s="1" t="s">
        <v>18</v>
      </c>
      <c r="O89" s="1" t="s">
        <v>17</v>
      </c>
      <c r="P89" s="1" t="s">
        <v>18</v>
      </c>
      <c r="Q89" s="1" t="s">
        <v>18</v>
      </c>
      <c r="R89" s="1" t="s">
        <v>18</v>
      </c>
      <c r="S89" s="1" t="s">
        <v>18</v>
      </c>
      <c r="T89" s="1">
        <v>46.76</v>
      </c>
      <c r="U89" s="1">
        <v>44.234192</v>
      </c>
      <c r="V89" s="2">
        <f t="shared" si="2"/>
        <v>5.4016424294268561E-2</v>
      </c>
      <c r="W89" s="4">
        <v>19.329999999999998</v>
      </c>
      <c r="X89" s="5">
        <v>8.6400017607957125E-5</v>
      </c>
    </row>
    <row r="90" spans="1:24">
      <c r="A90" s="1" t="s">
        <v>108</v>
      </c>
      <c r="B90" s="1">
        <v>16</v>
      </c>
      <c r="C90" s="1">
        <v>2</v>
      </c>
      <c r="D90" s="1" t="s">
        <v>18</v>
      </c>
      <c r="E90" s="1">
        <v>12</v>
      </c>
      <c r="F90" s="1">
        <v>6</v>
      </c>
      <c r="G90" s="1" t="s">
        <v>17</v>
      </c>
      <c r="H90" s="1">
        <v>8</v>
      </c>
      <c r="I90" s="1">
        <v>6</v>
      </c>
      <c r="J90" s="1" t="s">
        <v>17</v>
      </c>
      <c r="K90" s="1">
        <v>6</v>
      </c>
      <c r="L90" s="1" t="s">
        <v>19</v>
      </c>
      <c r="M90" s="1" t="s">
        <v>20</v>
      </c>
      <c r="N90" s="1" t="s">
        <v>18</v>
      </c>
      <c r="O90" s="1" t="s">
        <v>18</v>
      </c>
      <c r="P90" s="1" t="s">
        <v>18</v>
      </c>
      <c r="Q90" s="1" t="s">
        <v>17</v>
      </c>
      <c r="R90" s="1" t="s">
        <v>18</v>
      </c>
      <c r="S90" s="1" t="s">
        <v>17</v>
      </c>
      <c r="T90" s="1">
        <v>455.84000600000002</v>
      </c>
      <c r="U90" s="1">
        <v>457.35526099999998</v>
      </c>
      <c r="V90" s="2">
        <f t="shared" si="2"/>
        <v>3.3240939365904794E-3</v>
      </c>
      <c r="W90" s="4">
        <v>20.05</v>
      </c>
      <c r="X90" s="5">
        <v>8.7000022176653147E-5</v>
      </c>
    </row>
    <row r="91" spans="1:24">
      <c r="A91" s="1" t="s">
        <v>109</v>
      </c>
      <c r="B91" s="1">
        <v>9</v>
      </c>
      <c r="C91" s="1">
        <v>3</v>
      </c>
      <c r="D91" s="1" t="s">
        <v>17</v>
      </c>
      <c r="E91" s="1">
        <v>4</v>
      </c>
      <c r="F91" s="1">
        <v>1</v>
      </c>
      <c r="G91" s="1" t="s">
        <v>17</v>
      </c>
      <c r="H91" s="1">
        <v>6</v>
      </c>
      <c r="I91" s="1">
        <v>2</v>
      </c>
      <c r="J91" s="1" t="s">
        <v>17</v>
      </c>
      <c r="K91" s="1">
        <v>0</v>
      </c>
      <c r="L91" s="1" t="s">
        <v>19</v>
      </c>
      <c r="M91" s="1" t="s">
        <v>20</v>
      </c>
      <c r="N91" s="1" t="s">
        <v>17</v>
      </c>
      <c r="O91" s="1" t="s">
        <v>18</v>
      </c>
      <c r="P91" s="1" t="s">
        <v>18</v>
      </c>
      <c r="Q91" s="1" t="s">
        <v>17</v>
      </c>
      <c r="R91" s="1" t="s">
        <v>17</v>
      </c>
      <c r="S91" s="1" t="s">
        <v>18</v>
      </c>
      <c r="T91" s="1">
        <v>77.839999000000006</v>
      </c>
      <c r="U91" s="1">
        <v>78.668311000000003</v>
      </c>
      <c r="V91" s="2">
        <f t="shared" si="2"/>
        <v>1.0641212880796629E-2</v>
      </c>
      <c r="W91" s="4">
        <v>20.43</v>
      </c>
      <c r="X91" s="5">
        <v>8.5500010754913092E-5</v>
      </c>
    </row>
    <row r="92" spans="1:24">
      <c r="A92" s="1" t="s">
        <v>110</v>
      </c>
      <c r="B92" s="1">
        <v>14</v>
      </c>
      <c r="C92" s="1">
        <v>8</v>
      </c>
      <c r="D92" s="1" t="s">
        <v>17</v>
      </c>
      <c r="E92" s="1">
        <v>12</v>
      </c>
      <c r="F92" s="1">
        <v>4</v>
      </c>
      <c r="G92" s="1" t="s">
        <v>17</v>
      </c>
      <c r="H92" s="1">
        <v>12</v>
      </c>
      <c r="I92" s="1">
        <v>8</v>
      </c>
      <c r="J92" s="1" t="s">
        <v>17</v>
      </c>
      <c r="K92" s="1">
        <v>4</v>
      </c>
      <c r="L92" s="1" t="s">
        <v>19</v>
      </c>
      <c r="M92" s="1" t="s">
        <v>20</v>
      </c>
      <c r="N92" s="1" t="s">
        <v>18</v>
      </c>
      <c r="O92" s="1" t="s">
        <v>17</v>
      </c>
      <c r="P92" s="1" t="s">
        <v>18</v>
      </c>
      <c r="Q92" s="1" t="s">
        <v>18</v>
      </c>
      <c r="R92" s="1" t="s">
        <v>18</v>
      </c>
      <c r="S92" s="1" t="s">
        <v>18</v>
      </c>
      <c r="T92" s="1">
        <v>98.56</v>
      </c>
      <c r="U92" s="1">
        <v>95.423580000000001</v>
      </c>
      <c r="V92" s="2">
        <f t="shared" si="2"/>
        <v>3.1822443181818191E-2</v>
      </c>
      <c r="W92" s="4">
        <v>20.02</v>
      </c>
      <c r="X92" s="5">
        <v>1.078000059351325E-4</v>
      </c>
    </row>
    <row r="93" spans="1:24">
      <c r="A93" s="1" t="s">
        <v>111</v>
      </c>
      <c r="B93" s="1">
        <v>16</v>
      </c>
      <c r="C93" s="1">
        <v>6</v>
      </c>
      <c r="D93" s="1" t="s">
        <v>17</v>
      </c>
      <c r="E93" s="1">
        <v>8</v>
      </c>
      <c r="F93" s="1">
        <v>4</v>
      </c>
      <c r="G93" s="1" t="s">
        <v>17</v>
      </c>
      <c r="H93" s="1">
        <v>12</v>
      </c>
      <c r="I93" s="1">
        <v>1</v>
      </c>
      <c r="J93" s="1" t="s">
        <v>17</v>
      </c>
      <c r="K93" s="1">
        <v>1</v>
      </c>
      <c r="L93" s="1" t="s">
        <v>19</v>
      </c>
      <c r="M93" s="1" t="s">
        <v>20</v>
      </c>
      <c r="N93" s="1" t="s">
        <v>18</v>
      </c>
      <c r="O93" s="1" t="s">
        <v>18</v>
      </c>
      <c r="P93" s="1" t="s">
        <v>18</v>
      </c>
      <c r="Q93" s="1" t="s">
        <v>17</v>
      </c>
      <c r="R93" s="1" t="s">
        <v>18</v>
      </c>
      <c r="S93" s="1" t="s">
        <v>17</v>
      </c>
      <c r="T93" s="1">
        <v>216.16000099999999</v>
      </c>
      <c r="U93" s="1">
        <v>208.09439800000001</v>
      </c>
      <c r="V93" s="2">
        <f t="shared" si="2"/>
        <v>3.7313115112355973E-2</v>
      </c>
      <c r="W93" s="4">
        <v>20.84</v>
      </c>
      <c r="X93" s="5">
        <v>9.0899993665516376E-5</v>
      </c>
    </row>
    <row r="94" spans="1:24">
      <c r="A94" s="1" t="s">
        <v>112</v>
      </c>
      <c r="B94" s="1">
        <v>14</v>
      </c>
      <c r="C94" s="1">
        <v>6</v>
      </c>
      <c r="D94" s="1" t="s">
        <v>18</v>
      </c>
      <c r="E94" s="1">
        <v>5</v>
      </c>
      <c r="F94" s="1">
        <v>3</v>
      </c>
      <c r="G94" s="1" t="s">
        <v>18</v>
      </c>
      <c r="H94" s="1">
        <v>10</v>
      </c>
      <c r="I94" s="1">
        <v>2</v>
      </c>
      <c r="J94" s="1" t="s">
        <v>18</v>
      </c>
      <c r="K94" s="1">
        <v>0</v>
      </c>
      <c r="L94" s="1" t="s">
        <v>19</v>
      </c>
      <c r="M94" s="1" t="s">
        <v>20</v>
      </c>
      <c r="N94" s="1" t="s">
        <v>18</v>
      </c>
      <c r="O94" s="1" t="s">
        <v>18</v>
      </c>
      <c r="P94" s="1" t="s">
        <v>17</v>
      </c>
      <c r="Q94" s="1" t="s">
        <v>18</v>
      </c>
      <c r="R94" s="1" t="s">
        <v>18</v>
      </c>
      <c r="S94" s="1" t="s">
        <v>18</v>
      </c>
      <c r="T94" s="1">
        <v>40.32</v>
      </c>
      <c r="U94" s="1">
        <v>43.579821000000003</v>
      </c>
      <c r="V94" s="2">
        <f t="shared" si="2"/>
        <v>8.0848735119047679E-2</v>
      </c>
      <c r="W94" s="4">
        <v>19.829999999999998</v>
      </c>
      <c r="X94" s="5">
        <v>8.7000022176653147E-5</v>
      </c>
    </row>
    <row r="95" spans="1:24">
      <c r="A95" s="1" t="s">
        <v>113</v>
      </c>
      <c r="B95" s="1">
        <v>14</v>
      </c>
      <c r="C95" s="1">
        <v>1</v>
      </c>
      <c r="D95" s="1" t="s">
        <v>18</v>
      </c>
      <c r="E95" s="1">
        <v>9</v>
      </c>
      <c r="F95" s="1">
        <v>3</v>
      </c>
      <c r="G95" s="1" t="s">
        <v>18</v>
      </c>
      <c r="H95" s="1">
        <v>6</v>
      </c>
      <c r="I95" s="1">
        <v>2</v>
      </c>
      <c r="J95" s="1" t="s">
        <v>18</v>
      </c>
      <c r="K95" s="1">
        <v>1</v>
      </c>
      <c r="L95" s="1" t="s">
        <v>19</v>
      </c>
      <c r="M95" s="1" t="s">
        <v>20</v>
      </c>
      <c r="N95" s="1" t="s">
        <v>18</v>
      </c>
      <c r="O95" s="1" t="s">
        <v>17</v>
      </c>
      <c r="P95" s="1" t="s">
        <v>18</v>
      </c>
      <c r="Q95" s="1" t="s">
        <v>18</v>
      </c>
      <c r="R95" s="1" t="s">
        <v>17</v>
      </c>
      <c r="S95" s="1" t="s">
        <v>18</v>
      </c>
      <c r="T95" s="1">
        <v>116.76</v>
      </c>
      <c r="U95" s="1">
        <v>116.76</v>
      </c>
      <c r="V95" s="2">
        <f t="shared" si="2"/>
        <v>0</v>
      </c>
      <c r="W95" s="4">
        <v>20.21</v>
      </c>
      <c r="X95" s="5">
        <v>8.5300009232014418E-5</v>
      </c>
    </row>
    <row r="96" spans="1:24">
      <c r="A96" s="1" t="s">
        <v>114</v>
      </c>
      <c r="B96" s="1">
        <v>16</v>
      </c>
      <c r="C96" s="1">
        <v>3</v>
      </c>
      <c r="D96" s="1" t="s">
        <v>17</v>
      </c>
      <c r="E96" s="1">
        <v>12</v>
      </c>
      <c r="F96" s="1">
        <v>2</v>
      </c>
      <c r="G96" s="1" t="s">
        <v>17</v>
      </c>
      <c r="H96" s="1">
        <v>12</v>
      </c>
      <c r="I96" s="1">
        <v>1</v>
      </c>
      <c r="J96" s="1" t="s">
        <v>17</v>
      </c>
      <c r="K96" s="1">
        <v>4</v>
      </c>
      <c r="L96" s="1" t="s">
        <v>19</v>
      </c>
      <c r="M96" s="1" t="s">
        <v>20</v>
      </c>
      <c r="N96" s="1" t="s">
        <v>18</v>
      </c>
      <c r="O96" s="1" t="s">
        <v>18</v>
      </c>
      <c r="P96" s="1" t="s">
        <v>18</v>
      </c>
      <c r="Q96" s="1" t="s">
        <v>18</v>
      </c>
      <c r="R96" s="1" t="s">
        <v>17</v>
      </c>
      <c r="S96" s="1" t="s">
        <v>18</v>
      </c>
      <c r="T96" s="1">
        <v>413.84000500000002</v>
      </c>
      <c r="U96" s="1">
        <v>402.53009300000002</v>
      </c>
      <c r="V96" s="2">
        <f t="shared" si="2"/>
        <v>2.7329189694940189E-2</v>
      </c>
      <c r="W96" s="4">
        <v>19.649999999999999</v>
      </c>
      <c r="X96" s="5">
        <v>8.8000029791146517E-5</v>
      </c>
    </row>
    <row r="97" spans="1:24">
      <c r="A97" s="1" t="s">
        <v>115</v>
      </c>
      <c r="B97" s="1">
        <v>6</v>
      </c>
      <c r="C97" s="1">
        <v>2</v>
      </c>
      <c r="D97" s="1" t="s">
        <v>18</v>
      </c>
      <c r="E97" s="1">
        <v>12</v>
      </c>
      <c r="F97" s="1">
        <v>0</v>
      </c>
      <c r="G97" s="1" t="s">
        <v>18</v>
      </c>
      <c r="H97" s="1">
        <v>16</v>
      </c>
      <c r="I97" s="1">
        <v>3</v>
      </c>
      <c r="J97" s="1" t="s">
        <v>18</v>
      </c>
      <c r="K97" s="1">
        <v>3</v>
      </c>
      <c r="L97" s="1" t="s">
        <v>19</v>
      </c>
      <c r="M97" s="1" t="s">
        <v>20</v>
      </c>
      <c r="N97" s="1" t="s">
        <v>18</v>
      </c>
      <c r="O97" s="1" t="s">
        <v>17</v>
      </c>
      <c r="P97" s="1" t="s">
        <v>18</v>
      </c>
      <c r="Q97" s="1" t="s">
        <v>18</v>
      </c>
      <c r="R97" s="1" t="s">
        <v>17</v>
      </c>
      <c r="S97" s="1" t="s">
        <v>18</v>
      </c>
      <c r="T97" s="1">
        <v>348.60000500000001</v>
      </c>
      <c r="U97" s="1">
        <v>354.06049200000001</v>
      </c>
      <c r="V97" s="2">
        <f t="shared" si="2"/>
        <v>1.566404739437683E-2</v>
      </c>
      <c r="W97" s="4">
        <v>19.329999999999998</v>
      </c>
      <c r="X97" s="5">
        <v>8.5500010754913092E-5</v>
      </c>
    </row>
    <row r="98" spans="1:24">
      <c r="A98" s="1" t="s">
        <v>116</v>
      </c>
      <c r="B98" s="1">
        <v>16</v>
      </c>
      <c r="C98" s="1">
        <v>4</v>
      </c>
      <c r="D98" s="1" t="s">
        <v>18</v>
      </c>
      <c r="E98" s="1">
        <v>8</v>
      </c>
      <c r="F98" s="1">
        <v>4</v>
      </c>
      <c r="G98" s="1" t="s">
        <v>17</v>
      </c>
      <c r="H98" s="1">
        <v>9</v>
      </c>
      <c r="I98" s="1">
        <v>4</v>
      </c>
      <c r="J98" s="1" t="s">
        <v>17</v>
      </c>
      <c r="K98" s="1">
        <v>4</v>
      </c>
      <c r="L98" s="1" t="s">
        <v>19</v>
      </c>
      <c r="M98" s="1" t="s">
        <v>20</v>
      </c>
      <c r="N98" s="1" t="s">
        <v>18</v>
      </c>
      <c r="O98" s="1" t="s">
        <v>17</v>
      </c>
      <c r="P98" s="1" t="s">
        <v>17</v>
      </c>
      <c r="Q98" s="1" t="s">
        <v>17</v>
      </c>
      <c r="R98" s="1" t="s">
        <v>17</v>
      </c>
      <c r="S98" s="1" t="s">
        <v>17</v>
      </c>
      <c r="T98" s="1">
        <v>665.84001000000001</v>
      </c>
      <c r="U98" s="1">
        <v>685.43141000000003</v>
      </c>
      <c r="V98" s="2">
        <f t="shared" ref="V98:V129" si="3">ABS(U98-T98)/T98</f>
        <v>2.9423584803802975E-2</v>
      </c>
      <c r="W98" s="4">
        <v>19.940000000000001</v>
      </c>
      <c r="X98" s="5">
        <v>8.6100015323609114E-5</v>
      </c>
    </row>
    <row r="99" spans="1:24">
      <c r="A99" s="1" t="s">
        <v>117</v>
      </c>
      <c r="B99" s="1">
        <v>14</v>
      </c>
      <c r="C99" s="1">
        <v>6</v>
      </c>
      <c r="D99" s="1" t="s">
        <v>17</v>
      </c>
      <c r="E99" s="1">
        <v>10</v>
      </c>
      <c r="F99" s="1">
        <v>3</v>
      </c>
      <c r="G99" s="1" t="s">
        <v>18</v>
      </c>
      <c r="H99" s="1">
        <v>8</v>
      </c>
      <c r="I99" s="1">
        <v>6</v>
      </c>
      <c r="J99" s="1" t="s">
        <v>17</v>
      </c>
      <c r="K99" s="1">
        <v>6</v>
      </c>
      <c r="L99" s="1" t="s">
        <v>19</v>
      </c>
      <c r="M99" s="1" t="s">
        <v>20</v>
      </c>
      <c r="N99" s="1" t="s">
        <v>18</v>
      </c>
      <c r="O99" s="1" t="s">
        <v>18</v>
      </c>
      <c r="P99" s="1" t="s">
        <v>18</v>
      </c>
      <c r="Q99" s="1" t="s">
        <v>17</v>
      </c>
      <c r="R99" s="1" t="s">
        <v>18</v>
      </c>
      <c r="S99" s="1" t="s">
        <v>17</v>
      </c>
      <c r="T99" s="1">
        <v>425.60000600000001</v>
      </c>
      <c r="U99" s="1">
        <v>425.78281099999998</v>
      </c>
      <c r="V99" s="2">
        <f t="shared" si="3"/>
        <v>4.2952302026042139E-4</v>
      </c>
      <c r="W99" s="4">
        <v>19.7</v>
      </c>
      <c r="X99" s="5">
        <v>8.6500018369406462E-5</v>
      </c>
    </row>
    <row r="100" spans="1:24">
      <c r="A100" s="1" t="s">
        <v>118</v>
      </c>
      <c r="B100" s="1">
        <v>9</v>
      </c>
      <c r="C100" s="1">
        <v>1</v>
      </c>
      <c r="D100" s="1" t="s">
        <v>18</v>
      </c>
      <c r="E100" s="1">
        <v>12</v>
      </c>
      <c r="F100" s="1">
        <v>1</v>
      </c>
      <c r="G100" s="1" t="s">
        <v>17</v>
      </c>
      <c r="H100" s="1">
        <v>5</v>
      </c>
      <c r="I100" s="1">
        <v>2</v>
      </c>
      <c r="J100" s="1" t="s">
        <v>17</v>
      </c>
      <c r="K100" s="1">
        <v>0</v>
      </c>
      <c r="L100" s="1" t="s">
        <v>19</v>
      </c>
      <c r="M100" s="1" t="s">
        <v>20</v>
      </c>
      <c r="N100" s="1" t="s">
        <v>17</v>
      </c>
      <c r="O100" s="1" t="s">
        <v>18</v>
      </c>
      <c r="P100" s="1" t="s">
        <v>18</v>
      </c>
      <c r="Q100" s="1" t="s">
        <v>18</v>
      </c>
      <c r="R100" s="1" t="s">
        <v>18</v>
      </c>
      <c r="S100" s="1" t="s">
        <v>17</v>
      </c>
      <c r="T100" s="1">
        <v>78.679998999999995</v>
      </c>
      <c r="U100" s="1">
        <v>81.567828000000006</v>
      </c>
      <c r="V100" s="2">
        <f t="shared" si="3"/>
        <v>3.6703470217380289E-2</v>
      </c>
      <c r="W100" s="4">
        <v>19.91</v>
      </c>
      <c r="X100" s="5">
        <v>8.8399974629282951E-5</v>
      </c>
    </row>
    <row r="101" spans="1:24">
      <c r="A101" s="1" t="s">
        <v>119</v>
      </c>
      <c r="B101" s="1">
        <v>12</v>
      </c>
      <c r="C101" s="1">
        <v>1</v>
      </c>
      <c r="D101" s="1" t="s">
        <v>17</v>
      </c>
      <c r="E101" s="1">
        <v>8</v>
      </c>
      <c r="F101" s="1">
        <v>6</v>
      </c>
      <c r="G101" s="1" t="s">
        <v>18</v>
      </c>
      <c r="H101" s="1">
        <v>6</v>
      </c>
      <c r="I101" s="1">
        <v>4</v>
      </c>
      <c r="J101" s="1" t="s">
        <v>17</v>
      </c>
      <c r="K101" s="1">
        <v>1</v>
      </c>
      <c r="L101" s="1" t="s">
        <v>19</v>
      </c>
      <c r="M101" s="1" t="s">
        <v>20</v>
      </c>
      <c r="N101" s="1" t="s">
        <v>17</v>
      </c>
      <c r="O101" s="1" t="s">
        <v>17</v>
      </c>
      <c r="P101" s="1" t="s">
        <v>18</v>
      </c>
      <c r="Q101" s="1" t="s">
        <v>18</v>
      </c>
      <c r="R101" s="1" t="s">
        <v>17</v>
      </c>
      <c r="S101" s="1" t="s">
        <v>18</v>
      </c>
      <c r="T101" s="1">
        <v>102.47999799999999</v>
      </c>
      <c r="U101" s="1">
        <v>108.894113</v>
      </c>
      <c r="V101" s="2">
        <f t="shared" si="3"/>
        <v>6.2588945405717217E-2</v>
      </c>
      <c r="W101" s="4">
        <v>19.14</v>
      </c>
      <c r="X101" s="5">
        <v>9.1900001280009747E-5</v>
      </c>
    </row>
    <row r="102" spans="1:24">
      <c r="V102" s="6">
        <f>AVERAGE(V2:V101)</f>
        <v>4.6091011723096972E-2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2"/>
  <sheetViews>
    <sheetView topLeftCell="G1" workbookViewId="0">
      <pane ySplit="1" topLeftCell="A81" activePane="bottomLeft" state="frozen"/>
      <selection pane="bottomLeft" activeCell="S103" sqref="S103"/>
    </sheetView>
  </sheetViews>
  <sheetFormatPr defaultRowHeight="14"/>
  <cols>
    <col min="1" max="1" width="6.6640625" customWidth="1"/>
    <col min="2" max="2" width="52" customWidth="1"/>
    <col min="3" max="3" width="13.5" customWidth="1"/>
    <col min="4" max="4" width="14.25" customWidth="1"/>
    <col min="5" max="5" width="18.9140625" customWidth="1"/>
    <col min="6" max="6" width="12.5" customWidth="1"/>
    <col min="7" max="7" width="9.5" customWidth="1"/>
    <col min="8" max="8" width="38.9140625" customWidth="1"/>
    <col min="9" max="9" width="39.25" customWidth="1"/>
    <col min="10" max="10" width="9.1640625" customWidth="1"/>
    <col min="11" max="11" width="14.5" customWidth="1"/>
    <col min="12" max="12" width="8.1640625" customWidth="1"/>
    <col min="13" max="14" width="7.9140625" customWidth="1"/>
    <col min="15" max="15" width="8.4140625" customWidth="1"/>
    <col min="16" max="16" width="8" customWidth="1"/>
    <col min="17" max="17" width="15" customWidth="1"/>
    <col min="18" max="18" width="12.25" customWidth="1"/>
    <col min="19" max="19" width="6" customWidth="1"/>
    <col min="20" max="20" width="9.9140625" customWidth="1"/>
  </cols>
  <sheetData>
    <row r="1" spans="1:21">
      <c r="A1" s="3" t="s">
        <v>0</v>
      </c>
      <c r="B1" s="3" t="s">
        <v>120</v>
      </c>
      <c r="C1" s="3" t="s">
        <v>4</v>
      </c>
      <c r="D1" s="3" t="s">
        <v>5</v>
      </c>
      <c r="E1" s="3" t="s">
        <v>6</v>
      </c>
      <c r="F1" s="3" t="s">
        <v>121</v>
      </c>
      <c r="G1" s="3" t="s">
        <v>122</v>
      </c>
      <c r="H1" s="3" t="s">
        <v>8</v>
      </c>
      <c r="I1" s="3" t="s">
        <v>9</v>
      </c>
      <c r="J1" s="3" t="s">
        <v>10</v>
      </c>
      <c r="K1" s="3" t="s">
        <v>123</v>
      </c>
      <c r="L1" s="3" t="s">
        <v>265</v>
      </c>
      <c r="M1" s="3" t="s">
        <v>266</v>
      </c>
      <c r="N1" s="3" t="s">
        <v>267</v>
      </c>
      <c r="O1" s="3" t="s">
        <v>268</v>
      </c>
      <c r="P1" s="3" t="s">
        <v>269</v>
      </c>
      <c r="Q1" s="3" t="s">
        <v>11</v>
      </c>
      <c r="R1" s="3" t="s">
        <v>271</v>
      </c>
      <c r="S1" s="3" t="s">
        <v>13</v>
      </c>
      <c r="T1" s="3" t="s">
        <v>14</v>
      </c>
      <c r="U1" s="3" t="s">
        <v>15</v>
      </c>
    </row>
    <row r="2" spans="1:21">
      <c r="A2" s="1" t="s">
        <v>16</v>
      </c>
      <c r="B2" s="1" t="s">
        <v>224</v>
      </c>
      <c r="C2" s="1">
        <v>10</v>
      </c>
      <c r="D2" s="1">
        <v>0</v>
      </c>
      <c r="E2" s="1" t="s">
        <v>18</v>
      </c>
      <c r="F2" s="1" t="s">
        <v>143</v>
      </c>
      <c r="G2" s="1">
        <v>7</v>
      </c>
      <c r="H2" s="1" t="s">
        <v>19</v>
      </c>
      <c r="I2" s="1" t="s">
        <v>20</v>
      </c>
      <c r="J2" s="1" t="s">
        <v>17</v>
      </c>
      <c r="K2" s="1" t="s">
        <v>127</v>
      </c>
      <c r="L2" s="1" t="s">
        <v>17</v>
      </c>
      <c r="M2" s="1" t="s">
        <v>17</v>
      </c>
      <c r="N2" s="1" t="s">
        <v>18</v>
      </c>
      <c r="O2" s="1" t="s">
        <v>17</v>
      </c>
      <c r="P2" s="1" t="s">
        <v>17</v>
      </c>
      <c r="Q2" s="1">
        <v>777.27999399999999</v>
      </c>
      <c r="R2" s="1">
        <v>740.925792</v>
      </c>
      <c r="S2" s="2">
        <f t="shared" ref="S2:S33" si="0">ABS(R2-Q2)/Q2</f>
        <v>4.6771050690389941E-2</v>
      </c>
      <c r="T2" s="4">
        <v>21.17</v>
      </c>
      <c r="U2" s="5">
        <v>1.184799999464303E-3</v>
      </c>
    </row>
    <row r="3" spans="1:21">
      <c r="A3" s="1" t="s">
        <v>21</v>
      </c>
      <c r="B3" s="1" t="s">
        <v>272</v>
      </c>
      <c r="C3" s="1">
        <v>8</v>
      </c>
      <c r="D3" s="1">
        <v>2</v>
      </c>
      <c r="E3" s="1" t="s">
        <v>17</v>
      </c>
      <c r="F3" s="1" t="s">
        <v>273</v>
      </c>
      <c r="G3" s="1">
        <v>8</v>
      </c>
      <c r="H3" s="1" t="s">
        <v>140</v>
      </c>
      <c r="I3" s="1" t="s">
        <v>141</v>
      </c>
      <c r="J3" s="1" t="s">
        <v>17</v>
      </c>
      <c r="K3" s="1" t="s">
        <v>132</v>
      </c>
      <c r="L3" s="1" t="s">
        <v>18</v>
      </c>
      <c r="M3" s="1" t="s">
        <v>17</v>
      </c>
      <c r="N3" s="1" t="s">
        <v>18</v>
      </c>
      <c r="O3" s="1" t="s">
        <v>18</v>
      </c>
      <c r="P3" s="1" t="s">
        <v>18</v>
      </c>
      <c r="Q3" s="1">
        <v>2283.1199510000001</v>
      </c>
      <c r="R3" s="1">
        <v>2238.5742530000002</v>
      </c>
      <c r="S3" s="2">
        <f t="shared" si="0"/>
        <v>1.9510888151316366E-2</v>
      </c>
      <c r="T3" s="4">
        <v>20.85</v>
      </c>
      <c r="U3" s="5">
        <v>1.299700001254678E-3</v>
      </c>
    </row>
    <row r="4" spans="1:21">
      <c r="A4" s="1" t="s">
        <v>22</v>
      </c>
      <c r="B4" s="1" t="s">
        <v>274</v>
      </c>
      <c r="C4" s="1">
        <v>16</v>
      </c>
      <c r="D4" s="1">
        <v>2</v>
      </c>
      <c r="E4" s="1" t="s">
        <v>18</v>
      </c>
      <c r="F4" s="1" t="s">
        <v>134</v>
      </c>
      <c r="G4" s="1">
        <v>2</v>
      </c>
      <c r="H4" s="1" t="s">
        <v>19</v>
      </c>
      <c r="I4" s="1" t="s">
        <v>20</v>
      </c>
      <c r="J4" s="1" t="s">
        <v>17</v>
      </c>
      <c r="K4" s="1" t="s">
        <v>127</v>
      </c>
      <c r="L4" s="1" t="s">
        <v>18</v>
      </c>
      <c r="M4" s="1" t="s">
        <v>18</v>
      </c>
      <c r="N4" s="1" t="s">
        <v>18</v>
      </c>
      <c r="O4" s="1" t="s">
        <v>17</v>
      </c>
      <c r="P4" s="1" t="s">
        <v>18</v>
      </c>
      <c r="Q4" s="1">
        <v>422.79998999999998</v>
      </c>
      <c r="R4" s="1">
        <v>451.85626300000001</v>
      </c>
      <c r="S4" s="2">
        <f t="shared" si="0"/>
        <v>6.8723447699230153E-2</v>
      </c>
      <c r="T4" s="4">
        <v>20.05</v>
      </c>
      <c r="U4" s="5">
        <v>3.7069997051730752E-4</v>
      </c>
    </row>
    <row r="5" spans="1:21">
      <c r="A5" s="1" t="s">
        <v>23</v>
      </c>
      <c r="B5" s="1" t="s">
        <v>275</v>
      </c>
      <c r="C5" s="1">
        <v>12</v>
      </c>
      <c r="D5" s="1">
        <v>6</v>
      </c>
      <c r="E5" s="1" t="s">
        <v>18</v>
      </c>
      <c r="F5" s="1" t="s">
        <v>175</v>
      </c>
      <c r="G5" s="1">
        <v>16</v>
      </c>
      <c r="H5" s="1" t="s">
        <v>130</v>
      </c>
      <c r="I5" s="1" t="s">
        <v>131</v>
      </c>
      <c r="J5" s="1" t="s">
        <v>17</v>
      </c>
      <c r="K5" s="1" t="s">
        <v>132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17</v>
      </c>
      <c r="Q5" s="1">
        <v>983.63999200000001</v>
      </c>
      <c r="R5" s="1">
        <v>902.06435799999997</v>
      </c>
      <c r="S5" s="2">
        <f t="shared" si="0"/>
        <v>8.2932408872615299E-2</v>
      </c>
      <c r="T5" s="4">
        <v>20.97</v>
      </c>
      <c r="U5" s="5">
        <v>1.3436000444926319E-3</v>
      </c>
    </row>
    <row r="6" spans="1:21">
      <c r="A6" s="1" t="s">
        <v>24</v>
      </c>
      <c r="B6" s="1" t="s">
        <v>171</v>
      </c>
      <c r="C6" s="1">
        <v>16</v>
      </c>
      <c r="D6" s="1">
        <v>8</v>
      </c>
      <c r="E6" s="1" t="s">
        <v>18</v>
      </c>
      <c r="F6" s="1" t="s">
        <v>156</v>
      </c>
      <c r="G6" s="1">
        <v>12</v>
      </c>
      <c r="H6" s="1" t="s">
        <v>19</v>
      </c>
      <c r="I6" s="1" t="s">
        <v>20</v>
      </c>
      <c r="J6" s="1" t="s">
        <v>18</v>
      </c>
      <c r="K6" s="1" t="s">
        <v>127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17</v>
      </c>
      <c r="Q6" s="1">
        <v>1201.759996</v>
      </c>
      <c r="R6" s="1">
        <v>1238.876244</v>
      </c>
      <c r="S6" s="2">
        <f t="shared" si="0"/>
        <v>3.0884908903225001E-2</v>
      </c>
      <c r="T6" s="4">
        <v>21.51</v>
      </c>
      <c r="U6" s="5">
        <v>1.0528999846428631E-3</v>
      </c>
    </row>
    <row r="7" spans="1:21">
      <c r="A7" s="1" t="s">
        <v>25</v>
      </c>
      <c r="B7" s="1" t="s">
        <v>276</v>
      </c>
      <c r="C7" s="1">
        <v>9</v>
      </c>
      <c r="D7" s="1">
        <v>0</v>
      </c>
      <c r="E7" s="1" t="s">
        <v>17</v>
      </c>
      <c r="F7" s="1" t="s">
        <v>175</v>
      </c>
      <c r="G7" s="1">
        <v>9</v>
      </c>
      <c r="H7" s="1" t="s">
        <v>130</v>
      </c>
      <c r="I7" s="1" t="s">
        <v>131</v>
      </c>
      <c r="J7" s="1" t="s">
        <v>18</v>
      </c>
      <c r="K7" s="1" t="s">
        <v>132</v>
      </c>
      <c r="L7" s="1" t="s">
        <v>17</v>
      </c>
      <c r="M7" s="1" t="s">
        <v>18</v>
      </c>
      <c r="N7" s="1" t="s">
        <v>18</v>
      </c>
      <c r="O7" s="1" t="s">
        <v>17</v>
      </c>
      <c r="P7" s="1" t="s">
        <v>18</v>
      </c>
      <c r="Q7" s="1">
        <v>1288.8399910000001</v>
      </c>
      <c r="R7" s="1">
        <v>1346.8011489999999</v>
      </c>
      <c r="S7" s="2">
        <f t="shared" si="0"/>
        <v>4.4971570097718856E-2</v>
      </c>
      <c r="T7" s="4">
        <v>21.44</v>
      </c>
      <c r="U7" s="5">
        <v>8.5030001355335116E-4</v>
      </c>
    </row>
    <row r="8" spans="1:21">
      <c r="A8" s="1" t="s">
        <v>26</v>
      </c>
      <c r="B8" s="1" t="s">
        <v>277</v>
      </c>
      <c r="C8" s="1">
        <v>16</v>
      </c>
      <c r="D8" s="1">
        <v>6</v>
      </c>
      <c r="E8" s="1" t="s">
        <v>18</v>
      </c>
      <c r="F8" s="1" t="s">
        <v>143</v>
      </c>
      <c r="G8" s="1">
        <v>3</v>
      </c>
      <c r="H8" s="1" t="s">
        <v>19</v>
      </c>
      <c r="I8" s="1" t="s">
        <v>20</v>
      </c>
      <c r="J8" s="1" t="s">
        <v>17</v>
      </c>
      <c r="K8" s="1" t="s">
        <v>127</v>
      </c>
      <c r="L8" s="1" t="s">
        <v>18</v>
      </c>
      <c r="M8" s="1" t="s">
        <v>17</v>
      </c>
      <c r="N8" s="1" t="s">
        <v>18</v>
      </c>
      <c r="O8" s="1" t="s">
        <v>18</v>
      </c>
      <c r="P8" s="1" t="s">
        <v>18</v>
      </c>
      <c r="Q8" s="1">
        <v>89.879998999999998</v>
      </c>
      <c r="R8" s="1">
        <v>90.511501999999993</v>
      </c>
      <c r="S8" s="2">
        <f t="shared" si="0"/>
        <v>7.0260681689593152E-3</v>
      </c>
      <c r="T8" s="4">
        <v>19.37</v>
      </c>
      <c r="U8" s="5">
        <v>2.760000061243773E-4</v>
      </c>
    </row>
    <row r="9" spans="1:21">
      <c r="A9" s="1" t="s">
        <v>27</v>
      </c>
      <c r="B9" s="1" t="s">
        <v>278</v>
      </c>
      <c r="C9" s="1">
        <v>9</v>
      </c>
      <c r="D9" s="1">
        <v>8</v>
      </c>
      <c r="E9" s="1" t="s">
        <v>17</v>
      </c>
      <c r="F9" s="1" t="s">
        <v>273</v>
      </c>
      <c r="G9" s="1">
        <v>8</v>
      </c>
      <c r="H9" s="1" t="s">
        <v>140</v>
      </c>
      <c r="I9" s="1" t="s">
        <v>141</v>
      </c>
      <c r="J9" s="1" t="s">
        <v>18</v>
      </c>
      <c r="K9" s="1" t="s">
        <v>132</v>
      </c>
      <c r="L9" s="1" t="s">
        <v>17</v>
      </c>
      <c r="M9" s="1" t="s">
        <v>17</v>
      </c>
      <c r="N9" s="1" t="s">
        <v>18</v>
      </c>
      <c r="O9" s="1" t="s">
        <v>18</v>
      </c>
      <c r="P9" s="1" t="s">
        <v>18</v>
      </c>
      <c r="Q9" s="1">
        <v>4089.1200290000002</v>
      </c>
      <c r="R9" s="1">
        <v>4214.2478520000004</v>
      </c>
      <c r="S9" s="2">
        <f t="shared" si="0"/>
        <v>3.0600183441081438E-2</v>
      </c>
      <c r="T9" s="4">
        <v>23.92</v>
      </c>
      <c r="U9" s="5">
        <v>1.348100020550191E-3</v>
      </c>
    </row>
    <row r="10" spans="1:21">
      <c r="A10" s="1" t="s">
        <v>28</v>
      </c>
      <c r="B10" s="1" t="s">
        <v>279</v>
      </c>
      <c r="C10" s="1">
        <v>12</v>
      </c>
      <c r="D10" s="1">
        <v>4</v>
      </c>
      <c r="E10" s="1" t="s">
        <v>18</v>
      </c>
      <c r="F10" s="1" t="s">
        <v>156</v>
      </c>
      <c r="G10" s="1">
        <v>6</v>
      </c>
      <c r="H10" s="1" t="s">
        <v>19</v>
      </c>
      <c r="I10" s="1" t="s">
        <v>20</v>
      </c>
      <c r="J10" s="1" t="s">
        <v>18</v>
      </c>
      <c r="K10" s="1" t="s">
        <v>127</v>
      </c>
      <c r="L10" s="1" t="s">
        <v>18</v>
      </c>
      <c r="M10" s="1" t="s">
        <v>18</v>
      </c>
      <c r="N10" s="1" t="s">
        <v>18</v>
      </c>
      <c r="O10" s="1" t="s">
        <v>17</v>
      </c>
      <c r="P10" s="1" t="s">
        <v>18</v>
      </c>
      <c r="Q10" s="1">
        <v>937.43999899999994</v>
      </c>
      <c r="R10" s="1">
        <v>995.92285300000003</v>
      </c>
      <c r="S10" s="2">
        <f t="shared" si="0"/>
        <v>6.2385703684914015E-2</v>
      </c>
      <c r="T10" s="4">
        <v>20.04</v>
      </c>
      <c r="U10" s="5">
        <v>5.3779996233060956E-4</v>
      </c>
    </row>
    <row r="11" spans="1:21">
      <c r="A11" s="1" t="s">
        <v>29</v>
      </c>
      <c r="B11" s="1" t="s">
        <v>280</v>
      </c>
      <c r="C11" s="1">
        <v>16</v>
      </c>
      <c r="D11" s="1">
        <v>3</v>
      </c>
      <c r="E11" s="1" t="s">
        <v>18</v>
      </c>
      <c r="F11" s="1" t="s">
        <v>139</v>
      </c>
      <c r="G11" s="1">
        <v>5</v>
      </c>
      <c r="H11" s="1" t="s">
        <v>140</v>
      </c>
      <c r="I11" s="1" t="s">
        <v>141</v>
      </c>
      <c r="J11" s="1" t="s">
        <v>17</v>
      </c>
      <c r="K11" s="1" t="s">
        <v>132</v>
      </c>
      <c r="L11" s="1" t="s">
        <v>17</v>
      </c>
      <c r="M11" s="1" t="s">
        <v>18</v>
      </c>
      <c r="N11" s="1" t="s">
        <v>18</v>
      </c>
      <c r="O11" s="1" t="s">
        <v>18</v>
      </c>
      <c r="P11" s="1" t="s">
        <v>18</v>
      </c>
      <c r="Q11" s="1">
        <v>461.99999400000002</v>
      </c>
      <c r="R11" s="1">
        <v>489.09320100000002</v>
      </c>
      <c r="S11" s="2">
        <f t="shared" si="0"/>
        <v>5.8643305956406586E-2</v>
      </c>
      <c r="T11" s="4">
        <v>20.54</v>
      </c>
      <c r="U11" s="5">
        <v>4.6040001325309282E-4</v>
      </c>
    </row>
    <row r="12" spans="1:21">
      <c r="A12" s="1" t="s">
        <v>30</v>
      </c>
      <c r="B12" s="1" t="s">
        <v>281</v>
      </c>
      <c r="C12" s="1">
        <v>12</v>
      </c>
      <c r="D12" s="1">
        <v>0</v>
      </c>
      <c r="E12" s="1" t="s">
        <v>18</v>
      </c>
      <c r="F12" s="1" t="s">
        <v>147</v>
      </c>
      <c r="G12" s="1">
        <v>2</v>
      </c>
      <c r="H12" s="1" t="s">
        <v>19</v>
      </c>
      <c r="I12" s="1" t="s">
        <v>20</v>
      </c>
      <c r="J12" s="1" t="s">
        <v>18</v>
      </c>
      <c r="K12" s="1" t="s">
        <v>127</v>
      </c>
      <c r="L12" s="1" t="s">
        <v>17</v>
      </c>
      <c r="M12" s="1" t="s">
        <v>17</v>
      </c>
      <c r="N12" s="1" t="s">
        <v>18</v>
      </c>
      <c r="O12" s="1" t="s">
        <v>17</v>
      </c>
      <c r="P12" s="1" t="s">
        <v>17</v>
      </c>
      <c r="Q12" s="1">
        <v>663.04000799999994</v>
      </c>
      <c r="R12" s="1">
        <v>750.09436800000003</v>
      </c>
      <c r="S12" s="2">
        <f t="shared" si="0"/>
        <v>0.13129578750849691</v>
      </c>
      <c r="T12" s="4">
        <v>20.05</v>
      </c>
      <c r="U12" s="5">
        <v>2.5989999994635582E-4</v>
      </c>
    </row>
    <row r="13" spans="1:21">
      <c r="A13" s="1" t="s">
        <v>31</v>
      </c>
      <c r="B13" s="1" t="s">
        <v>282</v>
      </c>
      <c r="C13" s="1">
        <v>10</v>
      </c>
      <c r="D13" s="1">
        <v>2</v>
      </c>
      <c r="E13" s="1" t="s">
        <v>17</v>
      </c>
      <c r="F13" s="1" t="s">
        <v>154</v>
      </c>
      <c r="G13" s="1">
        <v>9</v>
      </c>
      <c r="H13" s="1" t="s">
        <v>130</v>
      </c>
      <c r="I13" s="1" t="s">
        <v>131</v>
      </c>
      <c r="J13" s="1" t="s">
        <v>18</v>
      </c>
      <c r="K13" s="1" t="s">
        <v>132</v>
      </c>
      <c r="L13" s="1" t="s">
        <v>18</v>
      </c>
      <c r="M13" s="1" t="s">
        <v>17</v>
      </c>
      <c r="N13" s="1" t="s">
        <v>18</v>
      </c>
      <c r="O13" s="1" t="s">
        <v>18</v>
      </c>
      <c r="P13" s="1" t="s">
        <v>18</v>
      </c>
      <c r="Q13" s="1">
        <v>1704.9200129999999</v>
      </c>
      <c r="R13" s="1">
        <v>1646.516498</v>
      </c>
      <c r="S13" s="2">
        <f t="shared" si="0"/>
        <v>3.4255868049335857E-2</v>
      </c>
      <c r="T13" s="4">
        <v>22.49</v>
      </c>
      <c r="U13" s="5">
        <v>8.808000129647553E-4</v>
      </c>
    </row>
    <row r="14" spans="1:21">
      <c r="A14" s="1" t="s">
        <v>32</v>
      </c>
      <c r="B14" s="1" t="s">
        <v>283</v>
      </c>
      <c r="C14" s="1">
        <v>12</v>
      </c>
      <c r="D14" s="1">
        <v>6</v>
      </c>
      <c r="E14" s="1" t="s">
        <v>17</v>
      </c>
      <c r="F14" s="1" t="s">
        <v>156</v>
      </c>
      <c r="G14" s="1">
        <v>12</v>
      </c>
      <c r="H14" s="1" t="s">
        <v>19</v>
      </c>
      <c r="I14" s="1" t="s">
        <v>20</v>
      </c>
      <c r="J14" s="1" t="s">
        <v>17</v>
      </c>
      <c r="K14" s="1" t="s">
        <v>127</v>
      </c>
      <c r="L14" s="1" t="s">
        <v>17</v>
      </c>
      <c r="M14" s="1" t="s">
        <v>18</v>
      </c>
      <c r="N14" s="1" t="s">
        <v>18</v>
      </c>
      <c r="O14" s="1" t="s">
        <v>18</v>
      </c>
      <c r="P14" s="1" t="s">
        <v>18</v>
      </c>
      <c r="Q14" s="1">
        <v>1144.6399899999999</v>
      </c>
      <c r="R14" s="1">
        <v>1167.8243339999999</v>
      </c>
      <c r="S14" s="2">
        <f t="shared" si="0"/>
        <v>2.0254703839239455E-2</v>
      </c>
      <c r="T14" s="4">
        <v>21.56</v>
      </c>
      <c r="U14" s="5">
        <v>1.130400050897151E-3</v>
      </c>
    </row>
    <row r="15" spans="1:21">
      <c r="A15" s="1" t="s">
        <v>33</v>
      </c>
      <c r="B15" s="1" t="s">
        <v>284</v>
      </c>
      <c r="C15" s="1">
        <v>16</v>
      </c>
      <c r="D15" s="1">
        <v>6</v>
      </c>
      <c r="E15" s="1" t="s">
        <v>17</v>
      </c>
      <c r="F15" s="1" t="s">
        <v>195</v>
      </c>
      <c r="G15" s="1">
        <v>12</v>
      </c>
      <c r="H15" s="1" t="s">
        <v>130</v>
      </c>
      <c r="I15" s="1" t="s">
        <v>131</v>
      </c>
      <c r="J15" s="1" t="s">
        <v>17</v>
      </c>
      <c r="K15" s="1" t="s">
        <v>132</v>
      </c>
      <c r="L15" s="1" t="s">
        <v>18</v>
      </c>
      <c r="M15" s="1" t="s">
        <v>18</v>
      </c>
      <c r="N15" s="1" t="s">
        <v>18</v>
      </c>
      <c r="O15" s="1" t="s">
        <v>18</v>
      </c>
      <c r="P15" s="1" t="s">
        <v>17</v>
      </c>
      <c r="Q15" s="1">
        <v>2574.5999539999998</v>
      </c>
      <c r="R15" s="1">
        <v>2667.1491759999999</v>
      </c>
      <c r="S15" s="2">
        <f t="shared" si="0"/>
        <v>3.5947030083726982E-2</v>
      </c>
      <c r="T15" s="4">
        <v>22.77</v>
      </c>
      <c r="U15" s="5">
        <v>1.217099954374135E-3</v>
      </c>
    </row>
    <row r="16" spans="1:21">
      <c r="A16" s="1" t="s">
        <v>34</v>
      </c>
      <c r="B16" s="1" t="s">
        <v>168</v>
      </c>
      <c r="C16" s="1">
        <v>16</v>
      </c>
      <c r="D16" s="1">
        <v>0</v>
      </c>
      <c r="E16" s="1" t="s">
        <v>17</v>
      </c>
      <c r="F16" s="1" t="s">
        <v>147</v>
      </c>
      <c r="G16" s="1">
        <v>5</v>
      </c>
      <c r="H16" s="1" t="s">
        <v>19</v>
      </c>
      <c r="I16" s="1" t="s">
        <v>20</v>
      </c>
      <c r="J16" s="1" t="s">
        <v>18</v>
      </c>
      <c r="K16" s="1" t="s">
        <v>127</v>
      </c>
      <c r="L16" s="1" t="s">
        <v>18</v>
      </c>
      <c r="M16" s="1" t="s">
        <v>18</v>
      </c>
      <c r="N16" s="1" t="s">
        <v>18</v>
      </c>
      <c r="O16" s="1" t="s">
        <v>18</v>
      </c>
      <c r="P16" s="1" t="s">
        <v>17</v>
      </c>
      <c r="Q16" s="1">
        <v>1085.840011</v>
      </c>
      <c r="R16" s="1">
        <v>1118.3677640000001</v>
      </c>
      <c r="S16" s="2">
        <f t="shared" si="0"/>
        <v>2.9956303571871304E-2</v>
      </c>
      <c r="T16" s="4">
        <v>20.48</v>
      </c>
      <c r="U16" s="5">
        <v>4.6479998854920268E-4</v>
      </c>
    </row>
    <row r="17" spans="1:21">
      <c r="A17" s="1" t="s">
        <v>35</v>
      </c>
      <c r="B17" s="1" t="s">
        <v>285</v>
      </c>
      <c r="C17" s="1">
        <v>10</v>
      </c>
      <c r="D17" s="1">
        <v>3</v>
      </c>
      <c r="E17" s="1" t="s">
        <v>17</v>
      </c>
      <c r="F17" s="1" t="s">
        <v>167</v>
      </c>
      <c r="G17" s="1">
        <v>8</v>
      </c>
      <c r="H17" s="1" t="s">
        <v>140</v>
      </c>
      <c r="I17" s="1" t="s">
        <v>141</v>
      </c>
      <c r="J17" s="1" t="s">
        <v>17</v>
      </c>
      <c r="K17" s="1" t="s">
        <v>132</v>
      </c>
      <c r="L17" s="1" t="s">
        <v>18</v>
      </c>
      <c r="M17" s="1" t="s">
        <v>18</v>
      </c>
      <c r="N17" s="1" t="s">
        <v>18</v>
      </c>
      <c r="O17" s="1" t="s">
        <v>17</v>
      </c>
      <c r="P17" s="1" t="s">
        <v>18</v>
      </c>
      <c r="Q17" s="1">
        <v>1030.6799820000001</v>
      </c>
      <c r="R17" s="1">
        <v>940.55288599999994</v>
      </c>
      <c r="S17" s="2">
        <f t="shared" si="0"/>
        <v>8.7444306258002161E-2</v>
      </c>
      <c r="T17" s="4">
        <v>21.18</v>
      </c>
      <c r="U17" s="5">
        <v>7.4899999890476465E-4</v>
      </c>
    </row>
    <row r="18" spans="1:21">
      <c r="A18" s="1" t="s">
        <v>36</v>
      </c>
      <c r="B18" s="1" t="s">
        <v>286</v>
      </c>
      <c r="C18" s="1">
        <v>10</v>
      </c>
      <c r="D18" s="1">
        <v>2</v>
      </c>
      <c r="E18" s="1" t="s">
        <v>17</v>
      </c>
      <c r="F18" s="1" t="s">
        <v>126</v>
      </c>
      <c r="G18" s="1">
        <v>9</v>
      </c>
      <c r="H18" s="1" t="s">
        <v>19</v>
      </c>
      <c r="I18" s="1" t="s">
        <v>20</v>
      </c>
      <c r="J18" s="1" t="s">
        <v>18</v>
      </c>
      <c r="K18" s="1" t="s">
        <v>127</v>
      </c>
      <c r="L18" s="1" t="s">
        <v>18</v>
      </c>
      <c r="M18" s="1" t="s">
        <v>18</v>
      </c>
      <c r="N18" s="1" t="s">
        <v>18</v>
      </c>
      <c r="O18" s="1" t="s">
        <v>17</v>
      </c>
      <c r="P18" s="1" t="s">
        <v>18</v>
      </c>
      <c r="Q18" s="1">
        <v>887.04000499999995</v>
      </c>
      <c r="R18" s="1">
        <v>843.19957899999997</v>
      </c>
      <c r="S18" s="2">
        <f t="shared" si="0"/>
        <v>4.942327939313175E-2</v>
      </c>
      <c r="T18" s="4">
        <v>20.48</v>
      </c>
      <c r="U18" s="5">
        <v>8.9149997802451253E-4</v>
      </c>
    </row>
    <row r="19" spans="1:21">
      <c r="A19" s="1" t="s">
        <v>37</v>
      </c>
      <c r="B19" s="1" t="s">
        <v>287</v>
      </c>
      <c r="C19" s="1">
        <v>10</v>
      </c>
      <c r="D19" s="1">
        <v>3</v>
      </c>
      <c r="E19" s="1" t="s">
        <v>17</v>
      </c>
      <c r="F19" s="1" t="s">
        <v>158</v>
      </c>
      <c r="G19" s="1">
        <v>9</v>
      </c>
      <c r="H19" s="1" t="s">
        <v>130</v>
      </c>
      <c r="I19" s="1" t="s">
        <v>131</v>
      </c>
      <c r="J19" s="1" t="s">
        <v>18</v>
      </c>
      <c r="K19" s="1" t="s">
        <v>132</v>
      </c>
      <c r="L19" s="1" t="s">
        <v>17</v>
      </c>
      <c r="M19" s="1" t="s">
        <v>17</v>
      </c>
      <c r="N19" s="1" t="s">
        <v>18</v>
      </c>
      <c r="O19" s="1" t="s">
        <v>17</v>
      </c>
      <c r="P19" s="1" t="s">
        <v>17</v>
      </c>
      <c r="Q19" s="1">
        <v>3861.2000330000001</v>
      </c>
      <c r="R19" s="1">
        <v>3738.4019680000001</v>
      </c>
      <c r="S19" s="2">
        <f t="shared" si="0"/>
        <v>3.1803082966564332E-2</v>
      </c>
      <c r="T19" s="4">
        <v>24.32</v>
      </c>
      <c r="U19" s="5">
        <v>3.2888000132516031E-3</v>
      </c>
    </row>
    <row r="20" spans="1:21">
      <c r="A20" s="1" t="s">
        <v>38</v>
      </c>
      <c r="B20" s="1" t="s">
        <v>214</v>
      </c>
      <c r="C20" s="1">
        <v>16</v>
      </c>
      <c r="D20" s="1">
        <v>1</v>
      </c>
      <c r="E20" s="1" t="s">
        <v>17</v>
      </c>
      <c r="F20" s="1" t="s">
        <v>147</v>
      </c>
      <c r="G20" s="1">
        <v>16</v>
      </c>
      <c r="H20" s="1" t="s">
        <v>19</v>
      </c>
      <c r="I20" s="1" t="s">
        <v>20</v>
      </c>
      <c r="J20" s="1" t="s">
        <v>18</v>
      </c>
      <c r="K20" s="1" t="s">
        <v>127</v>
      </c>
      <c r="L20" s="1" t="s">
        <v>17</v>
      </c>
      <c r="M20" s="1" t="s">
        <v>18</v>
      </c>
      <c r="N20" s="1" t="s">
        <v>18</v>
      </c>
      <c r="O20" s="1" t="s">
        <v>17</v>
      </c>
      <c r="P20" s="1" t="s">
        <v>18</v>
      </c>
      <c r="Q20" s="1">
        <v>1673.5600119999999</v>
      </c>
      <c r="R20" s="1">
        <v>1738.543817</v>
      </c>
      <c r="S20" s="2">
        <f t="shared" si="0"/>
        <v>3.8829683150914146E-2</v>
      </c>
      <c r="T20" s="4">
        <v>21.52</v>
      </c>
      <c r="U20" s="5">
        <v>1.593800028786063E-3</v>
      </c>
    </row>
    <row r="21" spans="1:21">
      <c r="A21" s="1" t="s">
        <v>39</v>
      </c>
      <c r="B21" s="1" t="s">
        <v>183</v>
      </c>
      <c r="C21" s="1">
        <v>10</v>
      </c>
      <c r="D21" s="1">
        <v>4</v>
      </c>
      <c r="E21" s="1" t="s">
        <v>18</v>
      </c>
      <c r="F21" s="1" t="s">
        <v>143</v>
      </c>
      <c r="G21" s="1">
        <v>2</v>
      </c>
      <c r="H21" s="1" t="s">
        <v>19</v>
      </c>
      <c r="I21" s="1" t="s">
        <v>20</v>
      </c>
      <c r="J21" s="1" t="s">
        <v>18</v>
      </c>
      <c r="K21" s="1" t="s">
        <v>132</v>
      </c>
      <c r="L21" s="1" t="s">
        <v>18</v>
      </c>
      <c r="M21" s="1" t="s">
        <v>18</v>
      </c>
      <c r="N21" s="1" t="s">
        <v>18</v>
      </c>
      <c r="O21" s="1" t="s">
        <v>18</v>
      </c>
      <c r="P21" s="1" t="s">
        <v>17</v>
      </c>
      <c r="Q21" s="1">
        <v>138.88</v>
      </c>
      <c r="R21" s="1">
        <v>124.998321</v>
      </c>
      <c r="S21" s="2">
        <f t="shared" si="0"/>
        <v>9.9954485887096711E-2</v>
      </c>
      <c r="T21" s="4">
        <v>19.260000000000002</v>
      </c>
      <c r="U21" s="5">
        <v>3.034000401385128E-4</v>
      </c>
    </row>
    <row r="22" spans="1:21">
      <c r="A22" s="1" t="s">
        <v>40</v>
      </c>
      <c r="B22" s="1" t="s">
        <v>288</v>
      </c>
      <c r="C22" s="1">
        <v>16</v>
      </c>
      <c r="D22" s="1">
        <v>2</v>
      </c>
      <c r="E22" s="1" t="s">
        <v>18</v>
      </c>
      <c r="F22" s="1" t="s">
        <v>126</v>
      </c>
      <c r="G22" s="1">
        <v>9</v>
      </c>
      <c r="H22" s="1" t="s">
        <v>19</v>
      </c>
      <c r="I22" s="1" t="s">
        <v>20</v>
      </c>
      <c r="J22" s="1" t="s">
        <v>18</v>
      </c>
      <c r="K22" s="1" t="s">
        <v>127</v>
      </c>
      <c r="L22" s="1" t="s">
        <v>17</v>
      </c>
      <c r="M22" s="1" t="s">
        <v>17</v>
      </c>
      <c r="N22" s="1" t="s">
        <v>18</v>
      </c>
      <c r="O22" s="1" t="s">
        <v>18</v>
      </c>
      <c r="P22" s="1" t="s">
        <v>18</v>
      </c>
      <c r="Q22" s="1">
        <v>2451.680014</v>
      </c>
      <c r="R22" s="1">
        <v>2634.5727179999999</v>
      </c>
      <c r="S22" s="2">
        <f t="shared" si="0"/>
        <v>7.4598929287515034E-2</v>
      </c>
      <c r="T22" s="4">
        <v>22.65</v>
      </c>
      <c r="U22" s="5">
        <v>2.9073000187054281E-3</v>
      </c>
    </row>
    <row r="23" spans="1:21">
      <c r="A23" s="1" t="s">
        <v>41</v>
      </c>
      <c r="B23" s="1" t="s">
        <v>289</v>
      </c>
      <c r="C23" s="1">
        <v>6</v>
      </c>
      <c r="D23" s="1">
        <v>2</v>
      </c>
      <c r="E23" s="1" t="s">
        <v>17</v>
      </c>
      <c r="F23" s="1" t="s">
        <v>186</v>
      </c>
      <c r="G23" s="1">
        <v>5</v>
      </c>
      <c r="H23" s="1" t="s">
        <v>140</v>
      </c>
      <c r="I23" s="1" t="s">
        <v>141</v>
      </c>
      <c r="J23" s="1" t="s">
        <v>17</v>
      </c>
      <c r="K23" s="1" t="s">
        <v>132</v>
      </c>
      <c r="L23" s="1" t="s">
        <v>18</v>
      </c>
      <c r="M23" s="1" t="s">
        <v>18</v>
      </c>
      <c r="N23" s="1" t="s">
        <v>18</v>
      </c>
      <c r="O23" s="1" t="s">
        <v>17</v>
      </c>
      <c r="P23" s="1" t="s">
        <v>18</v>
      </c>
      <c r="Q23" s="1">
        <v>433.15998999999999</v>
      </c>
      <c r="R23" s="1">
        <v>360.61243100000002</v>
      </c>
      <c r="S23" s="2">
        <f t="shared" si="0"/>
        <v>0.16748444148777447</v>
      </c>
      <c r="T23" s="4">
        <v>19.940000000000001</v>
      </c>
      <c r="U23" s="5">
        <v>4.6419998398050671E-4</v>
      </c>
    </row>
    <row r="24" spans="1:21">
      <c r="A24" s="1" t="s">
        <v>42</v>
      </c>
      <c r="B24" s="1" t="s">
        <v>290</v>
      </c>
      <c r="C24" s="1">
        <v>8</v>
      </c>
      <c r="D24" s="1">
        <v>0</v>
      </c>
      <c r="E24" s="1" t="s">
        <v>18</v>
      </c>
      <c r="F24" s="1" t="s">
        <v>126</v>
      </c>
      <c r="G24" s="1">
        <v>12</v>
      </c>
      <c r="H24" s="1" t="s">
        <v>19</v>
      </c>
      <c r="I24" s="1" t="s">
        <v>20</v>
      </c>
      <c r="J24" s="1" t="s">
        <v>17</v>
      </c>
      <c r="K24" s="1" t="s">
        <v>127</v>
      </c>
      <c r="L24" s="1" t="s">
        <v>17</v>
      </c>
      <c r="M24" s="1" t="s">
        <v>18</v>
      </c>
      <c r="N24" s="1" t="s">
        <v>18</v>
      </c>
      <c r="O24" s="1" t="s">
        <v>18</v>
      </c>
      <c r="P24" s="1" t="s">
        <v>18</v>
      </c>
      <c r="Q24" s="1">
        <v>1067.07998</v>
      </c>
      <c r="R24" s="1">
        <v>1059.194542</v>
      </c>
      <c r="S24" s="2">
        <f t="shared" si="0"/>
        <v>7.3897347413452762E-3</v>
      </c>
      <c r="T24" s="4">
        <v>20.93</v>
      </c>
      <c r="U24" s="5">
        <v>1.0550000006332989E-3</v>
      </c>
    </row>
    <row r="25" spans="1:21">
      <c r="A25" s="1" t="s">
        <v>43</v>
      </c>
      <c r="B25" s="1" t="s">
        <v>291</v>
      </c>
      <c r="C25" s="1">
        <v>8</v>
      </c>
      <c r="D25" s="1">
        <v>6</v>
      </c>
      <c r="E25" s="1" t="s">
        <v>17</v>
      </c>
      <c r="F25" s="1" t="s">
        <v>273</v>
      </c>
      <c r="G25" s="1">
        <v>7</v>
      </c>
      <c r="H25" s="1" t="s">
        <v>140</v>
      </c>
      <c r="I25" s="1" t="s">
        <v>141</v>
      </c>
      <c r="J25" s="1" t="s">
        <v>18</v>
      </c>
      <c r="K25" s="1" t="s">
        <v>132</v>
      </c>
      <c r="L25" s="1" t="s">
        <v>18</v>
      </c>
      <c r="M25" s="1" t="s">
        <v>18</v>
      </c>
      <c r="N25" s="1" t="s">
        <v>18</v>
      </c>
      <c r="O25" s="1" t="s">
        <v>18</v>
      </c>
      <c r="P25" s="1" t="s">
        <v>17</v>
      </c>
      <c r="Q25" s="1">
        <v>801.92000700000006</v>
      </c>
      <c r="R25" s="1">
        <v>713.34465499999999</v>
      </c>
      <c r="S25" s="2">
        <f t="shared" si="0"/>
        <v>0.11045409919545761</v>
      </c>
      <c r="T25" s="4">
        <v>20.64</v>
      </c>
      <c r="U25" s="5">
        <v>6.0960004338994622E-4</v>
      </c>
    </row>
    <row r="26" spans="1:21">
      <c r="A26" s="1" t="s">
        <v>44</v>
      </c>
      <c r="B26" s="1" t="s">
        <v>239</v>
      </c>
      <c r="C26" s="1">
        <v>6</v>
      </c>
      <c r="D26" s="1">
        <v>4</v>
      </c>
      <c r="E26" s="1" t="s">
        <v>18</v>
      </c>
      <c r="F26" s="1" t="s">
        <v>134</v>
      </c>
      <c r="G26" s="1">
        <v>3</v>
      </c>
      <c r="H26" s="1" t="s">
        <v>19</v>
      </c>
      <c r="I26" s="1" t="s">
        <v>20</v>
      </c>
      <c r="J26" s="1" t="s">
        <v>17</v>
      </c>
      <c r="K26" s="1" t="s">
        <v>127</v>
      </c>
      <c r="L26" s="1" t="s">
        <v>17</v>
      </c>
      <c r="M26" s="1" t="s">
        <v>18</v>
      </c>
      <c r="N26" s="1" t="s">
        <v>18</v>
      </c>
      <c r="O26" s="1" t="s">
        <v>18</v>
      </c>
      <c r="P26" s="1" t="s">
        <v>18</v>
      </c>
      <c r="Q26" s="1">
        <v>274.67999500000002</v>
      </c>
      <c r="R26" s="1">
        <v>289.26638500000001</v>
      </c>
      <c r="S26" s="2">
        <f t="shared" si="0"/>
        <v>5.3103211975812047E-2</v>
      </c>
      <c r="T26" s="4">
        <v>19.899999999999999</v>
      </c>
      <c r="U26" s="5">
        <v>3.0920002609491348E-4</v>
      </c>
    </row>
    <row r="27" spans="1:21">
      <c r="A27" s="1" t="s">
        <v>45</v>
      </c>
      <c r="B27" s="1" t="s">
        <v>196</v>
      </c>
      <c r="C27" s="1">
        <v>12</v>
      </c>
      <c r="D27" s="1">
        <v>3</v>
      </c>
      <c r="E27" s="1" t="s">
        <v>17</v>
      </c>
      <c r="F27" s="1" t="s">
        <v>143</v>
      </c>
      <c r="G27" s="1">
        <v>2</v>
      </c>
      <c r="H27" s="1" t="s">
        <v>19</v>
      </c>
      <c r="I27" s="1" t="s">
        <v>20</v>
      </c>
      <c r="J27" s="1" t="s">
        <v>17</v>
      </c>
      <c r="K27" s="1" t="s">
        <v>132</v>
      </c>
      <c r="L27" s="1" t="s">
        <v>18</v>
      </c>
      <c r="M27" s="1" t="s">
        <v>18</v>
      </c>
      <c r="N27" s="1" t="s">
        <v>18</v>
      </c>
      <c r="O27" s="1" t="s">
        <v>17</v>
      </c>
      <c r="P27" s="1" t="s">
        <v>17</v>
      </c>
      <c r="Q27" s="1">
        <v>334.87999500000001</v>
      </c>
      <c r="R27" s="1">
        <v>307.06826000000001</v>
      </c>
      <c r="S27" s="2">
        <f t="shared" si="0"/>
        <v>8.3049854918924013E-2</v>
      </c>
      <c r="T27" s="4">
        <v>19.38</v>
      </c>
      <c r="U27" s="5">
        <v>2.6630004867911339E-4</v>
      </c>
    </row>
    <row r="28" spans="1:21">
      <c r="A28" s="1" t="s">
        <v>46</v>
      </c>
      <c r="B28" s="1" t="s">
        <v>292</v>
      </c>
      <c r="C28" s="1">
        <v>6</v>
      </c>
      <c r="D28" s="1">
        <v>1</v>
      </c>
      <c r="E28" s="1" t="s">
        <v>18</v>
      </c>
      <c r="F28" s="1" t="s">
        <v>156</v>
      </c>
      <c r="G28" s="1">
        <v>8</v>
      </c>
      <c r="H28" s="1" t="s">
        <v>19</v>
      </c>
      <c r="I28" s="1" t="s">
        <v>20</v>
      </c>
      <c r="J28" s="1" t="s">
        <v>18</v>
      </c>
      <c r="K28" s="1" t="s">
        <v>127</v>
      </c>
      <c r="L28" s="1" t="s">
        <v>18</v>
      </c>
      <c r="M28" s="1" t="s">
        <v>18</v>
      </c>
      <c r="N28" s="1" t="s">
        <v>18</v>
      </c>
      <c r="O28" s="1" t="s">
        <v>17</v>
      </c>
      <c r="P28" s="1" t="s">
        <v>18</v>
      </c>
      <c r="Q28" s="1">
        <v>440.71999899999997</v>
      </c>
      <c r="R28" s="1">
        <v>415.41794199999998</v>
      </c>
      <c r="S28" s="2">
        <f t="shared" si="0"/>
        <v>5.741073029908042E-2</v>
      </c>
      <c r="T28" s="4">
        <v>19.61</v>
      </c>
      <c r="U28" s="5">
        <v>7.3560001328587532E-4</v>
      </c>
    </row>
    <row r="29" spans="1:21">
      <c r="A29" s="1" t="s">
        <v>47</v>
      </c>
      <c r="B29" s="1" t="s">
        <v>293</v>
      </c>
      <c r="C29" s="1">
        <v>12</v>
      </c>
      <c r="D29" s="1">
        <v>0</v>
      </c>
      <c r="E29" s="1" t="s">
        <v>17</v>
      </c>
      <c r="F29" s="1" t="s">
        <v>170</v>
      </c>
      <c r="G29" s="1">
        <v>16</v>
      </c>
      <c r="H29" s="1" t="s">
        <v>130</v>
      </c>
      <c r="I29" s="1" t="s">
        <v>131</v>
      </c>
      <c r="J29" s="1" t="s">
        <v>17</v>
      </c>
      <c r="K29" s="1" t="s">
        <v>132</v>
      </c>
      <c r="L29" s="1" t="s">
        <v>18</v>
      </c>
      <c r="M29" s="1" t="s">
        <v>18</v>
      </c>
      <c r="N29" s="1" t="s">
        <v>18</v>
      </c>
      <c r="O29" s="1" t="s">
        <v>18</v>
      </c>
      <c r="P29" s="1" t="s">
        <v>17</v>
      </c>
      <c r="Q29" s="1">
        <v>5985.83986</v>
      </c>
      <c r="R29" s="1">
        <v>5837.659525</v>
      </c>
      <c r="S29" s="2">
        <f t="shared" si="0"/>
        <v>2.4755145220340061E-2</v>
      </c>
      <c r="T29" s="4">
        <v>24.13</v>
      </c>
      <c r="U29" s="5">
        <v>1.464500033762306E-3</v>
      </c>
    </row>
    <row r="30" spans="1:21">
      <c r="A30" s="1" t="s">
        <v>48</v>
      </c>
      <c r="B30" s="1" t="s">
        <v>216</v>
      </c>
      <c r="C30" s="1">
        <v>16</v>
      </c>
      <c r="D30" s="1">
        <v>6</v>
      </c>
      <c r="E30" s="1" t="s">
        <v>18</v>
      </c>
      <c r="F30" s="1" t="s">
        <v>156</v>
      </c>
      <c r="G30" s="1">
        <v>9</v>
      </c>
      <c r="H30" s="1" t="s">
        <v>19</v>
      </c>
      <c r="I30" s="1" t="s">
        <v>20</v>
      </c>
      <c r="J30" s="1" t="s">
        <v>17</v>
      </c>
      <c r="K30" s="1" t="s">
        <v>127</v>
      </c>
      <c r="L30" s="1" t="s">
        <v>18</v>
      </c>
      <c r="M30" s="1" t="s">
        <v>18</v>
      </c>
      <c r="N30" s="1" t="s">
        <v>18</v>
      </c>
      <c r="O30" s="1" t="s">
        <v>17</v>
      </c>
      <c r="P30" s="1" t="s">
        <v>17</v>
      </c>
      <c r="Q30" s="1">
        <v>1304.799986</v>
      </c>
      <c r="R30" s="1">
        <v>1234.497406</v>
      </c>
      <c r="S30" s="2">
        <f t="shared" si="0"/>
        <v>5.3879966856468092E-2</v>
      </c>
      <c r="T30" s="4">
        <v>21.71</v>
      </c>
      <c r="U30" s="5">
        <v>1.4609000063501301E-3</v>
      </c>
    </row>
    <row r="31" spans="1:21">
      <c r="A31" s="1" t="s">
        <v>49</v>
      </c>
      <c r="B31" s="1" t="s">
        <v>294</v>
      </c>
      <c r="C31" s="1">
        <v>12</v>
      </c>
      <c r="D31" s="1">
        <v>3</v>
      </c>
      <c r="E31" s="1" t="s">
        <v>17</v>
      </c>
      <c r="F31" s="1" t="s">
        <v>170</v>
      </c>
      <c r="G31" s="1">
        <v>12</v>
      </c>
      <c r="H31" s="1" t="s">
        <v>130</v>
      </c>
      <c r="I31" s="1" t="s">
        <v>131</v>
      </c>
      <c r="J31" s="1" t="s">
        <v>18</v>
      </c>
      <c r="K31" s="1" t="s">
        <v>132</v>
      </c>
      <c r="L31" s="1" t="s">
        <v>17</v>
      </c>
      <c r="M31" s="1" t="s">
        <v>18</v>
      </c>
      <c r="N31" s="1" t="s">
        <v>18</v>
      </c>
      <c r="O31" s="1" t="s">
        <v>18</v>
      </c>
      <c r="P31" s="1" t="s">
        <v>18</v>
      </c>
      <c r="Q31" s="1">
        <v>1905.960022</v>
      </c>
      <c r="R31" s="1">
        <v>1864.580201</v>
      </c>
      <c r="S31" s="2">
        <f t="shared" si="0"/>
        <v>2.1710749712671566E-2</v>
      </c>
      <c r="T31" s="4">
        <v>21.13</v>
      </c>
      <c r="U31" s="5">
        <v>1.0810999665409331E-3</v>
      </c>
    </row>
    <row r="32" spans="1:21">
      <c r="A32" s="1" t="s">
        <v>50</v>
      </c>
      <c r="B32" s="1" t="s">
        <v>207</v>
      </c>
      <c r="C32" s="1">
        <v>9</v>
      </c>
      <c r="D32" s="1">
        <v>2</v>
      </c>
      <c r="E32" s="1" t="s">
        <v>18</v>
      </c>
      <c r="F32" s="1" t="s">
        <v>134</v>
      </c>
      <c r="G32" s="1">
        <v>4</v>
      </c>
      <c r="H32" s="1" t="s">
        <v>19</v>
      </c>
      <c r="I32" s="1" t="s">
        <v>20</v>
      </c>
      <c r="J32" s="1" t="s">
        <v>17</v>
      </c>
      <c r="K32" s="1" t="s">
        <v>127</v>
      </c>
      <c r="L32" s="1" t="s">
        <v>17</v>
      </c>
      <c r="M32" s="1" t="s">
        <v>17</v>
      </c>
      <c r="N32" s="1" t="s">
        <v>18</v>
      </c>
      <c r="O32" s="1" t="s">
        <v>17</v>
      </c>
      <c r="P32" s="1" t="s">
        <v>17</v>
      </c>
      <c r="Q32" s="1">
        <v>1499.119972</v>
      </c>
      <c r="R32" s="1">
        <v>1657.989611</v>
      </c>
      <c r="S32" s="2">
        <f t="shared" si="0"/>
        <v>0.10597526680139514</v>
      </c>
      <c r="T32" s="4">
        <v>20.85</v>
      </c>
      <c r="U32" s="5">
        <v>6.4530002418905497E-4</v>
      </c>
    </row>
    <row r="33" spans="1:21">
      <c r="A33" s="1" t="s">
        <v>51</v>
      </c>
      <c r="B33" s="1" t="s">
        <v>295</v>
      </c>
      <c r="C33" s="1">
        <v>8</v>
      </c>
      <c r="D33" s="1">
        <v>4</v>
      </c>
      <c r="E33" s="1" t="s">
        <v>17</v>
      </c>
      <c r="F33" s="1" t="s">
        <v>139</v>
      </c>
      <c r="G33" s="1">
        <v>7</v>
      </c>
      <c r="H33" s="1" t="s">
        <v>140</v>
      </c>
      <c r="I33" s="1" t="s">
        <v>141</v>
      </c>
      <c r="J33" s="1" t="s">
        <v>17</v>
      </c>
      <c r="K33" s="1" t="s">
        <v>132</v>
      </c>
      <c r="L33" s="1" t="s">
        <v>17</v>
      </c>
      <c r="M33" s="1" t="s">
        <v>18</v>
      </c>
      <c r="N33" s="1" t="s">
        <v>18</v>
      </c>
      <c r="O33" s="1" t="s">
        <v>17</v>
      </c>
      <c r="P33" s="1" t="s">
        <v>18</v>
      </c>
      <c r="Q33" s="1">
        <v>759.63999200000001</v>
      </c>
      <c r="R33" s="1">
        <v>711.94696199999998</v>
      </c>
      <c r="S33" s="2">
        <f t="shared" si="0"/>
        <v>6.2783727163221836E-2</v>
      </c>
      <c r="T33" s="4">
        <v>20.92</v>
      </c>
      <c r="U33" s="5">
        <v>6.7300000227987766E-4</v>
      </c>
    </row>
    <row r="34" spans="1:21">
      <c r="A34" s="1" t="s">
        <v>52</v>
      </c>
      <c r="B34" s="1" t="s">
        <v>296</v>
      </c>
      <c r="C34" s="1">
        <v>12</v>
      </c>
      <c r="D34" s="1">
        <v>0</v>
      </c>
      <c r="E34" s="1" t="s">
        <v>18</v>
      </c>
      <c r="F34" s="1" t="s">
        <v>147</v>
      </c>
      <c r="G34" s="1">
        <v>16</v>
      </c>
      <c r="H34" s="1" t="s">
        <v>19</v>
      </c>
      <c r="I34" s="1" t="s">
        <v>20</v>
      </c>
      <c r="J34" s="1" t="s">
        <v>17</v>
      </c>
      <c r="K34" s="1" t="s">
        <v>127</v>
      </c>
      <c r="L34" s="1" t="s">
        <v>17</v>
      </c>
      <c r="M34" s="1" t="s">
        <v>17</v>
      </c>
      <c r="N34" s="1" t="s">
        <v>18</v>
      </c>
      <c r="O34" s="1" t="s">
        <v>18</v>
      </c>
      <c r="P34" s="1" t="s">
        <v>18</v>
      </c>
      <c r="Q34" s="1">
        <v>7691.5998600000003</v>
      </c>
      <c r="R34" s="1">
        <v>8613.7345349999996</v>
      </c>
      <c r="S34" s="2">
        <f t="shared" ref="S34:S65" si="1">ABS(R34-Q34)/Q34</f>
        <v>0.11988853967762167</v>
      </c>
      <c r="T34" s="4">
        <v>28.13</v>
      </c>
      <c r="U34" s="5">
        <v>2.592000004369766E-3</v>
      </c>
    </row>
    <row r="35" spans="1:21">
      <c r="A35" s="1" t="s">
        <v>53</v>
      </c>
      <c r="B35" s="1" t="s">
        <v>297</v>
      </c>
      <c r="C35" s="1">
        <v>9</v>
      </c>
      <c r="D35" s="1">
        <v>4</v>
      </c>
      <c r="E35" s="1" t="s">
        <v>17</v>
      </c>
      <c r="F35" s="1" t="s">
        <v>298</v>
      </c>
      <c r="G35" s="1">
        <v>9</v>
      </c>
      <c r="H35" s="1" t="s">
        <v>130</v>
      </c>
      <c r="I35" s="1" t="s">
        <v>131</v>
      </c>
      <c r="J35" s="1" t="s">
        <v>18</v>
      </c>
      <c r="K35" s="1" t="s">
        <v>132</v>
      </c>
      <c r="L35" s="1" t="s">
        <v>18</v>
      </c>
      <c r="M35" s="1" t="s">
        <v>17</v>
      </c>
      <c r="N35" s="1" t="s">
        <v>18</v>
      </c>
      <c r="O35" s="1" t="s">
        <v>18</v>
      </c>
      <c r="P35" s="1" t="s">
        <v>18</v>
      </c>
      <c r="Q35" s="1">
        <v>1811.8800180000001</v>
      </c>
      <c r="R35" s="1">
        <v>1713.90789</v>
      </c>
      <c r="S35" s="2">
        <f t="shared" si="1"/>
        <v>5.4072083706814246E-2</v>
      </c>
      <c r="T35" s="4">
        <v>21.74</v>
      </c>
      <c r="U35" s="5">
        <v>8.0239999806508422E-4</v>
      </c>
    </row>
    <row r="36" spans="1:21">
      <c r="A36" s="1" t="s">
        <v>54</v>
      </c>
      <c r="B36" s="1" t="s">
        <v>299</v>
      </c>
      <c r="C36" s="1">
        <v>9</v>
      </c>
      <c r="D36" s="1">
        <v>2</v>
      </c>
      <c r="E36" s="1" t="s">
        <v>18</v>
      </c>
      <c r="F36" s="1" t="s">
        <v>156</v>
      </c>
      <c r="G36" s="1">
        <v>6</v>
      </c>
      <c r="H36" s="1" t="s">
        <v>19</v>
      </c>
      <c r="I36" s="1" t="s">
        <v>20</v>
      </c>
      <c r="J36" s="1" t="s">
        <v>17</v>
      </c>
      <c r="K36" s="1" t="s">
        <v>127</v>
      </c>
      <c r="L36" s="1" t="s">
        <v>18</v>
      </c>
      <c r="M36" s="1" t="s">
        <v>18</v>
      </c>
      <c r="N36" s="1" t="s">
        <v>18</v>
      </c>
      <c r="O36" s="1" t="s">
        <v>17</v>
      </c>
      <c r="P36" s="1" t="s">
        <v>18</v>
      </c>
      <c r="Q36" s="1">
        <v>420.83999399999999</v>
      </c>
      <c r="R36" s="1">
        <v>401.90171500000002</v>
      </c>
      <c r="S36" s="2">
        <f t="shared" si="1"/>
        <v>4.5001138841381044E-2</v>
      </c>
      <c r="T36" s="4">
        <v>19.73</v>
      </c>
      <c r="U36" s="5">
        <v>5.1569996867328882E-4</v>
      </c>
    </row>
    <row r="37" spans="1:21">
      <c r="A37" s="1" t="s">
        <v>55</v>
      </c>
      <c r="B37" s="1" t="s">
        <v>300</v>
      </c>
      <c r="C37" s="1">
        <v>5</v>
      </c>
      <c r="D37" s="1">
        <v>0</v>
      </c>
      <c r="E37" s="1" t="s">
        <v>18</v>
      </c>
      <c r="F37" s="1" t="s">
        <v>136</v>
      </c>
      <c r="G37" s="1">
        <v>12</v>
      </c>
      <c r="H37" s="1" t="s">
        <v>130</v>
      </c>
      <c r="I37" s="1" t="s">
        <v>131</v>
      </c>
      <c r="J37" s="1" t="s">
        <v>17</v>
      </c>
      <c r="K37" s="1" t="s">
        <v>132</v>
      </c>
      <c r="L37" s="1" t="s">
        <v>18</v>
      </c>
      <c r="M37" s="1" t="s">
        <v>18</v>
      </c>
      <c r="N37" s="1" t="s">
        <v>18</v>
      </c>
      <c r="O37" s="1" t="s">
        <v>17</v>
      </c>
      <c r="P37" s="1" t="s">
        <v>18</v>
      </c>
      <c r="Q37" s="1">
        <v>1661.2399680000001</v>
      </c>
      <c r="R37" s="1">
        <v>1503.085926</v>
      </c>
      <c r="S37" s="2">
        <f t="shared" si="1"/>
        <v>9.5202406062024209E-2</v>
      </c>
      <c r="T37" s="4">
        <v>21.36</v>
      </c>
      <c r="U37" s="5">
        <v>1.002200006041676E-3</v>
      </c>
    </row>
    <row r="38" spans="1:21">
      <c r="A38" s="1" t="s">
        <v>56</v>
      </c>
      <c r="B38" s="1" t="s">
        <v>125</v>
      </c>
      <c r="C38" s="1">
        <v>5</v>
      </c>
      <c r="D38" s="1">
        <v>0</v>
      </c>
      <c r="E38" s="1" t="s">
        <v>18</v>
      </c>
      <c r="F38" s="1" t="s">
        <v>165</v>
      </c>
      <c r="G38" s="1">
        <v>7</v>
      </c>
      <c r="H38" s="1" t="s">
        <v>19</v>
      </c>
      <c r="I38" s="1" t="s">
        <v>20</v>
      </c>
      <c r="J38" s="1" t="s">
        <v>18</v>
      </c>
      <c r="K38" s="1" t="s">
        <v>127</v>
      </c>
      <c r="L38" s="1" t="s">
        <v>18</v>
      </c>
      <c r="M38" s="1" t="s">
        <v>18</v>
      </c>
      <c r="N38" s="1" t="s">
        <v>18</v>
      </c>
      <c r="O38" s="1" t="s">
        <v>17</v>
      </c>
      <c r="P38" s="1" t="s">
        <v>18</v>
      </c>
      <c r="Q38" s="1">
        <v>256.759998</v>
      </c>
      <c r="R38" s="1">
        <v>239.52980600000001</v>
      </c>
      <c r="S38" s="2">
        <f t="shared" si="1"/>
        <v>6.7106216444198563E-2</v>
      </c>
      <c r="T38" s="4">
        <v>19.93</v>
      </c>
      <c r="U38" s="5">
        <v>5.7719997130334377E-4</v>
      </c>
    </row>
    <row r="39" spans="1:21">
      <c r="A39" s="1" t="s">
        <v>57</v>
      </c>
      <c r="B39" s="1" t="s">
        <v>301</v>
      </c>
      <c r="C39" s="1">
        <v>12</v>
      </c>
      <c r="D39" s="1">
        <v>2</v>
      </c>
      <c r="E39" s="1" t="s">
        <v>17</v>
      </c>
      <c r="F39" s="1" t="s">
        <v>195</v>
      </c>
      <c r="G39" s="1">
        <v>16</v>
      </c>
      <c r="H39" s="1" t="s">
        <v>130</v>
      </c>
      <c r="I39" s="1" t="s">
        <v>131</v>
      </c>
      <c r="J39" s="1" t="s">
        <v>17</v>
      </c>
      <c r="K39" s="1" t="s">
        <v>132</v>
      </c>
      <c r="L39" s="1" t="s">
        <v>18</v>
      </c>
      <c r="M39" s="1" t="s">
        <v>18</v>
      </c>
      <c r="N39" s="1" t="s">
        <v>18</v>
      </c>
      <c r="O39" s="1" t="s">
        <v>17</v>
      </c>
      <c r="P39" s="1" t="s">
        <v>18</v>
      </c>
      <c r="Q39" s="1">
        <v>2937.7599489999998</v>
      </c>
      <c r="R39" s="1">
        <v>2803.6760479999998</v>
      </c>
      <c r="S39" s="2">
        <f t="shared" si="1"/>
        <v>4.5641544349340563E-2</v>
      </c>
      <c r="T39" s="4">
        <v>23.49</v>
      </c>
      <c r="U39" s="5">
        <v>1.43860001116991E-3</v>
      </c>
    </row>
    <row r="40" spans="1:21">
      <c r="A40" s="1" t="s">
        <v>58</v>
      </c>
      <c r="B40" s="1" t="s">
        <v>302</v>
      </c>
      <c r="C40" s="1">
        <v>9</v>
      </c>
      <c r="D40" s="1">
        <v>0</v>
      </c>
      <c r="E40" s="1" t="s">
        <v>17</v>
      </c>
      <c r="F40" s="1" t="s">
        <v>143</v>
      </c>
      <c r="G40" s="1">
        <v>7</v>
      </c>
      <c r="H40" s="1" t="s">
        <v>19</v>
      </c>
      <c r="I40" s="1" t="s">
        <v>20</v>
      </c>
      <c r="J40" s="1" t="s">
        <v>17</v>
      </c>
      <c r="K40" s="1" t="s">
        <v>127</v>
      </c>
      <c r="L40" s="1" t="s">
        <v>18</v>
      </c>
      <c r="M40" s="1" t="s">
        <v>18</v>
      </c>
      <c r="N40" s="1" t="s">
        <v>18</v>
      </c>
      <c r="O40" s="1" t="s">
        <v>17</v>
      </c>
      <c r="P40" s="1" t="s">
        <v>17</v>
      </c>
      <c r="Q40" s="1">
        <v>558.31999499999995</v>
      </c>
      <c r="R40" s="1">
        <v>587.72514799999999</v>
      </c>
      <c r="S40" s="2">
        <f t="shared" si="1"/>
        <v>5.2667203867559936E-2</v>
      </c>
      <c r="T40" s="4">
        <v>21.92</v>
      </c>
      <c r="U40" s="5">
        <v>1.153499993961304E-3</v>
      </c>
    </row>
    <row r="41" spans="1:21">
      <c r="A41" s="1" t="s">
        <v>59</v>
      </c>
      <c r="B41" s="1" t="s">
        <v>303</v>
      </c>
      <c r="C41" s="1">
        <v>10</v>
      </c>
      <c r="D41" s="1">
        <v>4</v>
      </c>
      <c r="E41" s="1" t="s">
        <v>18</v>
      </c>
      <c r="F41" s="1" t="s">
        <v>139</v>
      </c>
      <c r="G41" s="1">
        <v>5</v>
      </c>
      <c r="H41" s="1" t="s">
        <v>140</v>
      </c>
      <c r="I41" s="1" t="s">
        <v>141</v>
      </c>
      <c r="J41" s="1" t="s">
        <v>18</v>
      </c>
      <c r="K41" s="1" t="s">
        <v>132</v>
      </c>
      <c r="L41" s="1" t="s">
        <v>17</v>
      </c>
      <c r="M41" s="1" t="s">
        <v>17</v>
      </c>
      <c r="N41" s="1" t="s">
        <v>18</v>
      </c>
      <c r="O41" s="1" t="s">
        <v>18</v>
      </c>
      <c r="P41" s="1" t="s">
        <v>18</v>
      </c>
      <c r="Q41" s="1">
        <v>682.08</v>
      </c>
      <c r="R41" s="1">
        <v>674.03351199999997</v>
      </c>
      <c r="S41" s="2">
        <f t="shared" si="1"/>
        <v>1.1796985690828155E-2</v>
      </c>
      <c r="T41" s="4">
        <v>20.71</v>
      </c>
      <c r="U41" s="5">
        <v>8.381999796256423E-4</v>
      </c>
    </row>
    <row r="42" spans="1:21">
      <c r="A42" s="1" t="s">
        <v>60</v>
      </c>
      <c r="B42" s="1" t="s">
        <v>304</v>
      </c>
      <c r="C42" s="1">
        <v>8</v>
      </c>
      <c r="D42" s="1">
        <v>6</v>
      </c>
      <c r="E42" s="1" t="s">
        <v>17</v>
      </c>
      <c r="F42" s="1" t="s">
        <v>126</v>
      </c>
      <c r="G42" s="1">
        <v>4</v>
      </c>
      <c r="H42" s="1" t="s">
        <v>19</v>
      </c>
      <c r="I42" s="1" t="s">
        <v>20</v>
      </c>
      <c r="J42" s="1" t="s">
        <v>18</v>
      </c>
      <c r="K42" s="1" t="s">
        <v>127</v>
      </c>
      <c r="L42" s="1" t="s">
        <v>18</v>
      </c>
      <c r="M42" s="1" t="s">
        <v>18</v>
      </c>
      <c r="N42" s="1" t="s">
        <v>18</v>
      </c>
      <c r="O42" s="1" t="s">
        <v>17</v>
      </c>
      <c r="P42" s="1" t="s">
        <v>18</v>
      </c>
      <c r="Q42" s="1">
        <v>660.80000399999994</v>
      </c>
      <c r="R42" s="1">
        <v>663.054035</v>
      </c>
      <c r="S42" s="2">
        <f t="shared" si="1"/>
        <v>3.4110638413374686E-3</v>
      </c>
      <c r="T42" s="4">
        <v>20.13</v>
      </c>
      <c r="U42" s="5">
        <v>3.6540004657581449E-4</v>
      </c>
    </row>
    <row r="43" spans="1:21">
      <c r="A43" s="1" t="s">
        <v>61</v>
      </c>
      <c r="B43" s="1" t="s">
        <v>305</v>
      </c>
      <c r="C43" s="1">
        <v>9</v>
      </c>
      <c r="D43" s="1">
        <v>1</v>
      </c>
      <c r="E43" s="1" t="s">
        <v>17</v>
      </c>
      <c r="F43" s="1" t="s">
        <v>158</v>
      </c>
      <c r="G43" s="1">
        <v>12</v>
      </c>
      <c r="H43" s="1" t="s">
        <v>130</v>
      </c>
      <c r="I43" s="1" t="s">
        <v>131</v>
      </c>
      <c r="J43" s="1" t="s">
        <v>17</v>
      </c>
      <c r="K43" s="1" t="s">
        <v>132</v>
      </c>
      <c r="L43" s="1" t="s">
        <v>18</v>
      </c>
      <c r="M43" s="1" t="s">
        <v>18</v>
      </c>
      <c r="N43" s="1" t="s">
        <v>18</v>
      </c>
      <c r="O43" s="1" t="s">
        <v>17</v>
      </c>
      <c r="P43" s="1" t="s">
        <v>17</v>
      </c>
      <c r="Q43" s="1">
        <v>2954.5599390000002</v>
      </c>
      <c r="R43" s="1">
        <v>2480.7424350000001</v>
      </c>
      <c r="S43" s="2">
        <f t="shared" si="1"/>
        <v>0.16036821515977376</v>
      </c>
      <c r="T43" s="4">
        <v>22.77</v>
      </c>
      <c r="U43" s="5">
        <v>2.18090001726523E-3</v>
      </c>
    </row>
    <row r="44" spans="1:21">
      <c r="A44" s="1" t="s">
        <v>62</v>
      </c>
      <c r="B44" s="1" t="s">
        <v>306</v>
      </c>
      <c r="C44" s="1">
        <v>8</v>
      </c>
      <c r="D44" s="1">
        <v>4</v>
      </c>
      <c r="E44" s="1" t="s">
        <v>18</v>
      </c>
      <c r="F44" s="1" t="s">
        <v>147</v>
      </c>
      <c r="G44" s="1">
        <v>7</v>
      </c>
      <c r="H44" s="1" t="s">
        <v>19</v>
      </c>
      <c r="I44" s="1" t="s">
        <v>20</v>
      </c>
      <c r="J44" s="1" t="s">
        <v>17</v>
      </c>
      <c r="K44" s="1" t="s">
        <v>127</v>
      </c>
      <c r="L44" s="1" t="s">
        <v>18</v>
      </c>
      <c r="M44" s="1" t="s">
        <v>18</v>
      </c>
      <c r="N44" s="1" t="s">
        <v>18</v>
      </c>
      <c r="O44" s="1" t="s">
        <v>17</v>
      </c>
      <c r="P44" s="1" t="s">
        <v>18</v>
      </c>
      <c r="Q44" s="1">
        <v>612.63998700000002</v>
      </c>
      <c r="R44" s="1">
        <v>578.33904800000005</v>
      </c>
      <c r="S44" s="2">
        <f t="shared" si="1"/>
        <v>5.5988736823997041E-2</v>
      </c>
      <c r="T44" s="4">
        <v>20.13</v>
      </c>
      <c r="U44" s="5">
        <v>6.1819999245926738E-4</v>
      </c>
    </row>
    <row r="45" spans="1:21">
      <c r="A45" s="1" t="s">
        <v>63</v>
      </c>
      <c r="B45" s="1" t="s">
        <v>164</v>
      </c>
      <c r="C45" s="1">
        <v>10</v>
      </c>
      <c r="D45" s="1">
        <v>4</v>
      </c>
      <c r="E45" s="1" t="s">
        <v>18</v>
      </c>
      <c r="F45" s="1" t="s">
        <v>156</v>
      </c>
      <c r="G45" s="1">
        <v>2</v>
      </c>
      <c r="H45" s="1" t="s">
        <v>19</v>
      </c>
      <c r="I45" s="1" t="s">
        <v>20</v>
      </c>
      <c r="J45" s="1" t="s">
        <v>18</v>
      </c>
      <c r="K45" s="1" t="s">
        <v>132</v>
      </c>
      <c r="L45" s="1" t="s">
        <v>18</v>
      </c>
      <c r="M45" s="1" t="s">
        <v>17</v>
      </c>
      <c r="N45" s="1" t="s">
        <v>18</v>
      </c>
      <c r="O45" s="1" t="s">
        <v>18</v>
      </c>
      <c r="P45" s="1" t="s">
        <v>18</v>
      </c>
      <c r="Q45" s="1">
        <v>68.599999999999994</v>
      </c>
      <c r="R45" s="1">
        <v>66.585997000000006</v>
      </c>
      <c r="S45" s="2">
        <f t="shared" si="1"/>
        <v>2.9358644314868634E-2</v>
      </c>
      <c r="T45" s="4">
        <v>19.329999999999998</v>
      </c>
      <c r="U45" s="5">
        <v>1.7620000289753079E-4</v>
      </c>
    </row>
    <row r="46" spans="1:21">
      <c r="A46" s="1" t="s">
        <v>64</v>
      </c>
      <c r="B46" s="1" t="s">
        <v>202</v>
      </c>
      <c r="C46" s="1">
        <v>16</v>
      </c>
      <c r="D46" s="1">
        <v>2</v>
      </c>
      <c r="E46" s="1" t="s">
        <v>18</v>
      </c>
      <c r="F46" s="1" t="s">
        <v>147</v>
      </c>
      <c r="G46" s="1">
        <v>4</v>
      </c>
      <c r="H46" s="1" t="s">
        <v>19</v>
      </c>
      <c r="I46" s="1" t="s">
        <v>20</v>
      </c>
      <c r="J46" s="1" t="s">
        <v>17</v>
      </c>
      <c r="K46" s="1" t="s">
        <v>127</v>
      </c>
      <c r="L46" s="1" t="s">
        <v>17</v>
      </c>
      <c r="M46" s="1" t="s">
        <v>18</v>
      </c>
      <c r="N46" s="1" t="s">
        <v>18</v>
      </c>
      <c r="O46" s="1" t="s">
        <v>18</v>
      </c>
      <c r="P46" s="1" t="s">
        <v>18</v>
      </c>
      <c r="Q46" s="1">
        <v>733.31998299999998</v>
      </c>
      <c r="R46" s="1">
        <v>824.53279599999996</v>
      </c>
      <c r="S46" s="2">
        <f t="shared" si="1"/>
        <v>0.12438337303566974</v>
      </c>
      <c r="T46" s="4">
        <v>19.510000000000002</v>
      </c>
      <c r="U46" s="5">
        <v>3.9120001019909978E-4</v>
      </c>
    </row>
    <row r="47" spans="1:21">
      <c r="A47" s="1" t="s">
        <v>65</v>
      </c>
      <c r="B47" s="1" t="s">
        <v>307</v>
      </c>
      <c r="C47" s="1">
        <v>6</v>
      </c>
      <c r="D47" s="1">
        <v>3</v>
      </c>
      <c r="E47" s="1" t="s">
        <v>17</v>
      </c>
      <c r="F47" s="1" t="s">
        <v>139</v>
      </c>
      <c r="G47" s="1">
        <v>8</v>
      </c>
      <c r="H47" s="1" t="s">
        <v>140</v>
      </c>
      <c r="I47" s="1" t="s">
        <v>141</v>
      </c>
      <c r="J47" s="1" t="s">
        <v>18</v>
      </c>
      <c r="K47" s="1" t="s">
        <v>132</v>
      </c>
      <c r="L47" s="1" t="s">
        <v>18</v>
      </c>
      <c r="M47" s="1" t="s">
        <v>18</v>
      </c>
      <c r="N47" s="1" t="s">
        <v>18</v>
      </c>
      <c r="O47" s="1" t="s">
        <v>17</v>
      </c>
      <c r="P47" s="1" t="s">
        <v>17</v>
      </c>
      <c r="Q47" s="1">
        <v>1989.1199939999999</v>
      </c>
      <c r="R47" s="1">
        <v>1754.0264709999999</v>
      </c>
      <c r="S47" s="2">
        <f t="shared" si="1"/>
        <v>0.11818971389817522</v>
      </c>
      <c r="T47" s="4">
        <v>22.87</v>
      </c>
      <c r="U47" s="5">
        <v>1.3914000010117891E-3</v>
      </c>
    </row>
    <row r="48" spans="1:21">
      <c r="A48" s="1" t="s">
        <v>66</v>
      </c>
      <c r="B48" s="1" t="s">
        <v>146</v>
      </c>
      <c r="C48" s="1">
        <v>16</v>
      </c>
      <c r="D48" s="1">
        <v>2</v>
      </c>
      <c r="E48" s="1" t="s">
        <v>17</v>
      </c>
      <c r="F48" s="1" t="s">
        <v>165</v>
      </c>
      <c r="G48" s="1">
        <v>8</v>
      </c>
      <c r="H48" s="1" t="s">
        <v>19</v>
      </c>
      <c r="I48" s="1" t="s">
        <v>20</v>
      </c>
      <c r="J48" s="1" t="s">
        <v>18</v>
      </c>
      <c r="K48" s="1" t="s">
        <v>127</v>
      </c>
      <c r="L48" s="1" t="s">
        <v>18</v>
      </c>
      <c r="M48" s="1" t="s">
        <v>17</v>
      </c>
      <c r="N48" s="1" t="s">
        <v>18</v>
      </c>
      <c r="O48" s="1" t="s">
        <v>18</v>
      </c>
      <c r="P48" s="1" t="s">
        <v>18</v>
      </c>
      <c r="Q48" s="1">
        <v>460.879997</v>
      </c>
      <c r="R48" s="1">
        <v>445.95460600000001</v>
      </c>
      <c r="S48" s="2">
        <f t="shared" si="1"/>
        <v>3.2384549334216368E-2</v>
      </c>
      <c r="T48" s="4">
        <v>20.47</v>
      </c>
      <c r="U48" s="5">
        <v>7.0020003477111459E-4</v>
      </c>
    </row>
    <row r="49" spans="1:21">
      <c r="A49" s="1" t="s">
        <v>67</v>
      </c>
      <c r="B49" s="1" t="s">
        <v>308</v>
      </c>
      <c r="C49" s="1">
        <v>16</v>
      </c>
      <c r="D49" s="1">
        <v>1</v>
      </c>
      <c r="E49" s="1" t="s">
        <v>18</v>
      </c>
      <c r="F49" s="1" t="s">
        <v>175</v>
      </c>
      <c r="G49" s="1">
        <v>12</v>
      </c>
      <c r="H49" s="1" t="s">
        <v>130</v>
      </c>
      <c r="I49" s="1" t="s">
        <v>131</v>
      </c>
      <c r="J49" s="1" t="s">
        <v>18</v>
      </c>
      <c r="K49" s="1" t="s">
        <v>132</v>
      </c>
      <c r="L49" s="1" t="s">
        <v>17</v>
      </c>
      <c r="M49" s="1" t="s">
        <v>17</v>
      </c>
      <c r="N49" s="1" t="s">
        <v>18</v>
      </c>
      <c r="O49" s="1" t="s">
        <v>17</v>
      </c>
      <c r="P49" s="1" t="s">
        <v>17</v>
      </c>
      <c r="Q49" s="1">
        <v>3244.6399740000002</v>
      </c>
      <c r="R49" s="1">
        <v>3170.6695629999999</v>
      </c>
      <c r="S49" s="2">
        <f t="shared" si="1"/>
        <v>2.2797725354042696E-2</v>
      </c>
      <c r="T49" s="4">
        <v>24.27</v>
      </c>
      <c r="U49" s="5">
        <v>2.0544000435620551E-3</v>
      </c>
    </row>
    <row r="50" spans="1:21">
      <c r="A50" s="1" t="s">
        <v>68</v>
      </c>
      <c r="B50" s="1" t="s">
        <v>205</v>
      </c>
      <c r="C50" s="1">
        <v>9</v>
      </c>
      <c r="D50" s="1">
        <v>4</v>
      </c>
      <c r="E50" s="1" t="s">
        <v>17</v>
      </c>
      <c r="F50" s="1" t="s">
        <v>134</v>
      </c>
      <c r="G50" s="1">
        <v>5</v>
      </c>
      <c r="H50" s="1" t="s">
        <v>19</v>
      </c>
      <c r="I50" s="1" t="s">
        <v>20</v>
      </c>
      <c r="J50" s="1" t="s">
        <v>18</v>
      </c>
      <c r="K50" s="1" t="s">
        <v>127</v>
      </c>
      <c r="L50" s="1" t="s">
        <v>18</v>
      </c>
      <c r="M50" s="1" t="s">
        <v>17</v>
      </c>
      <c r="N50" s="1" t="s">
        <v>18</v>
      </c>
      <c r="O50" s="1" t="s">
        <v>18</v>
      </c>
      <c r="P50" s="1" t="s">
        <v>18</v>
      </c>
      <c r="Q50" s="1">
        <v>391.44000299999999</v>
      </c>
      <c r="R50" s="1">
        <v>385.74176299999999</v>
      </c>
      <c r="S50" s="2">
        <f t="shared" si="1"/>
        <v>1.4557122308217433E-2</v>
      </c>
      <c r="T50" s="4">
        <v>20.38</v>
      </c>
      <c r="U50" s="5">
        <v>4.8190000234171748E-4</v>
      </c>
    </row>
    <row r="51" spans="1:21">
      <c r="A51" s="1" t="s">
        <v>69</v>
      </c>
      <c r="B51" s="1" t="s">
        <v>309</v>
      </c>
      <c r="C51" s="1">
        <v>6</v>
      </c>
      <c r="D51" s="1">
        <v>0</v>
      </c>
      <c r="E51" s="1" t="s">
        <v>17</v>
      </c>
      <c r="F51" s="1" t="s">
        <v>167</v>
      </c>
      <c r="G51" s="1">
        <v>6</v>
      </c>
      <c r="H51" s="1" t="s">
        <v>140</v>
      </c>
      <c r="I51" s="1" t="s">
        <v>141</v>
      </c>
      <c r="J51" s="1" t="s">
        <v>17</v>
      </c>
      <c r="K51" s="1" t="s">
        <v>132</v>
      </c>
      <c r="L51" s="1" t="s">
        <v>17</v>
      </c>
      <c r="M51" s="1" t="s">
        <v>17</v>
      </c>
      <c r="N51" s="1" t="s">
        <v>18</v>
      </c>
      <c r="O51" s="1" t="s">
        <v>17</v>
      </c>
      <c r="P51" s="1" t="s">
        <v>17</v>
      </c>
      <c r="Q51" s="1">
        <v>1103.199979</v>
      </c>
      <c r="R51" s="1">
        <v>1014.538877</v>
      </c>
      <c r="S51" s="2">
        <f t="shared" si="1"/>
        <v>8.0367207838752175E-2</v>
      </c>
      <c r="T51" s="4">
        <v>20.59</v>
      </c>
      <c r="U51" s="5">
        <v>1.0163999977521601E-3</v>
      </c>
    </row>
    <row r="52" spans="1:21">
      <c r="A52" s="1" t="s">
        <v>70</v>
      </c>
      <c r="B52" s="1" t="s">
        <v>310</v>
      </c>
      <c r="C52" s="1">
        <v>9</v>
      </c>
      <c r="D52" s="1">
        <v>3</v>
      </c>
      <c r="E52" s="1" t="s">
        <v>18</v>
      </c>
      <c r="F52" s="1" t="s">
        <v>165</v>
      </c>
      <c r="G52" s="1">
        <v>8</v>
      </c>
      <c r="H52" s="1" t="s">
        <v>19</v>
      </c>
      <c r="I52" s="1" t="s">
        <v>20</v>
      </c>
      <c r="J52" s="1" t="s">
        <v>17</v>
      </c>
      <c r="K52" s="1" t="s">
        <v>127</v>
      </c>
      <c r="L52" s="1" t="s">
        <v>17</v>
      </c>
      <c r="M52" s="1" t="s">
        <v>18</v>
      </c>
      <c r="N52" s="1" t="s">
        <v>18</v>
      </c>
      <c r="O52" s="1" t="s">
        <v>17</v>
      </c>
      <c r="P52" s="1" t="s">
        <v>18</v>
      </c>
      <c r="Q52" s="1">
        <v>428.39999599999999</v>
      </c>
      <c r="R52" s="1">
        <v>399.73105600000002</v>
      </c>
      <c r="S52" s="2">
        <f t="shared" si="1"/>
        <v>6.6920962342866042E-2</v>
      </c>
      <c r="T52" s="4">
        <v>20.71</v>
      </c>
      <c r="U52" s="5">
        <v>1.3622000114992261E-3</v>
      </c>
    </row>
    <row r="53" spans="1:21">
      <c r="A53" s="1" t="s">
        <v>71</v>
      </c>
      <c r="B53" s="1" t="s">
        <v>286</v>
      </c>
      <c r="C53" s="1">
        <v>9</v>
      </c>
      <c r="D53" s="1">
        <v>3</v>
      </c>
      <c r="E53" s="1" t="s">
        <v>17</v>
      </c>
      <c r="F53" s="1" t="s">
        <v>165</v>
      </c>
      <c r="G53" s="1">
        <v>2</v>
      </c>
      <c r="H53" s="1" t="s">
        <v>19</v>
      </c>
      <c r="I53" s="1" t="s">
        <v>20</v>
      </c>
      <c r="J53" s="1" t="s">
        <v>17</v>
      </c>
      <c r="K53" s="1" t="s">
        <v>132</v>
      </c>
      <c r="L53" s="1" t="s">
        <v>17</v>
      </c>
      <c r="M53" s="1" t="s">
        <v>18</v>
      </c>
      <c r="N53" s="1" t="s">
        <v>18</v>
      </c>
      <c r="O53" s="1" t="s">
        <v>17</v>
      </c>
      <c r="P53" s="1" t="s">
        <v>18</v>
      </c>
      <c r="Q53" s="1">
        <v>72.799999</v>
      </c>
      <c r="R53" s="1">
        <v>63.617970999999997</v>
      </c>
      <c r="S53" s="2">
        <f t="shared" si="1"/>
        <v>0.12612675997426873</v>
      </c>
      <c r="T53" s="4">
        <v>19.600000000000001</v>
      </c>
      <c r="U53" s="5">
        <v>3.3770001027733088E-4</v>
      </c>
    </row>
    <row r="54" spans="1:21">
      <c r="A54" s="1" t="s">
        <v>72</v>
      </c>
      <c r="B54" s="1" t="s">
        <v>176</v>
      </c>
      <c r="C54" s="1">
        <v>8</v>
      </c>
      <c r="D54" s="1">
        <v>6</v>
      </c>
      <c r="E54" s="1" t="s">
        <v>17</v>
      </c>
      <c r="F54" s="1" t="s">
        <v>134</v>
      </c>
      <c r="G54" s="1">
        <v>3</v>
      </c>
      <c r="H54" s="1" t="s">
        <v>19</v>
      </c>
      <c r="I54" s="1" t="s">
        <v>20</v>
      </c>
      <c r="J54" s="1" t="s">
        <v>17</v>
      </c>
      <c r="K54" s="1" t="s">
        <v>127</v>
      </c>
      <c r="L54" s="1" t="s">
        <v>17</v>
      </c>
      <c r="M54" s="1" t="s">
        <v>18</v>
      </c>
      <c r="N54" s="1" t="s">
        <v>18</v>
      </c>
      <c r="O54" s="1" t="s">
        <v>17</v>
      </c>
      <c r="P54" s="1" t="s">
        <v>18</v>
      </c>
      <c r="Q54" s="1">
        <v>453.87999100000002</v>
      </c>
      <c r="R54" s="1">
        <v>468.25827199999998</v>
      </c>
      <c r="S54" s="2">
        <f t="shared" si="1"/>
        <v>3.1678596292207907E-2</v>
      </c>
      <c r="T54" s="4">
        <v>20.2</v>
      </c>
      <c r="U54" s="5">
        <v>4.5340001815930009E-4</v>
      </c>
    </row>
    <row r="55" spans="1:21">
      <c r="A55" s="1" t="s">
        <v>73</v>
      </c>
      <c r="B55" s="1" t="s">
        <v>172</v>
      </c>
      <c r="C55" s="1">
        <v>8</v>
      </c>
      <c r="D55" s="1">
        <v>0</v>
      </c>
      <c r="E55" s="1" t="s">
        <v>18</v>
      </c>
      <c r="F55" s="1" t="s">
        <v>149</v>
      </c>
      <c r="G55" s="1">
        <v>8</v>
      </c>
      <c r="H55" s="1" t="s">
        <v>140</v>
      </c>
      <c r="I55" s="1" t="s">
        <v>141</v>
      </c>
      <c r="J55" s="1" t="s">
        <v>18</v>
      </c>
      <c r="K55" s="1" t="s">
        <v>132</v>
      </c>
      <c r="L55" s="1" t="s">
        <v>17</v>
      </c>
      <c r="M55" s="1" t="s">
        <v>18</v>
      </c>
      <c r="N55" s="1" t="s">
        <v>18</v>
      </c>
      <c r="O55" s="1" t="s">
        <v>17</v>
      </c>
      <c r="P55" s="1" t="s">
        <v>18</v>
      </c>
      <c r="Q55" s="1">
        <v>1267.2800070000001</v>
      </c>
      <c r="R55" s="1">
        <v>1304.811428</v>
      </c>
      <c r="S55" s="2">
        <f t="shared" si="1"/>
        <v>2.9615728799231272E-2</v>
      </c>
      <c r="T55" s="4">
        <v>21.34</v>
      </c>
      <c r="U55" s="5">
        <v>8.3380000432953238E-4</v>
      </c>
    </row>
    <row r="56" spans="1:21">
      <c r="A56" s="1" t="s">
        <v>74</v>
      </c>
      <c r="B56" s="1" t="s">
        <v>159</v>
      </c>
      <c r="C56" s="1">
        <v>10</v>
      </c>
      <c r="D56" s="1">
        <v>0</v>
      </c>
      <c r="E56" s="1" t="s">
        <v>17</v>
      </c>
      <c r="F56" s="1" t="s">
        <v>156</v>
      </c>
      <c r="G56" s="1">
        <v>16</v>
      </c>
      <c r="H56" s="1" t="s">
        <v>19</v>
      </c>
      <c r="I56" s="1" t="s">
        <v>20</v>
      </c>
      <c r="J56" s="1" t="s">
        <v>18</v>
      </c>
      <c r="K56" s="1" t="s">
        <v>127</v>
      </c>
      <c r="L56" s="1" t="s">
        <v>18</v>
      </c>
      <c r="M56" s="1" t="s">
        <v>18</v>
      </c>
      <c r="N56" s="1" t="s">
        <v>18</v>
      </c>
      <c r="O56" s="1" t="s">
        <v>17</v>
      </c>
      <c r="P56" s="1" t="s">
        <v>17</v>
      </c>
      <c r="Q56" s="1">
        <v>768.88000099999999</v>
      </c>
      <c r="R56" s="1">
        <v>1266.82808</v>
      </c>
      <c r="S56" s="2">
        <f t="shared" si="1"/>
        <v>0.6476278201440695</v>
      </c>
      <c r="T56" s="4">
        <v>21.37</v>
      </c>
      <c r="U56" s="5">
        <v>2.69339996157214E-3</v>
      </c>
    </row>
    <row r="57" spans="1:21">
      <c r="A57" s="1" t="s">
        <v>75</v>
      </c>
      <c r="B57" s="1" t="s">
        <v>311</v>
      </c>
      <c r="C57" s="1">
        <v>5</v>
      </c>
      <c r="D57" s="1">
        <v>3</v>
      </c>
      <c r="E57" s="1" t="s">
        <v>18</v>
      </c>
      <c r="F57" s="1" t="s">
        <v>158</v>
      </c>
      <c r="G57" s="1">
        <v>16</v>
      </c>
      <c r="H57" s="1" t="s">
        <v>130</v>
      </c>
      <c r="I57" s="1" t="s">
        <v>131</v>
      </c>
      <c r="J57" s="1" t="s">
        <v>18</v>
      </c>
      <c r="K57" s="1" t="s">
        <v>132</v>
      </c>
      <c r="L57" s="1" t="s">
        <v>17</v>
      </c>
      <c r="M57" s="1" t="s">
        <v>18</v>
      </c>
      <c r="N57" s="1" t="s">
        <v>18</v>
      </c>
      <c r="O57" s="1" t="s">
        <v>17</v>
      </c>
      <c r="P57" s="1" t="s">
        <v>18</v>
      </c>
      <c r="Q57" s="1">
        <v>2931.8800190000002</v>
      </c>
      <c r="R57" s="1">
        <v>2950.5864809999998</v>
      </c>
      <c r="S57" s="2">
        <f t="shared" si="1"/>
        <v>6.3803640936098095E-3</v>
      </c>
      <c r="T57" s="4">
        <v>22.82</v>
      </c>
      <c r="U57" s="5">
        <v>1.3731999788433309E-3</v>
      </c>
    </row>
    <row r="58" spans="1:21">
      <c r="A58" s="1" t="s">
        <v>76</v>
      </c>
      <c r="B58" s="1" t="s">
        <v>220</v>
      </c>
      <c r="C58" s="1">
        <v>10</v>
      </c>
      <c r="D58" s="1">
        <v>6</v>
      </c>
      <c r="E58" s="1" t="s">
        <v>17</v>
      </c>
      <c r="F58" s="1" t="s">
        <v>134</v>
      </c>
      <c r="G58" s="1">
        <v>2</v>
      </c>
      <c r="H58" s="1" t="s">
        <v>19</v>
      </c>
      <c r="I58" s="1" t="s">
        <v>20</v>
      </c>
      <c r="J58" s="1" t="s">
        <v>18</v>
      </c>
      <c r="K58" s="1" t="s">
        <v>127</v>
      </c>
      <c r="L58" s="1" t="s">
        <v>18</v>
      </c>
      <c r="M58" s="1" t="s">
        <v>18</v>
      </c>
      <c r="N58" s="1" t="s">
        <v>18</v>
      </c>
      <c r="O58" s="1" t="s">
        <v>18</v>
      </c>
      <c r="P58" s="1" t="s">
        <v>17</v>
      </c>
      <c r="Q58" s="1">
        <v>147.280002</v>
      </c>
      <c r="R58" s="1">
        <v>143.577439</v>
      </c>
      <c r="S58" s="2">
        <f t="shared" si="1"/>
        <v>2.513961807252011E-2</v>
      </c>
      <c r="T58" s="4">
        <v>19.34</v>
      </c>
      <c r="U58" s="5">
        <v>1.7399998614564541E-4</v>
      </c>
    </row>
    <row r="59" spans="1:21">
      <c r="A59" s="1" t="s">
        <v>77</v>
      </c>
      <c r="B59" s="1" t="s">
        <v>312</v>
      </c>
      <c r="C59" s="1">
        <v>9</v>
      </c>
      <c r="D59" s="1">
        <v>2</v>
      </c>
      <c r="E59" s="1" t="s">
        <v>18</v>
      </c>
      <c r="F59" s="1" t="s">
        <v>175</v>
      </c>
      <c r="G59" s="1">
        <v>16</v>
      </c>
      <c r="H59" s="1" t="s">
        <v>130</v>
      </c>
      <c r="I59" s="1" t="s">
        <v>131</v>
      </c>
      <c r="J59" s="1" t="s">
        <v>17</v>
      </c>
      <c r="K59" s="1" t="s">
        <v>132</v>
      </c>
      <c r="L59" s="1" t="s">
        <v>18</v>
      </c>
      <c r="M59" s="1" t="s">
        <v>18</v>
      </c>
      <c r="N59" s="1" t="s">
        <v>18</v>
      </c>
      <c r="O59" s="1" t="s">
        <v>17</v>
      </c>
      <c r="P59" s="1" t="s">
        <v>18</v>
      </c>
      <c r="Q59" s="1">
        <v>1323.2799889999999</v>
      </c>
      <c r="R59" s="1">
        <v>1435.19804</v>
      </c>
      <c r="S59" s="2">
        <f t="shared" si="1"/>
        <v>8.457624382620367E-2</v>
      </c>
      <c r="T59" s="4">
        <v>21.54</v>
      </c>
      <c r="U59" s="5">
        <v>1.492300012614578E-3</v>
      </c>
    </row>
    <row r="60" spans="1:21">
      <c r="A60" s="1" t="s">
        <v>78</v>
      </c>
      <c r="B60" s="1" t="s">
        <v>189</v>
      </c>
      <c r="C60" s="1">
        <v>9</v>
      </c>
      <c r="D60" s="1">
        <v>0</v>
      </c>
      <c r="E60" s="1" t="s">
        <v>17</v>
      </c>
      <c r="F60" s="1" t="s">
        <v>165</v>
      </c>
      <c r="G60" s="1">
        <v>9</v>
      </c>
      <c r="H60" s="1" t="s">
        <v>19</v>
      </c>
      <c r="I60" s="1" t="s">
        <v>20</v>
      </c>
      <c r="J60" s="1" t="s">
        <v>17</v>
      </c>
      <c r="K60" s="1" t="s">
        <v>127</v>
      </c>
      <c r="L60" s="1" t="s">
        <v>17</v>
      </c>
      <c r="M60" s="1" t="s">
        <v>17</v>
      </c>
      <c r="N60" s="1" t="s">
        <v>18</v>
      </c>
      <c r="O60" s="1" t="s">
        <v>17</v>
      </c>
      <c r="P60" s="1" t="s">
        <v>17</v>
      </c>
      <c r="Q60" s="1">
        <v>1083.5999919999999</v>
      </c>
      <c r="R60" s="1">
        <v>1008.093072</v>
      </c>
      <c r="S60" s="2">
        <f t="shared" si="1"/>
        <v>6.9681543519243522E-2</v>
      </c>
      <c r="T60" s="4">
        <v>21.52</v>
      </c>
      <c r="U60" s="5">
        <v>1.5493999817408619E-3</v>
      </c>
    </row>
    <row r="61" spans="1:21">
      <c r="A61" s="1" t="s">
        <v>79</v>
      </c>
      <c r="B61" s="1" t="s">
        <v>313</v>
      </c>
      <c r="C61" s="1">
        <v>6</v>
      </c>
      <c r="D61" s="1">
        <v>4</v>
      </c>
      <c r="E61" s="1" t="s">
        <v>17</v>
      </c>
      <c r="F61" s="1" t="s">
        <v>199</v>
      </c>
      <c r="G61" s="1">
        <v>3</v>
      </c>
      <c r="H61" s="1" t="s">
        <v>162</v>
      </c>
      <c r="I61" s="1" t="s">
        <v>163</v>
      </c>
      <c r="J61" s="1" t="s">
        <v>18</v>
      </c>
      <c r="K61" s="1" t="s">
        <v>132</v>
      </c>
      <c r="L61" s="1" t="s">
        <v>18</v>
      </c>
      <c r="M61" s="1" t="s">
        <v>18</v>
      </c>
      <c r="N61" s="1" t="s">
        <v>18</v>
      </c>
      <c r="O61" s="1" t="s">
        <v>17</v>
      </c>
      <c r="P61" s="1" t="s">
        <v>18</v>
      </c>
      <c r="Q61" s="1">
        <v>46.2</v>
      </c>
      <c r="R61" s="1">
        <v>84.190143000000006</v>
      </c>
      <c r="S61" s="2">
        <f t="shared" si="1"/>
        <v>0.82229746753246757</v>
      </c>
      <c r="T61" s="4">
        <v>19.309999999999999</v>
      </c>
      <c r="U61" s="5">
        <v>2.7429999317973852E-4</v>
      </c>
    </row>
    <row r="62" spans="1:21">
      <c r="A62" s="1" t="s">
        <v>80</v>
      </c>
      <c r="B62" s="1" t="s">
        <v>244</v>
      </c>
      <c r="C62" s="1">
        <v>8</v>
      </c>
      <c r="D62" s="1">
        <v>3</v>
      </c>
      <c r="E62" s="1" t="s">
        <v>18</v>
      </c>
      <c r="F62" s="1" t="s">
        <v>134</v>
      </c>
      <c r="G62" s="1">
        <v>4</v>
      </c>
      <c r="H62" s="1" t="s">
        <v>19</v>
      </c>
      <c r="I62" s="1" t="s">
        <v>20</v>
      </c>
      <c r="J62" s="1" t="s">
        <v>18</v>
      </c>
      <c r="K62" s="1" t="s">
        <v>127</v>
      </c>
      <c r="L62" s="1" t="s">
        <v>17</v>
      </c>
      <c r="M62" s="1" t="s">
        <v>18</v>
      </c>
      <c r="N62" s="1" t="s">
        <v>18</v>
      </c>
      <c r="O62" s="1" t="s">
        <v>17</v>
      </c>
      <c r="P62" s="1" t="s">
        <v>18</v>
      </c>
      <c r="Q62" s="1">
        <v>519.68000199999994</v>
      </c>
      <c r="R62" s="1">
        <v>544.74748099999999</v>
      </c>
      <c r="S62" s="2">
        <f t="shared" si="1"/>
        <v>4.8236374121627353E-2</v>
      </c>
      <c r="T62" s="4">
        <v>19.68</v>
      </c>
      <c r="U62" s="5">
        <v>3.5720004234462982E-4</v>
      </c>
    </row>
    <row r="63" spans="1:21">
      <c r="A63" s="1" t="s">
        <v>81</v>
      </c>
      <c r="B63" s="1" t="s">
        <v>314</v>
      </c>
      <c r="C63" s="1">
        <v>6</v>
      </c>
      <c r="D63" s="1">
        <v>1</v>
      </c>
      <c r="E63" s="1" t="s">
        <v>17</v>
      </c>
      <c r="F63" s="1" t="s">
        <v>149</v>
      </c>
      <c r="G63" s="1">
        <v>6</v>
      </c>
      <c r="H63" s="1" t="s">
        <v>140</v>
      </c>
      <c r="I63" s="1" t="s">
        <v>141</v>
      </c>
      <c r="J63" s="1" t="s">
        <v>18</v>
      </c>
      <c r="K63" s="1" t="s">
        <v>132</v>
      </c>
      <c r="L63" s="1" t="s">
        <v>18</v>
      </c>
      <c r="M63" s="1" t="s">
        <v>18</v>
      </c>
      <c r="N63" s="1" t="s">
        <v>18</v>
      </c>
      <c r="O63" s="1" t="s">
        <v>17</v>
      </c>
      <c r="P63" s="1" t="s">
        <v>17</v>
      </c>
      <c r="Q63" s="1">
        <v>1699.0400090000001</v>
      </c>
      <c r="R63" s="1">
        <v>1464.738196</v>
      </c>
      <c r="S63" s="2">
        <f t="shared" si="1"/>
        <v>0.13790246948799192</v>
      </c>
      <c r="T63" s="4">
        <v>21.52</v>
      </c>
      <c r="U63" s="5">
        <v>1.0195000213570891E-3</v>
      </c>
    </row>
    <row r="64" spans="1:21">
      <c r="A64" s="1" t="s">
        <v>82</v>
      </c>
      <c r="B64" s="1" t="s">
        <v>315</v>
      </c>
      <c r="C64" s="1">
        <v>8</v>
      </c>
      <c r="D64" s="1">
        <v>0</v>
      </c>
      <c r="E64" s="1" t="s">
        <v>17</v>
      </c>
      <c r="F64" s="1" t="s">
        <v>165</v>
      </c>
      <c r="G64" s="1">
        <v>9</v>
      </c>
      <c r="H64" s="1" t="s">
        <v>19</v>
      </c>
      <c r="I64" s="1" t="s">
        <v>20</v>
      </c>
      <c r="J64" s="1" t="s">
        <v>18</v>
      </c>
      <c r="K64" s="1" t="s">
        <v>127</v>
      </c>
      <c r="L64" s="1" t="s">
        <v>17</v>
      </c>
      <c r="M64" s="1" t="s">
        <v>17</v>
      </c>
      <c r="N64" s="1" t="s">
        <v>18</v>
      </c>
      <c r="O64" s="1" t="s">
        <v>17</v>
      </c>
      <c r="P64" s="1" t="s">
        <v>17</v>
      </c>
      <c r="Q64" s="1">
        <v>1658.7199880000001</v>
      </c>
      <c r="R64" s="1">
        <v>1505.3802820000001</v>
      </c>
      <c r="S64" s="2">
        <f t="shared" si="1"/>
        <v>9.2444600118968351E-2</v>
      </c>
      <c r="T64" s="4">
        <v>22.05</v>
      </c>
      <c r="U64" s="5">
        <v>2.9531999607570469E-3</v>
      </c>
    </row>
    <row r="65" spans="1:21">
      <c r="A65" s="1" t="s">
        <v>83</v>
      </c>
      <c r="B65" s="1" t="s">
        <v>316</v>
      </c>
      <c r="C65" s="1">
        <v>5</v>
      </c>
      <c r="D65" s="1">
        <v>1</v>
      </c>
      <c r="E65" s="1" t="s">
        <v>18</v>
      </c>
      <c r="F65" s="1" t="s">
        <v>129</v>
      </c>
      <c r="G65" s="1">
        <v>12</v>
      </c>
      <c r="H65" s="1" t="s">
        <v>130</v>
      </c>
      <c r="I65" s="1" t="s">
        <v>131</v>
      </c>
      <c r="J65" s="1" t="s">
        <v>17</v>
      </c>
      <c r="K65" s="1" t="s">
        <v>132</v>
      </c>
      <c r="L65" s="1" t="s">
        <v>17</v>
      </c>
      <c r="M65" s="1" t="s">
        <v>17</v>
      </c>
      <c r="N65" s="1" t="s">
        <v>18</v>
      </c>
      <c r="O65" s="1" t="s">
        <v>17</v>
      </c>
      <c r="P65" s="1" t="s">
        <v>17</v>
      </c>
      <c r="Q65" s="1">
        <v>1677.1999800000001</v>
      </c>
      <c r="R65" s="1">
        <v>1525.0700730000001</v>
      </c>
      <c r="S65" s="2">
        <f t="shared" si="1"/>
        <v>9.0704691637308502E-2</v>
      </c>
      <c r="T65" s="4">
        <v>22.58</v>
      </c>
      <c r="U65" s="5">
        <v>2.24910001270473E-3</v>
      </c>
    </row>
    <row r="66" spans="1:21">
      <c r="A66" s="1" t="s">
        <v>84</v>
      </c>
      <c r="B66" s="1" t="s">
        <v>200</v>
      </c>
      <c r="C66" s="1">
        <v>10</v>
      </c>
      <c r="D66" s="1">
        <v>8</v>
      </c>
      <c r="E66" s="1" t="s">
        <v>17</v>
      </c>
      <c r="F66" s="1" t="s">
        <v>147</v>
      </c>
      <c r="G66" s="1">
        <v>12</v>
      </c>
      <c r="H66" s="1" t="s">
        <v>19</v>
      </c>
      <c r="I66" s="1" t="s">
        <v>20</v>
      </c>
      <c r="J66" s="1" t="s">
        <v>17</v>
      </c>
      <c r="K66" s="1" t="s">
        <v>127</v>
      </c>
      <c r="L66" s="1" t="s">
        <v>17</v>
      </c>
      <c r="M66" s="1" t="s">
        <v>17</v>
      </c>
      <c r="N66" s="1" t="s">
        <v>18</v>
      </c>
      <c r="O66" s="1" t="s">
        <v>17</v>
      </c>
      <c r="P66" s="1" t="s">
        <v>17</v>
      </c>
      <c r="Q66" s="1">
        <v>3657.3599300000001</v>
      </c>
      <c r="R66" s="1">
        <v>3751.712458</v>
      </c>
      <c r="S66" s="2">
        <f t="shared" ref="S66:S97" si="2">ABS(R66-Q66)/Q66</f>
        <v>2.5797988113245362E-2</v>
      </c>
      <c r="T66" s="4">
        <v>23.68</v>
      </c>
      <c r="U66" s="5">
        <v>3.9182000327855349E-3</v>
      </c>
    </row>
    <row r="67" spans="1:21">
      <c r="A67" s="1" t="s">
        <v>85</v>
      </c>
      <c r="B67" s="1" t="s">
        <v>135</v>
      </c>
      <c r="C67" s="1">
        <v>8</v>
      </c>
      <c r="D67" s="1">
        <v>1</v>
      </c>
      <c r="E67" s="1" t="s">
        <v>17</v>
      </c>
      <c r="F67" s="1" t="s">
        <v>154</v>
      </c>
      <c r="G67" s="1">
        <v>12</v>
      </c>
      <c r="H67" s="1" t="s">
        <v>130</v>
      </c>
      <c r="I67" s="1" t="s">
        <v>131</v>
      </c>
      <c r="J67" s="1" t="s">
        <v>18</v>
      </c>
      <c r="K67" s="1" t="s">
        <v>132</v>
      </c>
      <c r="L67" s="1" t="s">
        <v>17</v>
      </c>
      <c r="M67" s="1" t="s">
        <v>17</v>
      </c>
      <c r="N67" s="1" t="s">
        <v>18</v>
      </c>
      <c r="O67" s="1" t="s">
        <v>17</v>
      </c>
      <c r="P67" s="1" t="s">
        <v>17</v>
      </c>
      <c r="Q67" s="1">
        <v>3095.1200220000001</v>
      </c>
      <c r="R67" s="1">
        <v>2803.8166160000001</v>
      </c>
      <c r="S67" s="2">
        <f t="shared" si="2"/>
        <v>9.4116998348828487E-2</v>
      </c>
      <c r="T67" s="4">
        <v>23.9</v>
      </c>
      <c r="U67" s="5">
        <v>2.2035000147297978E-3</v>
      </c>
    </row>
    <row r="68" spans="1:21">
      <c r="A68" s="1" t="s">
        <v>86</v>
      </c>
      <c r="B68" s="1" t="s">
        <v>317</v>
      </c>
      <c r="C68" s="1">
        <v>12</v>
      </c>
      <c r="D68" s="1">
        <v>0</v>
      </c>
      <c r="E68" s="1" t="s">
        <v>17</v>
      </c>
      <c r="F68" s="1" t="s">
        <v>143</v>
      </c>
      <c r="G68" s="1">
        <v>3</v>
      </c>
      <c r="H68" s="1" t="s">
        <v>19</v>
      </c>
      <c r="I68" s="1" t="s">
        <v>20</v>
      </c>
      <c r="J68" s="1" t="s">
        <v>18</v>
      </c>
      <c r="K68" s="1" t="s">
        <v>127</v>
      </c>
      <c r="L68" s="1" t="s">
        <v>18</v>
      </c>
      <c r="M68" s="1" t="s">
        <v>18</v>
      </c>
      <c r="N68" s="1" t="s">
        <v>18</v>
      </c>
      <c r="O68" s="1" t="s">
        <v>18</v>
      </c>
      <c r="P68" s="1" t="s">
        <v>17</v>
      </c>
      <c r="Q68" s="1">
        <v>376.88</v>
      </c>
      <c r="R68" s="1">
        <v>382.23542200000003</v>
      </c>
      <c r="S68" s="2">
        <f t="shared" si="2"/>
        <v>1.4209886436000936E-2</v>
      </c>
      <c r="T68" s="4">
        <v>20.260000000000002</v>
      </c>
      <c r="U68" s="5">
        <v>2.7749995933845639E-4</v>
      </c>
    </row>
    <row r="69" spans="1:21">
      <c r="A69" s="1" t="s">
        <v>87</v>
      </c>
      <c r="B69" s="1" t="s">
        <v>318</v>
      </c>
      <c r="C69" s="1">
        <v>10</v>
      </c>
      <c r="D69" s="1">
        <v>0</v>
      </c>
      <c r="E69" s="1" t="s">
        <v>18</v>
      </c>
      <c r="F69" s="1" t="s">
        <v>175</v>
      </c>
      <c r="G69" s="1">
        <v>9</v>
      </c>
      <c r="H69" s="1" t="s">
        <v>130</v>
      </c>
      <c r="I69" s="1" t="s">
        <v>131</v>
      </c>
      <c r="J69" s="1" t="s">
        <v>17</v>
      </c>
      <c r="K69" s="1" t="s">
        <v>132</v>
      </c>
      <c r="L69" s="1" t="s">
        <v>17</v>
      </c>
      <c r="M69" s="1" t="s">
        <v>18</v>
      </c>
      <c r="N69" s="1" t="s">
        <v>18</v>
      </c>
      <c r="O69" s="1" t="s">
        <v>18</v>
      </c>
      <c r="P69" s="1" t="s">
        <v>18</v>
      </c>
      <c r="Q69" s="1">
        <v>529.47999500000003</v>
      </c>
      <c r="R69" s="1">
        <v>525.74771999999996</v>
      </c>
      <c r="S69" s="2">
        <f t="shared" si="2"/>
        <v>7.0489443137508384E-3</v>
      </c>
      <c r="T69" s="4">
        <v>21.03</v>
      </c>
      <c r="U69" s="5">
        <v>1.264199963770807E-3</v>
      </c>
    </row>
    <row r="70" spans="1:21">
      <c r="A70" s="1" t="s">
        <v>88</v>
      </c>
      <c r="B70" s="1" t="s">
        <v>319</v>
      </c>
      <c r="C70" s="1">
        <v>10</v>
      </c>
      <c r="D70" s="1">
        <v>4</v>
      </c>
      <c r="E70" s="1" t="s">
        <v>18</v>
      </c>
      <c r="F70" s="1" t="s">
        <v>143</v>
      </c>
      <c r="G70" s="1">
        <v>9</v>
      </c>
      <c r="H70" s="1" t="s">
        <v>19</v>
      </c>
      <c r="I70" s="1" t="s">
        <v>20</v>
      </c>
      <c r="J70" s="1" t="s">
        <v>17</v>
      </c>
      <c r="K70" s="1" t="s">
        <v>127</v>
      </c>
      <c r="L70" s="1" t="s">
        <v>17</v>
      </c>
      <c r="M70" s="1" t="s">
        <v>17</v>
      </c>
      <c r="N70" s="1" t="s">
        <v>18</v>
      </c>
      <c r="O70" s="1" t="s">
        <v>17</v>
      </c>
      <c r="P70" s="1" t="s">
        <v>17</v>
      </c>
      <c r="Q70" s="1">
        <v>1337.8399890000001</v>
      </c>
      <c r="R70" s="1">
        <v>1302.3192280000001</v>
      </c>
      <c r="S70" s="2">
        <f t="shared" si="2"/>
        <v>2.6550829166461693E-2</v>
      </c>
      <c r="T70" s="4">
        <v>22.43</v>
      </c>
      <c r="U70" s="5">
        <v>1.6994000179693101E-3</v>
      </c>
    </row>
    <row r="71" spans="1:21">
      <c r="A71" s="1" t="s">
        <v>89</v>
      </c>
      <c r="B71" s="1" t="s">
        <v>320</v>
      </c>
      <c r="C71" s="1">
        <v>12</v>
      </c>
      <c r="D71" s="1">
        <v>0</v>
      </c>
      <c r="E71" s="1" t="s">
        <v>18</v>
      </c>
      <c r="F71" s="1" t="s">
        <v>167</v>
      </c>
      <c r="G71" s="1">
        <v>8</v>
      </c>
      <c r="H71" s="1" t="s">
        <v>140</v>
      </c>
      <c r="I71" s="1" t="s">
        <v>141</v>
      </c>
      <c r="J71" s="1" t="s">
        <v>17</v>
      </c>
      <c r="K71" s="1" t="s">
        <v>132</v>
      </c>
      <c r="L71" s="1" t="s">
        <v>18</v>
      </c>
      <c r="M71" s="1" t="s">
        <v>18</v>
      </c>
      <c r="N71" s="1" t="s">
        <v>18</v>
      </c>
      <c r="O71" s="1" t="s">
        <v>18</v>
      </c>
      <c r="P71" s="1" t="s">
        <v>17</v>
      </c>
      <c r="Q71" s="1">
        <v>848.39998600000001</v>
      </c>
      <c r="R71" s="1">
        <v>871.36702600000001</v>
      </c>
      <c r="S71" s="2">
        <f t="shared" si="2"/>
        <v>2.7071004689997718E-2</v>
      </c>
      <c r="T71" s="4">
        <v>20.66</v>
      </c>
      <c r="U71" s="5">
        <v>6.8699999246746302E-4</v>
      </c>
    </row>
    <row r="72" spans="1:21">
      <c r="A72" s="1" t="s">
        <v>90</v>
      </c>
      <c r="B72" s="1" t="s">
        <v>321</v>
      </c>
      <c r="C72" s="1">
        <v>5</v>
      </c>
      <c r="D72" s="1">
        <v>0</v>
      </c>
      <c r="E72" s="1" t="s">
        <v>17</v>
      </c>
      <c r="F72" s="1" t="s">
        <v>147</v>
      </c>
      <c r="G72" s="1">
        <v>2</v>
      </c>
      <c r="H72" s="1" t="s">
        <v>19</v>
      </c>
      <c r="I72" s="1" t="s">
        <v>20</v>
      </c>
      <c r="J72" s="1" t="s">
        <v>17</v>
      </c>
      <c r="K72" s="1" t="s">
        <v>127</v>
      </c>
      <c r="L72" s="1" t="s">
        <v>18</v>
      </c>
      <c r="M72" s="1" t="s">
        <v>18</v>
      </c>
      <c r="N72" s="1" t="s">
        <v>18</v>
      </c>
      <c r="O72" s="1" t="s">
        <v>17</v>
      </c>
      <c r="P72" s="1" t="s">
        <v>17</v>
      </c>
      <c r="Q72" s="1">
        <v>606.47998600000005</v>
      </c>
      <c r="R72" s="1">
        <v>598.28127300000006</v>
      </c>
      <c r="S72" s="2">
        <f t="shared" si="2"/>
        <v>1.3518521945091849E-2</v>
      </c>
      <c r="T72" s="4">
        <v>19.8</v>
      </c>
      <c r="U72" s="5">
        <v>2.8239999664947391E-4</v>
      </c>
    </row>
    <row r="73" spans="1:21">
      <c r="A73" s="1" t="s">
        <v>91</v>
      </c>
      <c r="B73" s="1" t="s">
        <v>322</v>
      </c>
      <c r="C73" s="1">
        <v>9</v>
      </c>
      <c r="D73" s="1">
        <v>3</v>
      </c>
      <c r="E73" s="1" t="s">
        <v>17</v>
      </c>
      <c r="F73" s="1" t="s">
        <v>158</v>
      </c>
      <c r="G73" s="1">
        <v>12</v>
      </c>
      <c r="H73" s="1" t="s">
        <v>130</v>
      </c>
      <c r="I73" s="1" t="s">
        <v>131</v>
      </c>
      <c r="J73" s="1" t="s">
        <v>17</v>
      </c>
      <c r="K73" s="1" t="s">
        <v>132</v>
      </c>
      <c r="L73" s="1" t="s">
        <v>17</v>
      </c>
      <c r="M73" s="1" t="s">
        <v>18</v>
      </c>
      <c r="N73" s="1" t="s">
        <v>18</v>
      </c>
      <c r="O73" s="1" t="s">
        <v>18</v>
      </c>
      <c r="P73" s="1" t="s">
        <v>18</v>
      </c>
      <c r="Q73" s="1">
        <v>1174.5999750000001</v>
      </c>
      <c r="R73" s="1">
        <v>1126.061365</v>
      </c>
      <c r="S73" s="2">
        <f t="shared" si="2"/>
        <v>4.1323523780936622E-2</v>
      </c>
      <c r="T73" s="4">
        <v>21.66</v>
      </c>
      <c r="U73" s="5">
        <v>1.0676999809220431E-3</v>
      </c>
    </row>
    <row r="74" spans="1:21">
      <c r="A74" s="1" t="s">
        <v>92</v>
      </c>
      <c r="B74" s="1" t="s">
        <v>233</v>
      </c>
      <c r="C74" s="1">
        <v>16</v>
      </c>
      <c r="D74" s="1">
        <v>0</v>
      </c>
      <c r="E74" s="1" t="s">
        <v>17</v>
      </c>
      <c r="F74" s="1" t="s">
        <v>165</v>
      </c>
      <c r="G74" s="1">
        <v>3</v>
      </c>
      <c r="H74" s="1" t="s">
        <v>19</v>
      </c>
      <c r="I74" s="1" t="s">
        <v>20</v>
      </c>
      <c r="J74" s="1" t="s">
        <v>17</v>
      </c>
      <c r="K74" s="1" t="s">
        <v>127</v>
      </c>
      <c r="L74" s="1" t="s">
        <v>17</v>
      </c>
      <c r="M74" s="1" t="s">
        <v>17</v>
      </c>
      <c r="N74" s="1" t="s">
        <v>18</v>
      </c>
      <c r="O74" s="1" t="s">
        <v>18</v>
      </c>
      <c r="P74" s="1" t="s">
        <v>18</v>
      </c>
      <c r="Q74" s="1">
        <v>353.63999699999999</v>
      </c>
      <c r="R74" s="1">
        <v>372.22847000000002</v>
      </c>
      <c r="S74" s="2">
        <f t="shared" si="2"/>
        <v>5.2563265348065318E-2</v>
      </c>
      <c r="T74" s="4">
        <v>19.96</v>
      </c>
      <c r="U74" s="5">
        <v>5.0089997239410877E-4</v>
      </c>
    </row>
    <row r="75" spans="1:21">
      <c r="A75" s="1" t="s">
        <v>93</v>
      </c>
      <c r="B75" s="1" t="s">
        <v>288</v>
      </c>
      <c r="C75" s="1">
        <v>6</v>
      </c>
      <c r="D75" s="1">
        <v>1</v>
      </c>
      <c r="E75" s="1" t="s">
        <v>18</v>
      </c>
      <c r="F75" s="1" t="s">
        <v>165</v>
      </c>
      <c r="G75" s="1">
        <v>2</v>
      </c>
      <c r="H75" s="1" t="s">
        <v>19</v>
      </c>
      <c r="I75" s="1" t="s">
        <v>20</v>
      </c>
      <c r="J75" s="1" t="s">
        <v>17</v>
      </c>
      <c r="K75" s="1" t="s">
        <v>132</v>
      </c>
      <c r="L75" s="1" t="s">
        <v>17</v>
      </c>
      <c r="M75" s="1" t="s">
        <v>17</v>
      </c>
      <c r="N75" s="1" t="s">
        <v>18</v>
      </c>
      <c r="O75" s="1" t="s">
        <v>18</v>
      </c>
      <c r="P75" s="1" t="s">
        <v>18</v>
      </c>
      <c r="Q75" s="1">
        <v>93.52</v>
      </c>
      <c r="R75" s="1">
        <v>88.858605999999995</v>
      </c>
      <c r="S75" s="2">
        <f t="shared" si="2"/>
        <v>4.984381950384946E-2</v>
      </c>
      <c r="T75" s="4">
        <v>19.98</v>
      </c>
      <c r="U75" s="5">
        <v>2.5749998167157168E-4</v>
      </c>
    </row>
    <row r="76" spans="1:21">
      <c r="A76" s="1" t="s">
        <v>94</v>
      </c>
      <c r="B76" s="1" t="s">
        <v>213</v>
      </c>
      <c r="C76" s="1">
        <v>8</v>
      </c>
      <c r="D76" s="1">
        <v>0</v>
      </c>
      <c r="E76" s="1" t="s">
        <v>17</v>
      </c>
      <c r="F76" s="1" t="s">
        <v>143</v>
      </c>
      <c r="G76" s="1">
        <v>9</v>
      </c>
      <c r="H76" s="1" t="s">
        <v>19</v>
      </c>
      <c r="I76" s="1" t="s">
        <v>20</v>
      </c>
      <c r="J76" s="1" t="s">
        <v>17</v>
      </c>
      <c r="K76" s="1" t="s">
        <v>127</v>
      </c>
      <c r="L76" s="1" t="s">
        <v>18</v>
      </c>
      <c r="M76" s="1" t="s">
        <v>18</v>
      </c>
      <c r="N76" s="1" t="s">
        <v>18</v>
      </c>
      <c r="O76" s="1" t="s">
        <v>17</v>
      </c>
      <c r="P76" s="1" t="s">
        <v>17</v>
      </c>
      <c r="Q76" s="1">
        <v>1709.119987</v>
      </c>
      <c r="R76" s="1">
        <v>1501.2089169999999</v>
      </c>
      <c r="S76" s="2">
        <f t="shared" si="2"/>
        <v>0.12164802446956587</v>
      </c>
      <c r="T76" s="4">
        <v>22.87</v>
      </c>
      <c r="U76" s="5">
        <v>1.4627999626100059E-3</v>
      </c>
    </row>
    <row r="77" spans="1:21">
      <c r="A77" s="1" t="s">
        <v>95</v>
      </c>
      <c r="B77" s="1" t="s">
        <v>323</v>
      </c>
      <c r="C77" s="1">
        <v>5</v>
      </c>
      <c r="D77" s="1">
        <v>4</v>
      </c>
      <c r="E77" s="1" t="s">
        <v>17</v>
      </c>
      <c r="F77" s="1" t="s">
        <v>235</v>
      </c>
      <c r="G77" s="1">
        <v>3</v>
      </c>
      <c r="H77" s="1" t="s">
        <v>162</v>
      </c>
      <c r="I77" s="1" t="s">
        <v>163</v>
      </c>
      <c r="J77" s="1" t="s">
        <v>18</v>
      </c>
      <c r="K77" s="1" t="s">
        <v>132</v>
      </c>
      <c r="L77" s="1" t="s">
        <v>17</v>
      </c>
      <c r="M77" s="1" t="s">
        <v>17</v>
      </c>
      <c r="N77" s="1" t="s">
        <v>18</v>
      </c>
      <c r="O77" s="1" t="s">
        <v>17</v>
      </c>
      <c r="P77" s="1" t="s">
        <v>17</v>
      </c>
      <c r="Q77" s="1">
        <v>396.48000200000001</v>
      </c>
      <c r="R77" s="1">
        <v>365.18040500000001</v>
      </c>
      <c r="S77" s="2">
        <f t="shared" si="2"/>
        <v>7.8943696635675478E-2</v>
      </c>
      <c r="T77" s="4">
        <v>20.76</v>
      </c>
      <c r="U77" s="5">
        <v>4.566999850794673E-4</v>
      </c>
    </row>
    <row r="78" spans="1:21">
      <c r="A78" s="1" t="s">
        <v>96</v>
      </c>
      <c r="B78" s="1" t="s">
        <v>196</v>
      </c>
      <c r="C78" s="1">
        <v>5</v>
      </c>
      <c r="D78" s="1">
        <v>3</v>
      </c>
      <c r="E78" s="1" t="s">
        <v>17</v>
      </c>
      <c r="F78" s="1" t="s">
        <v>126</v>
      </c>
      <c r="G78" s="1">
        <v>3</v>
      </c>
      <c r="H78" s="1" t="s">
        <v>19</v>
      </c>
      <c r="I78" s="1" t="s">
        <v>20</v>
      </c>
      <c r="J78" s="1" t="s">
        <v>17</v>
      </c>
      <c r="K78" s="1" t="s">
        <v>127</v>
      </c>
      <c r="L78" s="1" t="s">
        <v>18</v>
      </c>
      <c r="M78" s="1" t="s">
        <v>18</v>
      </c>
      <c r="N78" s="1" t="s">
        <v>18</v>
      </c>
      <c r="O78" s="1" t="s">
        <v>17</v>
      </c>
      <c r="P78" s="1" t="s">
        <v>18</v>
      </c>
      <c r="Q78" s="1">
        <v>559.71998799999994</v>
      </c>
      <c r="R78" s="1">
        <v>543.83819100000005</v>
      </c>
      <c r="S78" s="2">
        <f t="shared" si="2"/>
        <v>2.8374539663571733E-2</v>
      </c>
      <c r="T78" s="4">
        <v>19.53</v>
      </c>
      <c r="U78" s="5">
        <v>2.8350000502541661E-4</v>
      </c>
    </row>
    <row r="79" spans="1:21">
      <c r="A79" s="1" t="s">
        <v>97</v>
      </c>
      <c r="B79" s="1" t="s">
        <v>324</v>
      </c>
      <c r="C79" s="1">
        <v>5</v>
      </c>
      <c r="D79" s="1">
        <v>4</v>
      </c>
      <c r="E79" s="1" t="s">
        <v>17</v>
      </c>
      <c r="F79" s="1" t="s">
        <v>175</v>
      </c>
      <c r="G79" s="1">
        <v>9</v>
      </c>
      <c r="H79" s="1" t="s">
        <v>130</v>
      </c>
      <c r="I79" s="1" t="s">
        <v>131</v>
      </c>
      <c r="J79" s="1" t="s">
        <v>18</v>
      </c>
      <c r="K79" s="1" t="s">
        <v>132</v>
      </c>
      <c r="L79" s="1" t="s">
        <v>17</v>
      </c>
      <c r="M79" s="1" t="s">
        <v>18</v>
      </c>
      <c r="N79" s="1" t="s">
        <v>18</v>
      </c>
      <c r="O79" s="1" t="s">
        <v>17</v>
      </c>
      <c r="P79" s="1" t="s">
        <v>18</v>
      </c>
      <c r="Q79" s="1">
        <v>926.519993</v>
      </c>
      <c r="R79" s="1">
        <v>817.56832299999996</v>
      </c>
      <c r="S79" s="2">
        <f t="shared" si="2"/>
        <v>0.11759235723259782</v>
      </c>
      <c r="T79" s="4">
        <v>21.75</v>
      </c>
      <c r="U79" s="5">
        <v>8.1679999129846692E-4</v>
      </c>
    </row>
    <row r="80" spans="1:21">
      <c r="A80" s="1" t="s">
        <v>98</v>
      </c>
      <c r="B80" s="1" t="s">
        <v>245</v>
      </c>
      <c r="C80" s="1">
        <v>9</v>
      </c>
      <c r="D80" s="1">
        <v>3</v>
      </c>
      <c r="E80" s="1" t="s">
        <v>17</v>
      </c>
      <c r="F80" s="1" t="s">
        <v>126</v>
      </c>
      <c r="G80" s="1">
        <v>12</v>
      </c>
      <c r="H80" s="1" t="s">
        <v>19</v>
      </c>
      <c r="I80" s="1" t="s">
        <v>20</v>
      </c>
      <c r="J80" s="1" t="s">
        <v>17</v>
      </c>
      <c r="K80" s="1" t="s">
        <v>127</v>
      </c>
      <c r="L80" s="1" t="s">
        <v>17</v>
      </c>
      <c r="M80" s="1" t="s">
        <v>17</v>
      </c>
      <c r="N80" s="1" t="s">
        <v>18</v>
      </c>
      <c r="O80" s="1" t="s">
        <v>18</v>
      </c>
      <c r="P80" s="1" t="s">
        <v>18</v>
      </c>
      <c r="Q80" s="1">
        <v>3576.7199350000001</v>
      </c>
      <c r="R80" s="1">
        <v>3686.9343469999999</v>
      </c>
      <c r="S80" s="2">
        <f t="shared" si="2"/>
        <v>3.0814381333438064E-2</v>
      </c>
      <c r="T80" s="4">
        <v>23.52</v>
      </c>
      <c r="U80" s="5">
        <v>2.0686999778263271E-3</v>
      </c>
    </row>
    <row r="81" spans="1:21">
      <c r="A81" s="1" t="s">
        <v>99</v>
      </c>
      <c r="B81" s="1" t="s">
        <v>325</v>
      </c>
      <c r="C81" s="1">
        <v>5</v>
      </c>
      <c r="D81" s="1">
        <v>3</v>
      </c>
      <c r="E81" s="1" t="s">
        <v>17</v>
      </c>
      <c r="F81" s="1" t="s">
        <v>167</v>
      </c>
      <c r="G81" s="1">
        <v>6</v>
      </c>
      <c r="H81" s="1" t="s">
        <v>140</v>
      </c>
      <c r="I81" s="1" t="s">
        <v>141</v>
      </c>
      <c r="J81" s="1" t="s">
        <v>17</v>
      </c>
      <c r="K81" s="1" t="s">
        <v>132</v>
      </c>
      <c r="L81" s="1" t="s">
        <v>18</v>
      </c>
      <c r="M81" s="1" t="s">
        <v>18</v>
      </c>
      <c r="N81" s="1" t="s">
        <v>18</v>
      </c>
      <c r="O81" s="1" t="s">
        <v>18</v>
      </c>
      <c r="P81" s="1" t="s">
        <v>17</v>
      </c>
      <c r="Q81" s="1">
        <v>636.43998899999997</v>
      </c>
      <c r="R81" s="1">
        <v>564.71597299999996</v>
      </c>
      <c r="S81" s="2">
        <f t="shared" si="2"/>
        <v>0.1126956464704483</v>
      </c>
      <c r="T81" s="4">
        <v>20.12</v>
      </c>
      <c r="U81" s="5">
        <v>5.6629994651302695E-4</v>
      </c>
    </row>
    <row r="82" spans="1:21">
      <c r="A82" s="1" t="s">
        <v>100</v>
      </c>
      <c r="B82" s="1" t="s">
        <v>249</v>
      </c>
      <c r="C82" s="1">
        <v>12</v>
      </c>
      <c r="D82" s="1">
        <v>8</v>
      </c>
      <c r="E82" s="1" t="s">
        <v>17</v>
      </c>
      <c r="F82" s="1" t="s">
        <v>165</v>
      </c>
      <c r="G82" s="1">
        <v>5</v>
      </c>
      <c r="H82" s="1" t="s">
        <v>19</v>
      </c>
      <c r="I82" s="1" t="s">
        <v>20</v>
      </c>
      <c r="J82" s="1" t="s">
        <v>18</v>
      </c>
      <c r="K82" s="1" t="s">
        <v>127</v>
      </c>
      <c r="L82" s="1" t="s">
        <v>18</v>
      </c>
      <c r="M82" s="1" t="s">
        <v>18</v>
      </c>
      <c r="N82" s="1" t="s">
        <v>18</v>
      </c>
      <c r="O82" s="1" t="s">
        <v>18</v>
      </c>
      <c r="P82" s="1" t="s">
        <v>17</v>
      </c>
      <c r="Q82" s="1">
        <v>570.639996</v>
      </c>
      <c r="R82" s="1">
        <v>551.13485900000001</v>
      </c>
      <c r="S82" s="2">
        <f t="shared" si="2"/>
        <v>3.4181159990054381E-2</v>
      </c>
      <c r="T82" s="4">
        <v>20.48</v>
      </c>
      <c r="U82" s="5">
        <v>4.5160000445321202E-4</v>
      </c>
    </row>
    <row r="83" spans="1:21">
      <c r="A83" s="1" t="s">
        <v>101</v>
      </c>
      <c r="B83" s="1" t="s">
        <v>326</v>
      </c>
      <c r="C83" s="1">
        <v>16</v>
      </c>
      <c r="D83" s="1">
        <v>2</v>
      </c>
      <c r="E83" s="1" t="s">
        <v>17</v>
      </c>
      <c r="F83" s="1" t="s">
        <v>158</v>
      </c>
      <c r="G83" s="1">
        <v>9</v>
      </c>
      <c r="H83" s="1" t="s">
        <v>130</v>
      </c>
      <c r="I83" s="1" t="s">
        <v>131</v>
      </c>
      <c r="J83" s="1" t="s">
        <v>17</v>
      </c>
      <c r="K83" s="1" t="s">
        <v>132</v>
      </c>
      <c r="L83" s="1" t="s">
        <v>18</v>
      </c>
      <c r="M83" s="1" t="s">
        <v>18</v>
      </c>
      <c r="N83" s="1" t="s">
        <v>18</v>
      </c>
      <c r="O83" s="1" t="s">
        <v>17</v>
      </c>
      <c r="P83" s="1" t="s">
        <v>18</v>
      </c>
      <c r="Q83" s="1">
        <v>994.559979</v>
      </c>
      <c r="R83" s="1">
        <v>937.88203699999997</v>
      </c>
      <c r="S83" s="2">
        <f t="shared" si="2"/>
        <v>5.6987957686562042E-2</v>
      </c>
      <c r="T83" s="4">
        <v>20.100000000000001</v>
      </c>
      <c r="U83" s="5">
        <v>8.1649998901411891E-4</v>
      </c>
    </row>
    <row r="84" spans="1:21">
      <c r="A84" s="1" t="s">
        <v>102</v>
      </c>
      <c r="B84" s="1" t="s">
        <v>327</v>
      </c>
      <c r="C84" s="1">
        <v>10</v>
      </c>
      <c r="D84" s="1">
        <v>4</v>
      </c>
      <c r="E84" s="1" t="s">
        <v>18</v>
      </c>
      <c r="F84" s="1" t="s">
        <v>165</v>
      </c>
      <c r="G84" s="1">
        <v>7</v>
      </c>
      <c r="H84" s="1" t="s">
        <v>19</v>
      </c>
      <c r="I84" s="1" t="s">
        <v>20</v>
      </c>
      <c r="J84" s="1" t="s">
        <v>17</v>
      </c>
      <c r="K84" s="1" t="s">
        <v>127</v>
      </c>
      <c r="L84" s="1" t="s">
        <v>17</v>
      </c>
      <c r="M84" s="1" t="s">
        <v>18</v>
      </c>
      <c r="N84" s="1" t="s">
        <v>18</v>
      </c>
      <c r="O84" s="1" t="s">
        <v>17</v>
      </c>
      <c r="P84" s="1" t="s">
        <v>18</v>
      </c>
      <c r="Q84" s="1">
        <v>1030.6799920000001</v>
      </c>
      <c r="R84" s="1">
        <v>1038.504289</v>
      </c>
      <c r="S84" s="2">
        <f t="shared" si="2"/>
        <v>7.591393119815105E-3</v>
      </c>
      <c r="T84" s="4">
        <v>21.03</v>
      </c>
      <c r="U84" s="5">
        <v>6.399999838322401E-4</v>
      </c>
    </row>
    <row r="85" spans="1:21">
      <c r="A85" s="1" t="s">
        <v>103</v>
      </c>
      <c r="B85" s="1" t="s">
        <v>328</v>
      </c>
      <c r="C85" s="1">
        <v>10</v>
      </c>
      <c r="D85" s="1">
        <v>1</v>
      </c>
      <c r="E85" s="1" t="s">
        <v>18</v>
      </c>
      <c r="F85" s="1" t="s">
        <v>175</v>
      </c>
      <c r="G85" s="1">
        <v>9</v>
      </c>
      <c r="H85" s="1" t="s">
        <v>130</v>
      </c>
      <c r="I85" s="1" t="s">
        <v>131</v>
      </c>
      <c r="J85" s="1" t="s">
        <v>18</v>
      </c>
      <c r="K85" s="1" t="s">
        <v>132</v>
      </c>
      <c r="L85" s="1" t="s">
        <v>17</v>
      </c>
      <c r="M85" s="1" t="s">
        <v>17</v>
      </c>
      <c r="N85" s="1" t="s">
        <v>18</v>
      </c>
      <c r="O85" s="1" t="s">
        <v>18</v>
      </c>
      <c r="P85" s="1" t="s">
        <v>18</v>
      </c>
      <c r="Q85" s="1">
        <v>2740.07998</v>
      </c>
      <c r="R85" s="1">
        <v>2605.0809939999999</v>
      </c>
      <c r="S85" s="2">
        <f t="shared" si="2"/>
        <v>4.9268264789847506E-2</v>
      </c>
      <c r="T85" s="4">
        <v>23.88</v>
      </c>
      <c r="U85" s="5">
        <v>1.5665999962948261E-3</v>
      </c>
    </row>
    <row r="86" spans="1:21">
      <c r="A86" s="1" t="s">
        <v>104</v>
      </c>
      <c r="B86" s="1" t="s">
        <v>133</v>
      </c>
      <c r="C86" s="1">
        <v>9</v>
      </c>
      <c r="D86" s="1">
        <v>8</v>
      </c>
      <c r="E86" s="1" t="s">
        <v>17</v>
      </c>
      <c r="F86" s="1" t="s">
        <v>156</v>
      </c>
      <c r="G86" s="1">
        <v>5</v>
      </c>
      <c r="H86" s="1" t="s">
        <v>19</v>
      </c>
      <c r="I86" s="1" t="s">
        <v>20</v>
      </c>
      <c r="J86" s="1" t="s">
        <v>17</v>
      </c>
      <c r="K86" s="1" t="s">
        <v>127</v>
      </c>
      <c r="L86" s="1" t="s">
        <v>17</v>
      </c>
      <c r="M86" s="1" t="s">
        <v>18</v>
      </c>
      <c r="N86" s="1" t="s">
        <v>18</v>
      </c>
      <c r="O86" s="1" t="s">
        <v>18</v>
      </c>
      <c r="P86" s="1" t="s">
        <v>18</v>
      </c>
      <c r="Q86" s="1">
        <v>592.47999200000004</v>
      </c>
      <c r="R86" s="1">
        <v>624.573621</v>
      </c>
      <c r="S86" s="2">
        <f t="shared" si="2"/>
        <v>5.4168291644184269E-2</v>
      </c>
      <c r="T86" s="4">
        <v>20.16</v>
      </c>
      <c r="U86" s="5">
        <v>4.702999722212553E-4</v>
      </c>
    </row>
    <row r="87" spans="1:21">
      <c r="A87" s="1" t="s">
        <v>105</v>
      </c>
      <c r="B87" s="1" t="s">
        <v>329</v>
      </c>
      <c r="C87" s="1">
        <v>10</v>
      </c>
      <c r="D87" s="1">
        <v>8</v>
      </c>
      <c r="E87" s="1" t="s">
        <v>17</v>
      </c>
      <c r="F87" s="1" t="s">
        <v>330</v>
      </c>
      <c r="G87" s="1">
        <v>4</v>
      </c>
      <c r="H87" s="1" t="s">
        <v>162</v>
      </c>
      <c r="I87" s="1" t="s">
        <v>163</v>
      </c>
      <c r="J87" s="1" t="s">
        <v>17</v>
      </c>
      <c r="K87" s="1" t="s">
        <v>132</v>
      </c>
      <c r="L87" s="1" t="s">
        <v>18</v>
      </c>
      <c r="M87" s="1" t="s">
        <v>18</v>
      </c>
      <c r="N87" s="1" t="s">
        <v>18</v>
      </c>
      <c r="O87" s="1" t="s">
        <v>18</v>
      </c>
      <c r="P87" s="1" t="s">
        <v>17</v>
      </c>
      <c r="Q87" s="1">
        <v>368.19999200000001</v>
      </c>
      <c r="R87" s="1">
        <v>345.06589400000001</v>
      </c>
      <c r="S87" s="2">
        <f t="shared" si="2"/>
        <v>6.2830251229337331E-2</v>
      </c>
      <c r="T87" s="4">
        <v>20.16</v>
      </c>
      <c r="U87" s="5">
        <v>3.5450002178549772E-4</v>
      </c>
    </row>
    <row r="88" spans="1:21">
      <c r="A88" s="1" t="s">
        <v>106</v>
      </c>
      <c r="B88" s="1" t="s">
        <v>142</v>
      </c>
      <c r="C88" s="1">
        <v>5</v>
      </c>
      <c r="D88" s="1">
        <v>2</v>
      </c>
      <c r="E88" s="1" t="s">
        <v>18</v>
      </c>
      <c r="F88" s="1" t="s">
        <v>147</v>
      </c>
      <c r="G88" s="1">
        <v>12</v>
      </c>
      <c r="H88" s="1" t="s">
        <v>19</v>
      </c>
      <c r="I88" s="1" t="s">
        <v>20</v>
      </c>
      <c r="J88" s="1" t="s">
        <v>17</v>
      </c>
      <c r="K88" s="1" t="s">
        <v>127</v>
      </c>
      <c r="L88" s="1" t="s">
        <v>18</v>
      </c>
      <c r="M88" s="1" t="s">
        <v>18</v>
      </c>
      <c r="N88" s="1" t="s">
        <v>18</v>
      </c>
      <c r="O88" s="1" t="s">
        <v>17</v>
      </c>
      <c r="P88" s="1" t="s">
        <v>18</v>
      </c>
      <c r="Q88" s="1">
        <v>1980.999963</v>
      </c>
      <c r="R88" s="1">
        <v>1960.461497</v>
      </c>
      <c r="S88" s="2">
        <f t="shared" si="2"/>
        <v>1.0367726594450205E-2</v>
      </c>
      <c r="T88" s="4">
        <v>21.53</v>
      </c>
      <c r="U88" s="5">
        <v>1.070199999958277E-3</v>
      </c>
    </row>
    <row r="89" spans="1:21">
      <c r="A89" s="1" t="s">
        <v>107</v>
      </c>
      <c r="B89" s="1" t="s">
        <v>331</v>
      </c>
      <c r="C89" s="1">
        <v>16</v>
      </c>
      <c r="D89" s="1">
        <v>1</v>
      </c>
      <c r="E89" s="1" t="s">
        <v>18</v>
      </c>
      <c r="F89" s="1" t="s">
        <v>129</v>
      </c>
      <c r="G89" s="1">
        <v>12</v>
      </c>
      <c r="H89" s="1" t="s">
        <v>130</v>
      </c>
      <c r="I89" s="1" t="s">
        <v>131</v>
      </c>
      <c r="J89" s="1" t="s">
        <v>18</v>
      </c>
      <c r="K89" s="1" t="s">
        <v>132</v>
      </c>
      <c r="L89" s="1" t="s">
        <v>18</v>
      </c>
      <c r="M89" s="1" t="s">
        <v>18</v>
      </c>
      <c r="N89" s="1" t="s">
        <v>18</v>
      </c>
      <c r="O89" s="1" t="s">
        <v>17</v>
      </c>
      <c r="P89" s="1" t="s">
        <v>18</v>
      </c>
      <c r="Q89" s="1">
        <v>1244.599997</v>
      </c>
      <c r="R89" s="1">
        <v>1254.8561380000001</v>
      </c>
      <c r="S89" s="2">
        <f t="shared" si="2"/>
        <v>8.240511830886716E-3</v>
      </c>
      <c r="T89" s="4">
        <v>21.69</v>
      </c>
      <c r="U89" s="5">
        <v>1.0936000035144391E-3</v>
      </c>
    </row>
    <row r="90" spans="1:21">
      <c r="A90" s="1" t="s">
        <v>108</v>
      </c>
      <c r="B90" s="1" t="s">
        <v>152</v>
      </c>
      <c r="C90" s="1">
        <v>10</v>
      </c>
      <c r="D90" s="1">
        <v>6</v>
      </c>
      <c r="E90" s="1" t="s">
        <v>17</v>
      </c>
      <c r="F90" s="1" t="s">
        <v>156</v>
      </c>
      <c r="G90" s="1">
        <v>9</v>
      </c>
      <c r="H90" s="1" t="s">
        <v>19</v>
      </c>
      <c r="I90" s="1" t="s">
        <v>20</v>
      </c>
      <c r="J90" s="1" t="s">
        <v>18</v>
      </c>
      <c r="K90" s="1" t="s">
        <v>127</v>
      </c>
      <c r="L90" s="1" t="s">
        <v>17</v>
      </c>
      <c r="M90" s="1" t="s">
        <v>17</v>
      </c>
      <c r="N90" s="1" t="s">
        <v>18</v>
      </c>
      <c r="O90" s="1" t="s">
        <v>17</v>
      </c>
      <c r="P90" s="1" t="s">
        <v>17</v>
      </c>
      <c r="Q90" s="1">
        <v>2284.799998</v>
      </c>
      <c r="R90" s="1">
        <v>2289.38564</v>
      </c>
      <c r="S90" s="2">
        <f t="shared" si="2"/>
        <v>2.0070211852302386E-3</v>
      </c>
      <c r="T90" s="4">
        <v>23.91</v>
      </c>
      <c r="U90" s="5">
        <v>1.545700011774898E-3</v>
      </c>
    </row>
    <row r="91" spans="1:21">
      <c r="A91" s="1" t="s">
        <v>109</v>
      </c>
      <c r="B91" s="1" t="s">
        <v>332</v>
      </c>
      <c r="C91" s="1">
        <v>5</v>
      </c>
      <c r="D91" s="1">
        <v>2</v>
      </c>
      <c r="E91" s="1" t="s">
        <v>18</v>
      </c>
      <c r="F91" s="1" t="s">
        <v>235</v>
      </c>
      <c r="G91" s="1">
        <v>3</v>
      </c>
      <c r="H91" s="1" t="s">
        <v>162</v>
      </c>
      <c r="I91" s="1" t="s">
        <v>163</v>
      </c>
      <c r="J91" s="1" t="s">
        <v>18</v>
      </c>
      <c r="K91" s="1" t="s">
        <v>132</v>
      </c>
      <c r="L91" s="1" t="s">
        <v>17</v>
      </c>
      <c r="M91" s="1" t="s">
        <v>17</v>
      </c>
      <c r="N91" s="1" t="s">
        <v>18</v>
      </c>
      <c r="O91" s="1" t="s">
        <v>18</v>
      </c>
      <c r="P91" s="1" t="s">
        <v>18</v>
      </c>
      <c r="Q91" s="1">
        <v>635.04000199999996</v>
      </c>
      <c r="R91" s="1">
        <v>681.81175800000005</v>
      </c>
      <c r="S91" s="2">
        <f t="shared" si="2"/>
        <v>7.3651668954234001E-2</v>
      </c>
      <c r="T91" s="4">
        <v>20.350000000000001</v>
      </c>
      <c r="U91" s="5">
        <v>4.6640000073239213E-4</v>
      </c>
    </row>
    <row r="92" spans="1:21">
      <c r="A92" s="1" t="s">
        <v>110</v>
      </c>
      <c r="B92" s="1" t="s">
        <v>229</v>
      </c>
      <c r="C92" s="1">
        <v>9</v>
      </c>
      <c r="D92" s="1">
        <v>8</v>
      </c>
      <c r="E92" s="1" t="s">
        <v>18</v>
      </c>
      <c r="F92" s="1" t="s">
        <v>147</v>
      </c>
      <c r="G92" s="1">
        <v>12</v>
      </c>
      <c r="H92" s="1" t="s">
        <v>19</v>
      </c>
      <c r="I92" s="1" t="s">
        <v>20</v>
      </c>
      <c r="J92" s="1" t="s">
        <v>17</v>
      </c>
      <c r="K92" s="1" t="s">
        <v>127</v>
      </c>
      <c r="L92" s="1" t="s">
        <v>17</v>
      </c>
      <c r="M92" s="1" t="s">
        <v>17</v>
      </c>
      <c r="N92" s="1" t="s">
        <v>18</v>
      </c>
      <c r="O92" s="1" t="s">
        <v>17</v>
      </c>
      <c r="P92" s="1" t="s">
        <v>17</v>
      </c>
      <c r="Q92" s="1">
        <v>5274.0798990000003</v>
      </c>
      <c r="R92" s="1">
        <v>5680.2548779999997</v>
      </c>
      <c r="S92" s="2">
        <f t="shared" si="2"/>
        <v>7.7013429219571147E-2</v>
      </c>
      <c r="T92" s="4">
        <v>25.75</v>
      </c>
      <c r="U92" s="5">
        <v>2.1803999552503228E-3</v>
      </c>
    </row>
    <row r="93" spans="1:21">
      <c r="A93" s="1" t="s">
        <v>111</v>
      </c>
      <c r="B93" s="1" t="s">
        <v>333</v>
      </c>
      <c r="C93" s="1">
        <v>6</v>
      </c>
      <c r="D93" s="1">
        <v>2</v>
      </c>
      <c r="E93" s="1" t="s">
        <v>17</v>
      </c>
      <c r="F93" s="1" t="s">
        <v>235</v>
      </c>
      <c r="G93" s="1">
        <v>4</v>
      </c>
      <c r="H93" s="1" t="s">
        <v>162</v>
      </c>
      <c r="I93" s="1" t="s">
        <v>163</v>
      </c>
      <c r="J93" s="1" t="s">
        <v>18</v>
      </c>
      <c r="K93" s="1" t="s">
        <v>132</v>
      </c>
      <c r="L93" s="1" t="s">
        <v>17</v>
      </c>
      <c r="M93" s="1" t="s">
        <v>17</v>
      </c>
      <c r="N93" s="1" t="s">
        <v>18</v>
      </c>
      <c r="O93" s="1" t="s">
        <v>18</v>
      </c>
      <c r="P93" s="1" t="s">
        <v>18</v>
      </c>
      <c r="Q93" s="1">
        <v>495.04000200000002</v>
      </c>
      <c r="R93" s="1">
        <v>467.31954899999999</v>
      </c>
      <c r="S93" s="2">
        <f t="shared" si="2"/>
        <v>5.5996389964461941E-2</v>
      </c>
      <c r="T93" s="4">
        <v>19.93</v>
      </c>
      <c r="U93" s="5">
        <v>6.2279996927827597E-4</v>
      </c>
    </row>
    <row r="94" spans="1:21">
      <c r="A94" s="1" t="s">
        <v>112</v>
      </c>
      <c r="B94" s="1" t="s">
        <v>190</v>
      </c>
      <c r="C94" s="1">
        <v>9</v>
      </c>
      <c r="D94" s="1">
        <v>6</v>
      </c>
      <c r="E94" s="1" t="s">
        <v>17</v>
      </c>
      <c r="F94" s="1" t="s">
        <v>165</v>
      </c>
      <c r="G94" s="1">
        <v>16</v>
      </c>
      <c r="H94" s="1" t="s">
        <v>19</v>
      </c>
      <c r="I94" s="1" t="s">
        <v>20</v>
      </c>
      <c r="J94" s="1" t="s">
        <v>18</v>
      </c>
      <c r="K94" s="1" t="s">
        <v>127</v>
      </c>
      <c r="L94" s="1" t="s">
        <v>18</v>
      </c>
      <c r="M94" s="1" t="s">
        <v>17</v>
      </c>
      <c r="N94" s="1" t="s">
        <v>18</v>
      </c>
      <c r="O94" s="1" t="s">
        <v>18</v>
      </c>
      <c r="P94" s="1" t="s">
        <v>18</v>
      </c>
      <c r="Q94" s="1">
        <v>1561.279988</v>
      </c>
      <c r="R94" s="1">
        <v>1481.7463299999999</v>
      </c>
      <c r="S94" s="2">
        <f t="shared" si="2"/>
        <v>5.0941316491145638E-2</v>
      </c>
      <c r="T94" s="4">
        <v>21.61</v>
      </c>
      <c r="U94" s="5">
        <v>2.7394000208005309E-3</v>
      </c>
    </row>
    <row r="95" spans="1:21">
      <c r="A95" s="1" t="s">
        <v>113</v>
      </c>
      <c r="B95" s="1" t="s">
        <v>334</v>
      </c>
      <c r="C95" s="1">
        <v>12</v>
      </c>
      <c r="D95" s="1">
        <v>3</v>
      </c>
      <c r="E95" s="1" t="s">
        <v>18</v>
      </c>
      <c r="F95" s="1" t="s">
        <v>238</v>
      </c>
      <c r="G95" s="1">
        <v>5</v>
      </c>
      <c r="H95" s="1" t="s">
        <v>140</v>
      </c>
      <c r="I95" s="1" t="s">
        <v>141</v>
      </c>
      <c r="J95" s="1" t="s">
        <v>17</v>
      </c>
      <c r="K95" s="1" t="s">
        <v>132</v>
      </c>
      <c r="L95" s="1" t="s">
        <v>18</v>
      </c>
      <c r="M95" s="1" t="s">
        <v>17</v>
      </c>
      <c r="N95" s="1" t="s">
        <v>18</v>
      </c>
      <c r="O95" s="1" t="s">
        <v>18</v>
      </c>
      <c r="P95" s="1" t="s">
        <v>18</v>
      </c>
      <c r="Q95" s="1">
        <v>761.87998400000004</v>
      </c>
      <c r="R95" s="1">
        <v>762.29308800000001</v>
      </c>
      <c r="S95" s="2">
        <f t="shared" si="2"/>
        <v>5.4221663342710383E-4</v>
      </c>
      <c r="T95" s="4">
        <v>19.739999999999998</v>
      </c>
      <c r="U95" s="5">
        <v>5.4089998593553901E-4</v>
      </c>
    </row>
    <row r="96" spans="1:21">
      <c r="A96" s="1" t="s">
        <v>114</v>
      </c>
      <c r="B96" s="1" t="s">
        <v>335</v>
      </c>
      <c r="C96" s="1">
        <v>6</v>
      </c>
      <c r="D96" s="1">
        <v>1</v>
      </c>
      <c r="E96" s="1" t="s">
        <v>17</v>
      </c>
      <c r="F96" s="1" t="s">
        <v>165</v>
      </c>
      <c r="G96" s="1">
        <v>3</v>
      </c>
      <c r="H96" s="1" t="s">
        <v>19</v>
      </c>
      <c r="I96" s="1" t="s">
        <v>20</v>
      </c>
      <c r="J96" s="1" t="s">
        <v>17</v>
      </c>
      <c r="K96" s="1" t="s">
        <v>127</v>
      </c>
      <c r="L96" s="1" t="s">
        <v>17</v>
      </c>
      <c r="M96" s="1" t="s">
        <v>18</v>
      </c>
      <c r="N96" s="1" t="s">
        <v>18</v>
      </c>
      <c r="O96" s="1" t="s">
        <v>17</v>
      </c>
      <c r="P96" s="1" t="s">
        <v>18</v>
      </c>
      <c r="Q96" s="1">
        <v>190.11999900000001</v>
      </c>
      <c r="R96" s="1">
        <v>178.973939</v>
      </c>
      <c r="S96" s="2">
        <f t="shared" si="2"/>
        <v>5.8626446763236126E-2</v>
      </c>
      <c r="T96" s="4">
        <v>19.559999999999999</v>
      </c>
      <c r="U96" s="5">
        <v>2.7660001069307333E-4</v>
      </c>
    </row>
    <row r="97" spans="1:21">
      <c r="A97" s="1" t="s">
        <v>115</v>
      </c>
      <c r="B97" s="1" t="s">
        <v>336</v>
      </c>
      <c r="C97" s="1">
        <v>16</v>
      </c>
      <c r="D97" s="1">
        <v>4</v>
      </c>
      <c r="E97" s="1" t="s">
        <v>17</v>
      </c>
      <c r="F97" s="1" t="s">
        <v>195</v>
      </c>
      <c r="G97" s="1">
        <v>12</v>
      </c>
      <c r="H97" s="1" t="s">
        <v>130</v>
      </c>
      <c r="I97" s="1" t="s">
        <v>131</v>
      </c>
      <c r="J97" s="1" t="s">
        <v>17</v>
      </c>
      <c r="K97" s="1" t="s">
        <v>132</v>
      </c>
      <c r="L97" s="1" t="s">
        <v>17</v>
      </c>
      <c r="M97" s="1" t="s">
        <v>17</v>
      </c>
      <c r="N97" s="1" t="s">
        <v>18</v>
      </c>
      <c r="O97" s="1" t="s">
        <v>17</v>
      </c>
      <c r="P97" s="1" t="s">
        <v>17</v>
      </c>
      <c r="Q97" s="1">
        <v>4214.5599240000001</v>
      </c>
      <c r="R97" s="1">
        <v>4239.308344</v>
      </c>
      <c r="S97" s="2">
        <f t="shared" si="2"/>
        <v>5.872124360854122E-3</v>
      </c>
      <c r="T97" s="4">
        <v>24.73</v>
      </c>
      <c r="U97" s="5">
        <v>2.041900006588548E-3</v>
      </c>
    </row>
    <row r="98" spans="1:21">
      <c r="A98" s="1" t="s">
        <v>116</v>
      </c>
      <c r="B98" s="1" t="s">
        <v>150</v>
      </c>
      <c r="C98" s="1">
        <v>8</v>
      </c>
      <c r="D98" s="1">
        <v>6</v>
      </c>
      <c r="E98" s="1" t="s">
        <v>17</v>
      </c>
      <c r="F98" s="1" t="s">
        <v>134</v>
      </c>
      <c r="G98" s="1">
        <v>7</v>
      </c>
      <c r="H98" s="1" t="s">
        <v>19</v>
      </c>
      <c r="I98" s="1" t="s">
        <v>20</v>
      </c>
      <c r="J98" s="1" t="s">
        <v>17</v>
      </c>
      <c r="K98" s="1" t="s">
        <v>127</v>
      </c>
      <c r="L98" s="1" t="s">
        <v>17</v>
      </c>
      <c r="M98" s="1" t="s">
        <v>18</v>
      </c>
      <c r="N98" s="1" t="s">
        <v>18</v>
      </c>
      <c r="O98" s="1" t="s">
        <v>18</v>
      </c>
      <c r="P98" s="1" t="s">
        <v>18</v>
      </c>
      <c r="Q98" s="1">
        <v>1056.159981</v>
      </c>
      <c r="R98" s="1">
        <v>1096.0438039999999</v>
      </c>
      <c r="S98" s="2">
        <f t="shared" ref="S98:S129" si="3">ABS(R98-Q98)/Q98</f>
        <v>3.7763050785390335E-2</v>
      </c>
      <c r="T98" s="4">
        <v>19.760000000000002</v>
      </c>
      <c r="U98" s="5">
        <v>7.0150004466995597E-4</v>
      </c>
    </row>
    <row r="99" spans="1:21">
      <c r="A99" s="1" t="s">
        <v>117</v>
      </c>
      <c r="B99" s="1" t="s">
        <v>337</v>
      </c>
      <c r="C99" s="1">
        <v>16</v>
      </c>
      <c r="D99" s="1">
        <v>8</v>
      </c>
      <c r="E99" s="1" t="s">
        <v>17</v>
      </c>
      <c r="F99" s="1" t="s">
        <v>338</v>
      </c>
      <c r="G99" s="1">
        <v>3</v>
      </c>
      <c r="H99" s="1" t="s">
        <v>162</v>
      </c>
      <c r="I99" s="1" t="s">
        <v>163</v>
      </c>
      <c r="J99" s="1" t="s">
        <v>18</v>
      </c>
      <c r="K99" s="1" t="s">
        <v>132</v>
      </c>
      <c r="L99" s="1" t="s">
        <v>18</v>
      </c>
      <c r="M99" s="1" t="s">
        <v>18</v>
      </c>
      <c r="N99" s="1" t="s">
        <v>18</v>
      </c>
      <c r="O99" s="1" t="s">
        <v>18</v>
      </c>
      <c r="P99" s="1" t="s">
        <v>17</v>
      </c>
      <c r="Q99" s="1">
        <v>265.44</v>
      </c>
      <c r="R99" s="1">
        <v>265.81482899999997</v>
      </c>
      <c r="S99" s="2">
        <f t="shared" si="3"/>
        <v>1.41210443037966E-3</v>
      </c>
      <c r="T99" s="4">
        <v>18.89</v>
      </c>
      <c r="U99" s="5">
        <v>3.1699996907263989E-4</v>
      </c>
    </row>
    <row r="100" spans="1:21">
      <c r="A100" s="1" t="s">
        <v>118</v>
      </c>
      <c r="B100" s="1" t="s">
        <v>193</v>
      </c>
      <c r="C100" s="1">
        <v>8</v>
      </c>
      <c r="D100" s="1">
        <v>2</v>
      </c>
      <c r="E100" s="1" t="s">
        <v>18</v>
      </c>
      <c r="F100" s="1" t="s">
        <v>165</v>
      </c>
      <c r="G100" s="1">
        <v>12</v>
      </c>
      <c r="H100" s="1" t="s">
        <v>19</v>
      </c>
      <c r="I100" s="1" t="s">
        <v>20</v>
      </c>
      <c r="J100" s="1" t="s">
        <v>17</v>
      </c>
      <c r="K100" s="1" t="s">
        <v>127</v>
      </c>
      <c r="L100" s="1" t="s">
        <v>17</v>
      </c>
      <c r="M100" s="1" t="s">
        <v>18</v>
      </c>
      <c r="N100" s="1" t="s">
        <v>18</v>
      </c>
      <c r="O100" s="1" t="s">
        <v>17</v>
      </c>
      <c r="P100" s="1" t="s">
        <v>18</v>
      </c>
      <c r="Q100" s="1">
        <v>824.87999300000001</v>
      </c>
      <c r="R100" s="1">
        <v>741.29581499999995</v>
      </c>
      <c r="S100" s="2">
        <f t="shared" si="3"/>
        <v>0.10132889475960422</v>
      </c>
      <c r="T100" s="4">
        <v>20.34</v>
      </c>
      <c r="U100" s="5">
        <v>1.0757999843917789E-3</v>
      </c>
    </row>
    <row r="101" spans="1:21">
      <c r="A101" s="1" t="s">
        <v>119</v>
      </c>
      <c r="B101" s="1" t="s">
        <v>339</v>
      </c>
      <c r="C101" s="1">
        <v>12</v>
      </c>
      <c r="D101" s="1">
        <v>3</v>
      </c>
      <c r="E101" s="1" t="s">
        <v>17</v>
      </c>
      <c r="F101" s="1" t="s">
        <v>136</v>
      </c>
      <c r="G101" s="1">
        <v>9</v>
      </c>
      <c r="H101" s="1" t="s">
        <v>130</v>
      </c>
      <c r="I101" s="1" t="s">
        <v>131</v>
      </c>
      <c r="J101" s="1" t="s">
        <v>18</v>
      </c>
      <c r="K101" s="1" t="s">
        <v>132</v>
      </c>
      <c r="L101" s="1" t="s">
        <v>17</v>
      </c>
      <c r="M101" s="1" t="s">
        <v>18</v>
      </c>
      <c r="N101" s="1" t="s">
        <v>18</v>
      </c>
      <c r="O101" s="1" t="s">
        <v>18</v>
      </c>
      <c r="P101" s="1" t="s">
        <v>18</v>
      </c>
      <c r="Q101" s="1">
        <v>1487.9200109999999</v>
      </c>
      <c r="R101" s="1">
        <v>1468.4164249999999</v>
      </c>
      <c r="S101" s="2">
        <f t="shared" si="3"/>
        <v>1.3107953287685195E-2</v>
      </c>
      <c r="T101" s="4">
        <v>20.190000000000001</v>
      </c>
      <c r="U101" s="5">
        <v>8.4700004663318396E-4</v>
      </c>
    </row>
    <row r="102" spans="1:21">
      <c r="S102" s="6">
        <f>AVERAGE(S2:S101)</f>
        <v>6.85073723571753E-2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2"/>
  <sheetViews>
    <sheetView workbookViewId="0">
      <pane ySplit="1" topLeftCell="A72" activePane="bottomLeft" state="frozen"/>
      <selection pane="bottomLeft" activeCell="I103" sqref="I103"/>
    </sheetView>
  </sheetViews>
  <sheetFormatPr defaultRowHeight="14"/>
  <cols>
    <col min="1" max="1" width="6.6640625" customWidth="1"/>
    <col min="2" max="2" width="5" customWidth="1"/>
    <col min="3" max="3" width="5.1640625" customWidth="1"/>
    <col min="4" max="4" width="9.1640625" customWidth="1"/>
    <col min="5" max="5" width="11.6640625" customWidth="1"/>
    <col min="6" max="6" width="10.9140625" customWidth="1"/>
    <col min="7" max="7" width="15" customWidth="1"/>
    <col min="8" max="8" width="10.5" customWidth="1"/>
    <col min="9" max="9" width="6" customWidth="1"/>
    <col min="10" max="10" width="9.9140625" customWidth="1"/>
  </cols>
  <sheetData>
    <row r="1" spans="1:11">
      <c r="A1" s="3" t="s">
        <v>0</v>
      </c>
      <c r="B1" s="3" t="s">
        <v>340</v>
      </c>
      <c r="C1" s="3" t="s">
        <v>341</v>
      </c>
      <c r="D1" s="3" t="s">
        <v>10</v>
      </c>
      <c r="E1" s="3" t="s">
        <v>342</v>
      </c>
      <c r="F1" s="3" t="s">
        <v>343</v>
      </c>
      <c r="G1" s="3" t="s">
        <v>11</v>
      </c>
      <c r="H1" s="3" t="s">
        <v>344</v>
      </c>
      <c r="I1" s="3" t="s">
        <v>13</v>
      </c>
      <c r="J1" s="3" t="s">
        <v>14</v>
      </c>
      <c r="K1" s="3" t="s">
        <v>15</v>
      </c>
    </row>
    <row r="2" spans="1:11">
      <c r="A2" s="1" t="s">
        <v>16</v>
      </c>
      <c r="B2" s="1">
        <v>9</v>
      </c>
      <c r="C2" s="1">
        <v>8</v>
      </c>
      <c r="D2" s="1" t="s">
        <v>18</v>
      </c>
      <c r="E2" s="1" t="s">
        <v>17</v>
      </c>
      <c r="F2" s="1" t="s">
        <v>17</v>
      </c>
      <c r="G2" s="1">
        <v>111.720001</v>
      </c>
      <c r="H2" s="1">
        <v>105.657296</v>
      </c>
      <c r="I2" s="2">
        <f t="shared" ref="I2:I33" si="0">ABS(H2-G2)/G2</f>
        <v>5.4266961562236239E-2</v>
      </c>
      <c r="J2" s="4">
        <v>17.989999999999998</v>
      </c>
      <c r="K2" s="5">
        <v>7.9699966590851545E-5</v>
      </c>
    </row>
    <row r="3" spans="1:11">
      <c r="A3" s="1" t="s">
        <v>21</v>
      </c>
      <c r="B3" s="1">
        <v>7</v>
      </c>
      <c r="C3" s="1">
        <v>15</v>
      </c>
      <c r="D3" s="1" t="s">
        <v>17</v>
      </c>
      <c r="E3" s="1" t="s">
        <v>17</v>
      </c>
      <c r="F3" s="1" t="s">
        <v>17</v>
      </c>
      <c r="G3" s="1">
        <v>95.759997999999996</v>
      </c>
      <c r="H3" s="1">
        <v>100.51772200000001</v>
      </c>
      <c r="I3" s="2">
        <f t="shared" si="0"/>
        <v>4.9683835624140367E-2</v>
      </c>
      <c r="J3" s="4">
        <v>18.149999999999999</v>
      </c>
      <c r="K3" s="5">
        <v>7.0000009145587683E-5</v>
      </c>
    </row>
    <row r="4" spans="1:11">
      <c r="A4" s="1" t="s">
        <v>22</v>
      </c>
      <c r="B4" s="1">
        <v>5</v>
      </c>
      <c r="C4" s="1">
        <v>5</v>
      </c>
      <c r="D4" s="1" t="s">
        <v>17</v>
      </c>
      <c r="E4" s="1" t="s">
        <v>18</v>
      </c>
      <c r="F4" s="1" t="s">
        <v>17</v>
      </c>
      <c r="G4" s="1">
        <v>64.959998999999996</v>
      </c>
      <c r="H4" s="1">
        <v>59.017989999999998</v>
      </c>
      <c r="I4" s="2">
        <f t="shared" si="0"/>
        <v>9.147181483177054E-2</v>
      </c>
      <c r="J4" s="4">
        <v>18.149999999999999</v>
      </c>
      <c r="K4" s="5">
        <v>6.8699999246746302E-5</v>
      </c>
    </row>
    <row r="5" spans="1:11">
      <c r="A5" s="1" t="s">
        <v>23</v>
      </c>
      <c r="B5" s="1">
        <v>16</v>
      </c>
      <c r="C5" s="1">
        <v>5</v>
      </c>
      <c r="D5" s="1" t="s">
        <v>17</v>
      </c>
      <c r="E5" s="1" t="s">
        <v>18</v>
      </c>
      <c r="F5" s="1" t="s">
        <v>18</v>
      </c>
      <c r="G5" s="1">
        <v>211.95999599999999</v>
      </c>
      <c r="H5" s="1">
        <v>208.286272</v>
      </c>
      <c r="I5" s="2">
        <f t="shared" si="0"/>
        <v>1.7332157337840264E-2</v>
      </c>
      <c r="J5" s="4">
        <v>18.29</v>
      </c>
      <c r="K5" s="5">
        <v>6.8299996200948954E-5</v>
      </c>
    </row>
    <row r="6" spans="1:11">
      <c r="A6" s="1" t="s">
        <v>24</v>
      </c>
      <c r="B6" s="1">
        <v>1</v>
      </c>
      <c r="C6" s="1">
        <v>16</v>
      </c>
      <c r="D6" s="1" t="s">
        <v>17</v>
      </c>
      <c r="E6" s="1" t="s">
        <v>17</v>
      </c>
      <c r="F6" s="1" t="s">
        <v>18</v>
      </c>
      <c r="G6" s="1">
        <v>0.84</v>
      </c>
      <c r="H6" s="1">
        <v>0.84</v>
      </c>
      <c r="I6" s="2">
        <f t="shared" si="0"/>
        <v>0</v>
      </c>
      <c r="J6" s="4">
        <v>18.829999999999998</v>
      </c>
      <c r="K6" s="5">
        <v>2.8000213205814362E-6</v>
      </c>
    </row>
    <row r="7" spans="1:11">
      <c r="A7" s="1" t="s">
        <v>25</v>
      </c>
      <c r="B7" s="1">
        <v>3</v>
      </c>
      <c r="C7" s="1">
        <v>8</v>
      </c>
      <c r="D7" s="1" t="s">
        <v>17</v>
      </c>
      <c r="E7" s="1" t="s">
        <v>17</v>
      </c>
      <c r="F7" s="1" t="s">
        <v>18</v>
      </c>
      <c r="G7" s="1">
        <v>2.52</v>
      </c>
      <c r="H7" s="1">
        <v>2.52</v>
      </c>
      <c r="I7" s="2">
        <f t="shared" si="0"/>
        <v>0</v>
      </c>
      <c r="J7" s="4">
        <v>18.579999999999998</v>
      </c>
      <c r="K7" s="5">
        <v>2.6000197976827621E-6</v>
      </c>
    </row>
    <row r="8" spans="1:11">
      <c r="A8" s="1" t="s">
        <v>26</v>
      </c>
      <c r="B8" s="1">
        <v>32</v>
      </c>
      <c r="C8" s="1">
        <v>16</v>
      </c>
      <c r="D8" s="1" t="s">
        <v>17</v>
      </c>
      <c r="E8" s="1" t="s">
        <v>17</v>
      </c>
      <c r="F8" s="1" t="s">
        <v>17</v>
      </c>
      <c r="G8" s="1">
        <v>390.87999200000002</v>
      </c>
      <c r="H8" s="1">
        <v>392.61149599999999</v>
      </c>
      <c r="I8" s="2">
        <f t="shared" si="0"/>
        <v>4.4297585843175429E-3</v>
      </c>
      <c r="J8" s="4">
        <v>19.64</v>
      </c>
      <c r="K8" s="5">
        <v>6.9700006861239672E-5</v>
      </c>
    </row>
    <row r="9" spans="1:11">
      <c r="A9" s="1" t="s">
        <v>27</v>
      </c>
      <c r="B9" s="1">
        <v>24</v>
      </c>
      <c r="C9" s="1">
        <v>15</v>
      </c>
      <c r="D9" s="1" t="s">
        <v>18</v>
      </c>
      <c r="E9" s="1" t="s">
        <v>17</v>
      </c>
      <c r="F9" s="1" t="s">
        <v>17</v>
      </c>
      <c r="G9" s="1">
        <v>328.44000199999999</v>
      </c>
      <c r="H9" s="1">
        <v>314.48273899999998</v>
      </c>
      <c r="I9" s="2">
        <f t="shared" si="0"/>
        <v>4.24956245128753E-2</v>
      </c>
      <c r="J9" s="4">
        <v>18.690000000000001</v>
      </c>
      <c r="K9" s="5">
        <v>6.8599998485296965E-5</v>
      </c>
    </row>
    <row r="10" spans="1:11">
      <c r="A10" s="1" t="s">
        <v>28</v>
      </c>
      <c r="B10" s="1">
        <v>10</v>
      </c>
      <c r="C10" s="1">
        <v>15</v>
      </c>
      <c r="D10" s="1" t="s">
        <v>17</v>
      </c>
      <c r="E10" s="1" t="s">
        <v>18</v>
      </c>
      <c r="F10" s="1" t="s">
        <v>18</v>
      </c>
      <c r="G10" s="1">
        <v>134.11999700000001</v>
      </c>
      <c r="H10" s="1">
        <v>126.867209</v>
      </c>
      <c r="I10" s="2">
        <f t="shared" si="0"/>
        <v>5.4076857755969147E-2</v>
      </c>
      <c r="J10" s="4">
        <v>18.82</v>
      </c>
      <c r="K10" s="5">
        <v>6.8299996200948954E-5</v>
      </c>
    </row>
    <row r="11" spans="1:11">
      <c r="A11" s="1" t="s">
        <v>29</v>
      </c>
      <c r="B11" s="1">
        <v>12</v>
      </c>
      <c r="C11" s="1">
        <v>5</v>
      </c>
      <c r="D11" s="1" t="s">
        <v>17</v>
      </c>
      <c r="E11" s="1" t="s">
        <v>17</v>
      </c>
      <c r="F11" s="1" t="s">
        <v>17</v>
      </c>
      <c r="G11" s="1">
        <v>165.759996</v>
      </c>
      <c r="H11" s="1">
        <v>168.366941</v>
      </c>
      <c r="I11" s="2">
        <f t="shared" si="0"/>
        <v>1.5727226489556601E-2</v>
      </c>
      <c r="J11" s="4">
        <v>19.309999999999999</v>
      </c>
      <c r="K11" s="5">
        <v>6.6100037656724453E-5</v>
      </c>
    </row>
    <row r="12" spans="1:11">
      <c r="A12" s="1" t="s">
        <v>30</v>
      </c>
      <c r="B12" s="1">
        <v>2</v>
      </c>
      <c r="C12" s="1">
        <v>255</v>
      </c>
      <c r="D12" s="1" t="s">
        <v>18</v>
      </c>
      <c r="E12" s="1" t="s">
        <v>18</v>
      </c>
      <c r="F12" s="1" t="s">
        <v>18</v>
      </c>
      <c r="G12" s="1">
        <v>19.32</v>
      </c>
      <c r="H12" s="1">
        <v>16.984932000000001</v>
      </c>
      <c r="I12" s="2">
        <f t="shared" si="0"/>
        <v>0.12086273291925465</v>
      </c>
      <c r="J12" s="4">
        <v>18.989999999999998</v>
      </c>
      <c r="K12" s="5">
        <v>6.609997944906354E-5</v>
      </c>
    </row>
    <row r="13" spans="1:11">
      <c r="A13" s="1" t="s">
        <v>31</v>
      </c>
      <c r="B13" s="1">
        <v>6</v>
      </c>
      <c r="C13" s="1">
        <v>64</v>
      </c>
      <c r="D13" s="1" t="s">
        <v>18</v>
      </c>
      <c r="E13" s="1" t="s">
        <v>17</v>
      </c>
      <c r="F13" s="1" t="s">
        <v>18</v>
      </c>
      <c r="G13" s="1">
        <v>5.04</v>
      </c>
      <c r="H13" s="1">
        <v>5.04</v>
      </c>
      <c r="I13" s="2">
        <f t="shared" si="0"/>
        <v>0</v>
      </c>
      <c r="J13" s="4">
        <v>18.62</v>
      </c>
      <c r="K13" s="5">
        <v>2.6999623514711861E-6</v>
      </c>
    </row>
    <row r="14" spans="1:11">
      <c r="A14" s="1" t="s">
        <v>32</v>
      </c>
      <c r="B14" s="1">
        <v>8</v>
      </c>
      <c r="C14" s="1">
        <v>15</v>
      </c>
      <c r="D14" s="1" t="s">
        <v>18</v>
      </c>
      <c r="E14" s="1" t="s">
        <v>18</v>
      </c>
      <c r="F14" s="1" t="s">
        <v>17</v>
      </c>
      <c r="G14" s="1">
        <v>89.600001000000006</v>
      </c>
      <c r="H14" s="1">
        <v>94.433413000000002</v>
      </c>
      <c r="I14" s="2">
        <f t="shared" si="0"/>
        <v>5.3944329755085556E-2</v>
      </c>
      <c r="J14" s="4">
        <v>19.27</v>
      </c>
      <c r="K14" s="5">
        <v>6.609997944906354E-5</v>
      </c>
    </row>
    <row r="15" spans="1:11">
      <c r="A15" s="1" t="s">
        <v>33</v>
      </c>
      <c r="B15" s="1">
        <v>4</v>
      </c>
      <c r="C15" s="1">
        <v>2</v>
      </c>
      <c r="D15" s="1" t="s">
        <v>18</v>
      </c>
      <c r="E15" s="1" t="s">
        <v>17</v>
      </c>
      <c r="F15" s="1" t="s">
        <v>17</v>
      </c>
      <c r="G15" s="1">
        <v>50.120001000000002</v>
      </c>
      <c r="H15" s="1">
        <v>51.253056000000001</v>
      </c>
      <c r="I15" s="2">
        <f t="shared" si="0"/>
        <v>2.2606843124364638E-2</v>
      </c>
      <c r="J15" s="4">
        <v>19.170000000000002</v>
      </c>
      <c r="K15" s="5">
        <v>6.620003841817379E-5</v>
      </c>
    </row>
    <row r="16" spans="1:11">
      <c r="A16" s="1" t="s">
        <v>34</v>
      </c>
      <c r="B16" s="1">
        <v>9</v>
      </c>
      <c r="C16" s="1">
        <v>5</v>
      </c>
      <c r="D16" s="1" t="s">
        <v>17</v>
      </c>
      <c r="E16" s="1" t="s">
        <v>18</v>
      </c>
      <c r="F16" s="1" t="s">
        <v>17</v>
      </c>
      <c r="G16" s="1">
        <v>122.91999800000001</v>
      </c>
      <c r="H16" s="1">
        <v>113.297366</v>
      </c>
      <c r="I16" s="2">
        <f t="shared" si="0"/>
        <v>7.8283697987043654E-2</v>
      </c>
      <c r="J16" s="4">
        <v>19.600000000000001</v>
      </c>
      <c r="K16" s="5">
        <v>6.609997944906354E-5</v>
      </c>
    </row>
    <row r="17" spans="1:11">
      <c r="A17" s="1" t="s">
        <v>35</v>
      </c>
      <c r="B17" s="1">
        <v>7</v>
      </c>
      <c r="C17" s="1">
        <v>1</v>
      </c>
      <c r="D17" s="1" t="s">
        <v>18</v>
      </c>
      <c r="E17" s="1" t="s">
        <v>18</v>
      </c>
      <c r="F17" s="1" t="s">
        <v>17</v>
      </c>
      <c r="G17" s="1">
        <v>78.960001000000005</v>
      </c>
      <c r="H17" s="1">
        <v>81.525332000000006</v>
      </c>
      <c r="I17" s="2">
        <f t="shared" si="0"/>
        <v>3.2488994016096839E-2</v>
      </c>
      <c r="J17" s="4">
        <v>19.04</v>
      </c>
      <c r="K17" s="5">
        <v>6.6799984779208899E-5</v>
      </c>
    </row>
    <row r="18" spans="1:11">
      <c r="A18" s="1" t="s">
        <v>36</v>
      </c>
      <c r="B18" s="1">
        <v>5</v>
      </c>
      <c r="C18" s="1">
        <v>7</v>
      </c>
      <c r="D18" s="1" t="s">
        <v>17</v>
      </c>
      <c r="E18" s="1" t="s">
        <v>18</v>
      </c>
      <c r="F18" s="1" t="s">
        <v>18</v>
      </c>
      <c r="G18" s="1">
        <v>62.999999000000003</v>
      </c>
      <c r="H18" s="1">
        <v>59.017989999999998</v>
      </c>
      <c r="I18" s="2">
        <f t="shared" si="0"/>
        <v>6.3206493066769814E-2</v>
      </c>
      <c r="J18" s="4">
        <v>19.440000000000001</v>
      </c>
      <c r="K18" s="5">
        <v>6.709998706355691E-5</v>
      </c>
    </row>
    <row r="19" spans="1:11">
      <c r="A19" s="1" t="s">
        <v>37</v>
      </c>
      <c r="B19" s="1">
        <v>16</v>
      </c>
      <c r="C19" s="1">
        <v>15</v>
      </c>
      <c r="D19" s="1" t="s">
        <v>18</v>
      </c>
      <c r="E19" s="1" t="s">
        <v>18</v>
      </c>
      <c r="F19" s="1" t="s">
        <v>17</v>
      </c>
      <c r="G19" s="1">
        <v>187.60000199999999</v>
      </c>
      <c r="H19" s="1">
        <v>197.69805400000001</v>
      </c>
      <c r="I19" s="2">
        <f t="shared" si="0"/>
        <v>5.3827568722520723E-2</v>
      </c>
      <c r="J19" s="4">
        <v>18.78</v>
      </c>
      <c r="K19" s="5">
        <v>6.7699991632252932E-5</v>
      </c>
    </row>
    <row r="20" spans="1:11">
      <c r="A20" s="1" t="s">
        <v>38</v>
      </c>
      <c r="B20" s="1">
        <v>1</v>
      </c>
      <c r="C20" s="1">
        <v>64</v>
      </c>
      <c r="D20" s="1" t="s">
        <v>17</v>
      </c>
      <c r="E20" s="1" t="s">
        <v>18</v>
      </c>
      <c r="F20" s="1" t="s">
        <v>18</v>
      </c>
      <c r="G20" s="1">
        <v>0.84</v>
      </c>
      <c r="H20" s="1">
        <v>0.84</v>
      </c>
      <c r="I20" s="2">
        <f t="shared" si="0"/>
        <v>0</v>
      </c>
      <c r="J20" s="4">
        <v>18.78</v>
      </c>
      <c r="K20" s="5">
        <v>2.6000197976827621E-6</v>
      </c>
    </row>
    <row r="21" spans="1:11">
      <c r="A21" s="1" t="s">
        <v>39</v>
      </c>
      <c r="B21" s="1">
        <v>3</v>
      </c>
      <c r="C21" s="1">
        <v>3</v>
      </c>
      <c r="D21" s="1" t="s">
        <v>18</v>
      </c>
      <c r="E21" s="1" t="s">
        <v>17</v>
      </c>
      <c r="F21" s="1" t="s">
        <v>17</v>
      </c>
      <c r="G21" s="1">
        <v>42.56</v>
      </c>
      <c r="H21" s="1">
        <v>43.413055999999997</v>
      </c>
      <c r="I21" s="2">
        <f t="shared" si="0"/>
        <v>2.0043609022556277E-2</v>
      </c>
      <c r="J21" s="4">
        <v>19.32</v>
      </c>
      <c r="K21" s="5">
        <v>6.7899993155151606E-5</v>
      </c>
    </row>
    <row r="22" spans="1:11">
      <c r="A22" s="1" t="s">
        <v>40</v>
      </c>
      <c r="B22" s="1">
        <v>32</v>
      </c>
      <c r="C22" s="1">
        <v>7</v>
      </c>
      <c r="D22" s="1" t="s">
        <v>18</v>
      </c>
      <c r="E22" s="1" t="s">
        <v>18</v>
      </c>
      <c r="F22" s="1" t="s">
        <v>17</v>
      </c>
      <c r="G22" s="1">
        <v>384.44000299999999</v>
      </c>
      <c r="H22" s="1">
        <v>404.22733599999998</v>
      </c>
      <c r="I22" s="2">
        <f t="shared" si="0"/>
        <v>5.1470535962928887E-2</v>
      </c>
      <c r="J22" s="4">
        <v>19.66</v>
      </c>
      <c r="K22" s="5">
        <v>6.7699991632252932E-5</v>
      </c>
    </row>
    <row r="23" spans="1:11">
      <c r="A23" s="1" t="s">
        <v>41</v>
      </c>
      <c r="B23" s="1">
        <v>24</v>
      </c>
      <c r="C23" s="1">
        <v>7</v>
      </c>
      <c r="D23" s="1" t="s">
        <v>18</v>
      </c>
      <c r="E23" s="1" t="s">
        <v>18</v>
      </c>
      <c r="F23" s="1" t="s">
        <v>17</v>
      </c>
      <c r="G23" s="1">
        <v>286.44000299999999</v>
      </c>
      <c r="H23" s="1">
        <v>300.962695</v>
      </c>
      <c r="I23" s="2">
        <f t="shared" si="0"/>
        <v>5.0700641837376346E-2</v>
      </c>
      <c r="J23" s="4">
        <v>19.45</v>
      </c>
      <c r="K23" s="5">
        <v>6.7500048317015171E-5</v>
      </c>
    </row>
    <row r="24" spans="1:11">
      <c r="A24" s="1" t="s">
        <v>42</v>
      </c>
      <c r="B24" s="1">
        <v>10</v>
      </c>
      <c r="C24" s="1">
        <v>8</v>
      </c>
      <c r="D24" s="1" t="s">
        <v>18</v>
      </c>
      <c r="E24" s="1" t="s">
        <v>17</v>
      </c>
      <c r="F24" s="1" t="s">
        <v>17</v>
      </c>
      <c r="G24" s="1">
        <v>123.200001</v>
      </c>
      <c r="H24" s="1">
        <v>118.565377</v>
      </c>
      <c r="I24" s="2">
        <f t="shared" si="0"/>
        <v>3.7618700993354716E-2</v>
      </c>
      <c r="J24" s="4">
        <v>19.21</v>
      </c>
      <c r="K24" s="5">
        <v>6.720004603266716E-5</v>
      </c>
    </row>
    <row r="25" spans="1:11">
      <c r="A25" s="1" t="s">
        <v>43</v>
      </c>
      <c r="B25" s="1">
        <v>12</v>
      </c>
      <c r="C25" s="1">
        <v>5</v>
      </c>
      <c r="D25" s="1" t="s">
        <v>18</v>
      </c>
      <c r="E25" s="1" t="s">
        <v>18</v>
      </c>
      <c r="F25" s="1" t="s">
        <v>18</v>
      </c>
      <c r="G25" s="1">
        <v>139.720001</v>
      </c>
      <c r="H25" s="1">
        <v>146.06573299999999</v>
      </c>
      <c r="I25" s="2">
        <f t="shared" si="0"/>
        <v>4.5417491802050576E-2</v>
      </c>
      <c r="J25" s="4">
        <v>19.059999999999999</v>
      </c>
      <c r="K25" s="5">
        <v>6.8299996200948954E-5</v>
      </c>
    </row>
    <row r="26" spans="1:11">
      <c r="A26" s="1" t="s">
        <v>44</v>
      </c>
      <c r="B26" s="1">
        <v>2</v>
      </c>
      <c r="C26" s="1">
        <v>7</v>
      </c>
      <c r="D26" s="1" t="s">
        <v>18</v>
      </c>
      <c r="E26" s="1" t="s">
        <v>18</v>
      </c>
      <c r="F26" s="1" t="s">
        <v>18</v>
      </c>
      <c r="G26" s="1">
        <v>19.32</v>
      </c>
      <c r="H26" s="1">
        <v>16.984932000000001</v>
      </c>
      <c r="I26" s="2">
        <f t="shared" si="0"/>
        <v>0.12086273291925465</v>
      </c>
      <c r="J26" s="4">
        <v>18.96</v>
      </c>
      <c r="K26" s="5">
        <v>6.7000044509768486E-5</v>
      </c>
    </row>
    <row r="27" spans="1:11">
      <c r="A27" s="1" t="s">
        <v>45</v>
      </c>
      <c r="B27" s="1">
        <v>6</v>
      </c>
      <c r="C27" s="1">
        <v>31</v>
      </c>
      <c r="D27" s="1" t="s">
        <v>17</v>
      </c>
      <c r="E27" s="1" t="s">
        <v>17</v>
      </c>
      <c r="F27" s="1" t="s">
        <v>17</v>
      </c>
      <c r="G27" s="1">
        <v>87.079998000000003</v>
      </c>
      <c r="H27" s="1">
        <v>86.947878000000003</v>
      </c>
      <c r="I27" s="2">
        <f t="shared" si="0"/>
        <v>1.5172255745802895E-3</v>
      </c>
      <c r="J27" s="4">
        <v>19.03</v>
      </c>
      <c r="K27" s="5">
        <v>6.720004603266716E-5</v>
      </c>
    </row>
    <row r="28" spans="1:11">
      <c r="A28" s="1" t="s">
        <v>46</v>
      </c>
      <c r="B28" s="1">
        <v>8</v>
      </c>
      <c r="C28" s="1">
        <v>2</v>
      </c>
      <c r="D28" s="1" t="s">
        <v>17</v>
      </c>
      <c r="E28" s="1" t="s">
        <v>17</v>
      </c>
      <c r="F28" s="1" t="s">
        <v>17</v>
      </c>
      <c r="G28" s="1">
        <v>101.079998</v>
      </c>
      <c r="H28" s="1">
        <v>102.299486</v>
      </c>
      <c r="I28" s="2">
        <f t="shared" si="0"/>
        <v>1.206458274761737E-2</v>
      </c>
      <c r="J28" s="4">
        <v>18.84</v>
      </c>
      <c r="K28" s="5">
        <v>6.5300031565129757E-5</v>
      </c>
    </row>
    <row r="29" spans="1:11">
      <c r="A29" s="1" t="s">
        <v>47</v>
      </c>
      <c r="B29" s="1">
        <v>4</v>
      </c>
      <c r="C29" s="1">
        <v>255</v>
      </c>
      <c r="D29" s="1" t="s">
        <v>17</v>
      </c>
      <c r="E29" s="1" t="s">
        <v>17</v>
      </c>
      <c r="F29" s="1" t="s">
        <v>18</v>
      </c>
      <c r="G29" s="1">
        <v>43.119999</v>
      </c>
      <c r="H29" s="1">
        <v>53.088191000000002</v>
      </c>
      <c r="I29" s="2">
        <f t="shared" si="0"/>
        <v>0.23117328922015981</v>
      </c>
      <c r="J29" s="4">
        <v>19.04</v>
      </c>
      <c r="K29" s="5">
        <v>6.5699976403266191E-5</v>
      </c>
    </row>
    <row r="30" spans="1:11">
      <c r="A30" s="1" t="s">
        <v>48</v>
      </c>
      <c r="B30" s="1">
        <v>9</v>
      </c>
      <c r="C30" s="1">
        <v>64</v>
      </c>
      <c r="D30" s="1" t="s">
        <v>17</v>
      </c>
      <c r="E30" s="1" t="s">
        <v>17</v>
      </c>
      <c r="F30" s="1" t="s">
        <v>18</v>
      </c>
      <c r="G30" s="1">
        <v>43.119999</v>
      </c>
      <c r="H30" s="1">
        <v>50.208928999999998</v>
      </c>
      <c r="I30" s="2">
        <f t="shared" si="0"/>
        <v>0.1644000501948063</v>
      </c>
      <c r="J30" s="4">
        <v>18.79</v>
      </c>
      <c r="K30" s="5">
        <v>6.7799992393702269E-5</v>
      </c>
    </row>
    <row r="31" spans="1:11">
      <c r="A31" s="1" t="s">
        <v>49</v>
      </c>
      <c r="B31" s="1">
        <v>7</v>
      </c>
      <c r="C31" s="1">
        <v>64</v>
      </c>
      <c r="D31" s="1" t="s">
        <v>17</v>
      </c>
      <c r="E31" s="1" t="s">
        <v>18</v>
      </c>
      <c r="F31" s="1" t="s">
        <v>17</v>
      </c>
      <c r="G31" s="1">
        <v>15.96</v>
      </c>
      <c r="H31" s="1">
        <v>15.429197</v>
      </c>
      <c r="I31" s="2">
        <f t="shared" si="0"/>
        <v>3.3258333333333369E-2</v>
      </c>
      <c r="J31" s="4">
        <v>19.010000000000002</v>
      </c>
      <c r="K31" s="5">
        <v>1.325999619439244E-4</v>
      </c>
    </row>
    <row r="32" spans="1:11">
      <c r="A32" s="1" t="s">
        <v>50</v>
      </c>
      <c r="B32" s="1">
        <v>5</v>
      </c>
      <c r="C32" s="1">
        <v>31</v>
      </c>
      <c r="D32" s="1" t="s">
        <v>17</v>
      </c>
      <c r="E32" s="1" t="s">
        <v>17</v>
      </c>
      <c r="F32" s="1" t="s">
        <v>17</v>
      </c>
      <c r="G32" s="1">
        <v>71.959997999999999</v>
      </c>
      <c r="H32" s="1">
        <v>73.378034</v>
      </c>
      <c r="I32" s="2">
        <f t="shared" si="0"/>
        <v>1.9705892710002587E-2</v>
      </c>
      <c r="J32" s="4">
        <v>18.86</v>
      </c>
      <c r="K32" s="5">
        <v>1.3320002472028139E-4</v>
      </c>
    </row>
    <row r="33" spans="1:11">
      <c r="A33" s="1" t="s">
        <v>51</v>
      </c>
      <c r="B33" s="1">
        <v>16</v>
      </c>
      <c r="C33" s="1">
        <v>31</v>
      </c>
      <c r="D33" s="1" t="s">
        <v>17</v>
      </c>
      <c r="E33" s="1" t="s">
        <v>17</v>
      </c>
      <c r="F33" s="1" t="s">
        <v>18</v>
      </c>
      <c r="G33" s="1">
        <v>210.83999600000001</v>
      </c>
      <c r="H33" s="1">
        <v>215.92631600000001</v>
      </c>
      <c r="I33" s="2">
        <f t="shared" si="0"/>
        <v>2.4124075585734692E-2</v>
      </c>
      <c r="J33" s="4">
        <v>19.07</v>
      </c>
      <c r="K33" s="5">
        <v>1.3539998326450589E-4</v>
      </c>
    </row>
    <row r="34" spans="1:11">
      <c r="A34" s="1" t="s">
        <v>52</v>
      </c>
      <c r="B34" s="1">
        <v>1</v>
      </c>
      <c r="C34" s="1">
        <v>1</v>
      </c>
      <c r="D34" s="1" t="s">
        <v>18</v>
      </c>
      <c r="E34" s="1" t="s">
        <v>17</v>
      </c>
      <c r="F34" s="1" t="s">
        <v>18</v>
      </c>
      <c r="G34" s="1">
        <v>10.36</v>
      </c>
      <c r="H34" s="1">
        <v>11.716896</v>
      </c>
      <c r="I34" s="2">
        <f t="shared" ref="I34:I65" si="1">ABS(H34-G34)/G34</f>
        <v>0.13097451737451746</v>
      </c>
      <c r="J34" s="4">
        <v>18.61</v>
      </c>
      <c r="K34" s="5">
        <v>1.3509998098015791E-4</v>
      </c>
    </row>
    <row r="35" spans="1:11">
      <c r="A35" s="1" t="s">
        <v>53</v>
      </c>
      <c r="B35" s="1">
        <v>3</v>
      </c>
      <c r="C35" s="1">
        <v>15</v>
      </c>
      <c r="D35" s="1" t="s">
        <v>18</v>
      </c>
      <c r="E35" s="1" t="s">
        <v>18</v>
      </c>
      <c r="F35" s="1" t="s">
        <v>18</v>
      </c>
      <c r="G35" s="1">
        <v>31.36</v>
      </c>
      <c r="H35" s="1">
        <v>29.893011999999999</v>
      </c>
      <c r="I35" s="2">
        <f t="shared" si="1"/>
        <v>4.677895408163267E-2</v>
      </c>
      <c r="J35" s="4">
        <v>18.75</v>
      </c>
      <c r="K35" s="5">
        <v>1.3470003614202139E-4</v>
      </c>
    </row>
    <row r="36" spans="1:11">
      <c r="A36" s="1" t="s">
        <v>54</v>
      </c>
      <c r="B36" s="1">
        <v>32</v>
      </c>
      <c r="C36" s="1">
        <v>3</v>
      </c>
      <c r="D36" s="1" t="s">
        <v>17</v>
      </c>
      <c r="E36" s="1" t="s">
        <v>18</v>
      </c>
      <c r="F36" s="1" t="s">
        <v>18</v>
      </c>
      <c r="G36" s="1">
        <v>430.07999100000001</v>
      </c>
      <c r="H36" s="1">
        <v>425.403772</v>
      </c>
      <c r="I36" s="2">
        <f t="shared" si="1"/>
        <v>1.0872905268452731E-2</v>
      </c>
      <c r="J36" s="4">
        <v>19.55</v>
      </c>
      <c r="K36" s="5">
        <v>1.3470003614202139E-4</v>
      </c>
    </row>
    <row r="37" spans="1:11">
      <c r="A37" s="1" t="s">
        <v>55</v>
      </c>
      <c r="B37" s="1">
        <v>24</v>
      </c>
      <c r="C37" s="1">
        <v>1</v>
      </c>
      <c r="D37" s="1" t="s">
        <v>18</v>
      </c>
      <c r="E37" s="1" t="s">
        <v>18</v>
      </c>
      <c r="F37" s="1" t="s">
        <v>17</v>
      </c>
      <c r="G37" s="1">
        <v>278.88000499999998</v>
      </c>
      <c r="H37" s="1">
        <v>300.962695</v>
      </c>
      <c r="I37" s="2">
        <f t="shared" si="1"/>
        <v>7.9183482516073586E-2</v>
      </c>
      <c r="J37" s="4">
        <v>18.97</v>
      </c>
      <c r="K37" s="5">
        <v>1.3679999392479661E-4</v>
      </c>
    </row>
    <row r="38" spans="1:11">
      <c r="A38" s="1" t="s">
        <v>56</v>
      </c>
      <c r="B38" s="1">
        <v>10</v>
      </c>
      <c r="C38" s="1">
        <v>15</v>
      </c>
      <c r="D38" s="1" t="s">
        <v>17</v>
      </c>
      <c r="E38" s="1" t="s">
        <v>17</v>
      </c>
      <c r="F38" s="1" t="s">
        <v>17</v>
      </c>
      <c r="G38" s="1">
        <v>142.51999699999999</v>
      </c>
      <c r="H38" s="1">
        <v>141.22725299999999</v>
      </c>
      <c r="I38" s="2">
        <f t="shared" si="1"/>
        <v>9.0706148415088655E-3</v>
      </c>
      <c r="J38" s="4">
        <v>18.899999999999999</v>
      </c>
      <c r="K38" s="5">
        <v>1.3780000153929001E-4</v>
      </c>
    </row>
    <row r="39" spans="1:11">
      <c r="A39" s="1" t="s">
        <v>57</v>
      </c>
      <c r="B39" s="1">
        <v>12</v>
      </c>
      <c r="C39" s="1">
        <v>15</v>
      </c>
      <c r="D39" s="1" t="s">
        <v>17</v>
      </c>
      <c r="E39" s="1" t="s">
        <v>17</v>
      </c>
      <c r="F39" s="1" t="s">
        <v>18</v>
      </c>
      <c r="G39" s="1">
        <v>157.07999699999999</v>
      </c>
      <c r="H39" s="1">
        <v>161.646941</v>
      </c>
      <c r="I39" s="2">
        <f t="shared" si="1"/>
        <v>2.9074001064565889E-2</v>
      </c>
      <c r="J39" s="4">
        <v>19.03</v>
      </c>
      <c r="K39" s="5">
        <v>1.3780000153929001E-4</v>
      </c>
    </row>
    <row r="40" spans="1:11">
      <c r="A40" s="1" t="s">
        <v>58</v>
      </c>
      <c r="B40" s="1">
        <v>2</v>
      </c>
      <c r="C40" s="1">
        <v>64</v>
      </c>
      <c r="D40" s="1" t="s">
        <v>18</v>
      </c>
      <c r="E40" s="1" t="s">
        <v>17</v>
      </c>
      <c r="F40" s="1" t="s">
        <v>17</v>
      </c>
      <c r="G40" s="1">
        <v>7.56</v>
      </c>
      <c r="H40" s="1">
        <v>7.56</v>
      </c>
      <c r="I40" s="2">
        <f t="shared" si="1"/>
        <v>0</v>
      </c>
      <c r="J40" s="4">
        <v>19.84</v>
      </c>
      <c r="K40" s="5">
        <v>6.5999920479953289E-6</v>
      </c>
    </row>
    <row r="41" spans="1:11">
      <c r="A41" s="1" t="s">
        <v>59</v>
      </c>
      <c r="B41" s="1">
        <v>6</v>
      </c>
      <c r="C41" s="1">
        <v>2</v>
      </c>
      <c r="D41" s="1" t="s">
        <v>17</v>
      </c>
      <c r="E41" s="1" t="s">
        <v>18</v>
      </c>
      <c r="F41" s="1" t="s">
        <v>17</v>
      </c>
      <c r="G41" s="1">
        <v>65.519998999999999</v>
      </c>
      <c r="H41" s="1">
        <v>60.799754</v>
      </c>
      <c r="I41" s="2">
        <f t="shared" si="1"/>
        <v>7.2042812454865865E-2</v>
      </c>
      <c r="J41" s="4">
        <v>19.13</v>
      </c>
      <c r="K41" s="5">
        <v>1.3999996008351451E-4</v>
      </c>
    </row>
    <row r="42" spans="1:11">
      <c r="A42" s="1" t="s">
        <v>60</v>
      </c>
      <c r="B42" s="1">
        <v>8</v>
      </c>
      <c r="C42" s="1">
        <v>7</v>
      </c>
      <c r="D42" s="1" t="s">
        <v>18</v>
      </c>
      <c r="E42" s="1" t="s">
        <v>18</v>
      </c>
      <c r="F42" s="1" t="s">
        <v>18</v>
      </c>
      <c r="G42" s="1">
        <v>93.800000999999995</v>
      </c>
      <c r="H42" s="1">
        <v>94.433413000000002</v>
      </c>
      <c r="I42" s="2">
        <f t="shared" si="1"/>
        <v>6.7527931049809588E-3</v>
      </c>
      <c r="J42" s="4">
        <v>18.57</v>
      </c>
      <c r="K42" s="5">
        <v>1.38400006107986E-4</v>
      </c>
    </row>
    <row r="43" spans="1:11">
      <c r="A43" s="1" t="s">
        <v>61</v>
      </c>
      <c r="B43" s="1">
        <v>4</v>
      </c>
      <c r="C43" s="1">
        <v>7</v>
      </c>
      <c r="D43" s="1" t="s">
        <v>18</v>
      </c>
      <c r="E43" s="1" t="s">
        <v>18</v>
      </c>
      <c r="F43" s="1" t="s">
        <v>18</v>
      </c>
      <c r="G43" s="1">
        <v>43.12</v>
      </c>
      <c r="H43" s="1">
        <v>42.801091999999997</v>
      </c>
      <c r="I43" s="2">
        <f t="shared" si="1"/>
        <v>7.3958256029684703E-3</v>
      </c>
      <c r="J43" s="4">
        <v>18.850000000000001</v>
      </c>
      <c r="K43" s="5">
        <v>1.3689999468624589E-4</v>
      </c>
    </row>
    <row r="44" spans="1:11">
      <c r="A44" s="1" t="s">
        <v>62</v>
      </c>
      <c r="B44" s="1">
        <v>9</v>
      </c>
      <c r="C44" s="1">
        <v>1</v>
      </c>
      <c r="D44" s="1" t="s">
        <v>18</v>
      </c>
      <c r="E44" s="1" t="s">
        <v>18</v>
      </c>
      <c r="F44" s="1" t="s">
        <v>17</v>
      </c>
      <c r="G44" s="1">
        <v>102.480002</v>
      </c>
      <c r="H44" s="1">
        <v>107.341493</v>
      </c>
      <c r="I44" s="2">
        <f t="shared" si="1"/>
        <v>4.7438435842341233E-2</v>
      </c>
      <c r="J44" s="4">
        <v>19.28</v>
      </c>
      <c r="K44" s="5">
        <v>1.3780000153929001E-4</v>
      </c>
    </row>
    <row r="45" spans="1:11">
      <c r="A45" s="1" t="s">
        <v>63</v>
      </c>
      <c r="B45" s="1">
        <v>7</v>
      </c>
      <c r="C45" s="1">
        <v>5</v>
      </c>
      <c r="D45" s="1" t="s">
        <v>17</v>
      </c>
      <c r="E45" s="1" t="s">
        <v>17</v>
      </c>
      <c r="F45" s="1" t="s">
        <v>17</v>
      </c>
      <c r="G45" s="1">
        <v>98.559997999999993</v>
      </c>
      <c r="H45" s="1">
        <v>100.51772200000001</v>
      </c>
      <c r="I45" s="2">
        <f t="shared" si="1"/>
        <v>1.986327150696587E-2</v>
      </c>
      <c r="J45" s="4">
        <v>19.22</v>
      </c>
      <c r="K45" s="5">
        <v>1.3810000382363799E-4</v>
      </c>
    </row>
    <row r="46" spans="1:11">
      <c r="A46" s="1" t="s">
        <v>64</v>
      </c>
      <c r="B46" s="1">
        <v>5</v>
      </c>
      <c r="C46" s="1">
        <v>7</v>
      </c>
      <c r="D46" s="1" t="s">
        <v>17</v>
      </c>
      <c r="E46" s="1" t="s">
        <v>17</v>
      </c>
      <c r="F46" s="1" t="s">
        <v>18</v>
      </c>
      <c r="G46" s="1">
        <v>64.679998999999995</v>
      </c>
      <c r="H46" s="1">
        <v>66.658034000000001</v>
      </c>
      <c r="I46" s="2">
        <f t="shared" si="1"/>
        <v>3.0581865036825459E-2</v>
      </c>
      <c r="J46" s="4">
        <v>19.23</v>
      </c>
      <c r="K46" s="5">
        <v>1.382000045850873E-4</v>
      </c>
    </row>
    <row r="47" spans="1:11">
      <c r="A47" s="1" t="s">
        <v>65</v>
      </c>
      <c r="B47" s="1">
        <v>16</v>
      </c>
      <c r="C47" s="1">
        <v>8</v>
      </c>
      <c r="D47" s="1" t="s">
        <v>18</v>
      </c>
      <c r="E47" s="1" t="s">
        <v>17</v>
      </c>
      <c r="F47" s="1" t="s">
        <v>18</v>
      </c>
      <c r="G47" s="1">
        <v>203.840001</v>
      </c>
      <c r="H47" s="1">
        <v>190.13385700000001</v>
      </c>
      <c r="I47" s="2">
        <f t="shared" si="1"/>
        <v>6.7239717095566517E-2</v>
      </c>
      <c r="J47" s="4">
        <v>19.23</v>
      </c>
      <c r="K47" s="5">
        <v>1.3599998783320191E-4</v>
      </c>
    </row>
    <row r="48" spans="1:11">
      <c r="A48" s="1" t="s">
        <v>66</v>
      </c>
      <c r="B48" s="1">
        <v>1</v>
      </c>
      <c r="C48" s="1">
        <v>7</v>
      </c>
      <c r="D48" s="1" t="s">
        <v>18</v>
      </c>
      <c r="E48" s="1" t="s">
        <v>18</v>
      </c>
      <c r="F48" s="1" t="s">
        <v>18</v>
      </c>
      <c r="G48" s="1">
        <v>8.68</v>
      </c>
      <c r="H48" s="1">
        <v>7.84</v>
      </c>
      <c r="I48" s="2">
        <f t="shared" si="1"/>
        <v>9.677419354838708E-2</v>
      </c>
      <c r="J48" s="4">
        <v>18.940000000000001</v>
      </c>
      <c r="K48" s="5">
        <v>1.382000045850873E-4</v>
      </c>
    </row>
    <row r="49" spans="1:11">
      <c r="A49" s="1" t="s">
        <v>67</v>
      </c>
      <c r="B49" s="1">
        <v>3</v>
      </c>
      <c r="C49" s="1">
        <v>255</v>
      </c>
      <c r="D49" s="1" t="s">
        <v>18</v>
      </c>
      <c r="E49" s="1" t="s">
        <v>18</v>
      </c>
      <c r="F49" s="1" t="s">
        <v>17</v>
      </c>
      <c r="G49" s="1">
        <v>32.200000000000003</v>
      </c>
      <c r="H49" s="1">
        <v>29.893011999999999</v>
      </c>
      <c r="I49" s="2">
        <f t="shared" si="1"/>
        <v>7.1645590062111922E-2</v>
      </c>
      <c r="J49" s="4">
        <v>18.91</v>
      </c>
      <c r="K49" s="5">
        <v>1.38400006107986E-4</v>
      </c>
    </row>
    <row r="50" spans="1:11">
      <c r="A50" s="1" t="s">
        <v>68</v>
      </c>
      <c r="B50" s="1">
        <v>32</v>
      </c>
      <c r="C50" s="1">
        <v>3</v>
      </c>
      <c r="D50" s="1" t="s">
        <v>17</v>
      </c>
      <c r="E50" s="1" t="s">
        <v>18</v>
      </c>
      <c r="F50" s="1" t="s">
        <v>17</v>
      </c>
      <c r="G50" s="1">
        <v>430.91999099999998</v>
      </c>
      <c r="H50" s="1">
        <v>425.403772</v>
      </c>
      <c r="I50" s="2">
        <f t="shared" si="1"/>
        <v>1.2801028300402008E-2</v>
      </c>
      <c r="J50" s="4">
        <v>19.52</v>
      </c>
      <c r="K50" s="5">
        <v>1.456000027246773E-4</v>
      </c>
    </row>
    <row r="51" spans="1:11">
      <c r="A51" s="1" t="s">
        <v>69</v>
      </c>
      <c r="B51" s="1">
        <v>24</v>
      </c>
      <c r="C51" s="1">
        <v>5</v>
      </c>
      <c r="D51" s="1" t="s">
        <v>18</v>
      </c>
      <c r="E51" s="1" t="s">
        <v>17</v>
      </c>
      <c r="F51" s="1" t="s">
        <v>17</v>
      </c>
      <c r="G51" s="1">
        <v>330.40000199999997</v>
      </c>
      <c r="H51" s="1">
        <v>314.48273899999998</v>
      </c>
      <c r="I51" s="2">
        <f t="shared" si="1"/>
        <v>4.8175735180534265E-2</v>
      </c>
      <c r="J51" s="4">
        <v>19.27</v>
      </c>
      <c r="K51" s="5">
        <v>9.3000009655952454E-5</v>
      </c>
    </row>
    <row r="52" spans="1:11">
      <c r="A52" s="1" t="s">
        <v>70</v>
      </c>
      <c r="B52" s="1">
        <v>10</v>
      </c>
      <c r="C52" s="1">
        <v>31</v>
      </c>
      <c r="D52" s="1" t="s">
        <v>17</v>
      </c>
      <c r="E52" s="1" t="s">
        <v>17</v>
      </c>
      <c r="F52" s="1" t="s">
        <v>18</v>
      </c>
      <c r="G52" s="1">
        <v>128.51999699999999</v>
      </c>
      <c r="H52" s="1">
        <v>134.50725299999999</v>
      </c>
      <c r="I52" s="2">
        <f t="shared" si="1"/>
        <v>4.6586182226568233E-2</v>
      </c>
      <c r="J52" s="4">
        <v>19.559999999999999</v>
      </c>
      <c r="K52" s="5">
        <v>8.1299978774040937E-5</v>
      </c>
    </row>
    <row r="53" spans="1:11">
      <c r="A53" s="1" t="s">
        <v>71</v>
      </c>
      <c r="B53" s="1">
        <v>12</v>
      </c>
      <c r="C53" s="1">
        <v>7</v>
      </c>
      <c r="D53" s="1" t="s">
        <v>18</v>
      </c>
      <c r="E53" s="1" t="s">
        <v>17</v>
      </c>
      <c r="F53" s="1" t="s">
        <v>17</v>
      </c>
      <c r="G53" s="1">
        <v>162.680001</v>
      </c>
      <c r="H53" s="1">
        <v>159.58577700000001</v>
      </c>
      <c r="I53" s="2">
        <f t="shared" si="1"/>
        <v>1.9020309693752686E-2</v>
      </c>
      <c r="J53" s="4">
        <v>19.16</v>
      </c>
      <c r="K53" s="5">
        <v>7.3900038842111826E-5</v>
      </c>
    </row>
    <row r="54" spans="1:11">
      <c r="A54" s="1" t="s">
        <v>72</v>
      </c>
      <c r="B54" s="1">
        <v>2</v>
      </c>
      <c r="C54" s="1">
        <v>64</v>
      </c>
      <c r="D54" s="1" t="s">
        <v>18</v>
      </c>
      <c r="E54" s="1" t="s">
        <v>17</v>
      </c>
      <c r="F54" s="1" t="s">
        <v>18</v>
      </c>
      <c r="G54" s="1">
        <v>1.68</v>
      </c>
      <c r="H54" s="1">
        <v>1.68</v>
      </c>
      <c r="I54" s="2">
        <f t="shared" si="1"/>
        <v>0</v>
      </c>
      <c r="J54" s="4">
        <v>18.82</v>
      </c>
      <c r="K54" s="5">
        <v>2.8000213205814362E-6</v>
      </c>
    </row>
    <row r="55" spans="1:11">
      <c r="A55" s="1" t="s">
        <v>73</v>
      </c>
      <c r="B55" s="1">
        <v>6</v>
      </c>
      <c r="C55" s="1">
        <v>16</v>
      </c>
      <c r="D55" s="1" t="s">
        <v>18</v>
      </c>
      <c r="E55" s="1" t="s">
        <v>17</v>
      </c>
      <c r="F55" s="1" t="s">
        <v>18</v>
      </c>
      <c r="G55" s="1">
        <v>59.080001000000003</v>
      </c>
      <c r="H55" s="1">
        <v>55.984976000000003</v>
      </c>
      <c r="I55" s="2">
        <f t="shared" si="1"/>
        <v>5.2387016716536609E-2</v>
      </c>
      <c r="J55" s="4">
        <v>19.11</v>
      </c>
      <c r="K55" s="5">
        <v>7.2999973781406879E-5</v>
      </c>
    </row>
    <row r="56" spans="1:11">
      <c r="A56" s="1" t="s">
        <v>74</v>
      </c>
      <c r="B56" s="1">
        <v>8</v>
      </c>
      <c r="C56" s="1">
        <v>15</v>
      </c>
      <c r="D56" s="1" t="s">
        <v>17</v>
      </c>
      <c r="E56" s="1" t="s">
        <v>18</v>
      </c>
      <c r="F56" s="1" t="s">
        <v>18</v>
      </c>
      <c r="G56" s="1">
        <v>100.799998</v>
      </c>
      <c r="H56" s="1">
        <v>99.727521999999993</v>
      </c>
      <c r="I56" s="2">
        <f t="shared" si="1"/>
        <v>1.0639643068246975E-2</v>
      </c>
      <c r="J56" s="4">
        <v>19.2</v>
      </c>
      <c r="K56" s="5">
        <v>7.0799957029521465E-5</v>
      </c>
    </row>
    <row r="57" spans="1:11">
      <c r="A57" s="1" t="s">
        <v>75</v>
      </c>
      <c r="B57" s="1">
        <v>4</v>
      </c>
      <c r="C57" s="1">
        <v>16</v>
      </c>
      <c r="D57" s="1" t="s">
        <v>18</v>
      </c>
      <c r="E57" s="1" t="s">
        <v>17</v>
      </c>
      <c r="F57" s="1" t="s">
        <v>17</v>
      </c>
      <c r="G57" s="1">
        <v>9.24</v>
      </c>
      <c r="H57" s="1">
        <v>9.24</v>
      </c>
      <c r="I57" s="2">
        <f t="shared" si="1"/>
        <v>0</v>
      </c>
      <c r="J57" s="4">
        <v>19.18</v>
      </c>
      <c r="K57" s="5">
        <v>2.6999623514711861E-6</v>
      </c>
    </row>
    <row r="58" spans="1:11">
      <c r="A58" s="1" t="s">
        <v>76</v>
      </c>
      <c r="B58" s="1">
        <v>9</v>
      </c>
      <c r="C58" s="1">
        <v>3</v>
      </c>
      <c r="D58" s="1" t="s">
        <v>18</v>
      </c>
      <c r="E58" s="1" t="s">
        <v>18</v>
      </c>
      <c r="F58" s="1" t="s">
        <v>17</v>
      </c>
      <c r="G58" s="1">
        <v>108.640001</v>
      </c>
      <c r="H58" s="1">
        <v>107.341493</v>
      </c>
      <c r="I58" s="2">
        <f t="shared" si="1"/>
        <v>1.1952393115313008E-2</v>
      </c>
      <c r="J58" s="4">
        <v>19.12</v>
      </c>
      <c r="K58" s="5">
        <v>7.0400012191385031E-5</v>
      </c>
    </row>
    <row r="59" spans="1:11">
      <c r="A59" s="1" t="s">
        <v>77</v>
      </c>
      <c r="B59" s="1">
        <v>7</v>
      </c>
      <c r="C59" s="1">
        <v>15</v>
      </c>
      <c r="D59" s="1" t="s">
        <v>18</v>
      </c>
      <c r="E59" s="1" t="s">
        <v>18</v>
      </c>
      <c r="F59" s="1" t="s">
        <v>17</v>
      </c>
      <c r="G59" s="1">
        <v>77.560001</v>
      </c>
      <c r="H59" s="1">
        <v>81.525332000000006</v>
      </c>
      <c r="I59" s="2">
        <f t="shared" si="1"/>
        <v>5.1125979227359813E-2</v>
      </c>
      <c r="J59" s="4">
        <v>18.809999999999999</v>
      </c>
      <c r="K59" s="5">
        <v>7.0400012191385031E-5</v>
      </c>
    </row>
    <row r="60" spans="1:11">
      <c r="A60" s="1" t="s">
        <v>78</v>
      </c>
      <c r="B60" s="1">
        <v>5</v>
      </c>
      <c r="C60" s="1">
        <v>16</v>
      </c>
      <c r="D60" s="1" t="s">
        <v>17</v>
      </c>
      <c r="E60" s="1" t="s">
        <v>18</v>
      </c>
      <c r="F60" s="1" t="s">
        <v>17</v>
      </c>
      <c r="G60" s="1">
        <v>14.28</v>
      </c>
      <c r="H60" s="1">
        <v>11.86567</v>
      </c>
      <c r="I60" s="2">
        <f t="shared" si="1"/>
        <v>0.1690707282913165</v>
      </c>
      <c r="J60" s="4">
        <v>19.309999999999999</v>
      </c>
      <c r="K60" s="5">
        <v>7.0200010668486357E-5</v>
      </c>
    </row>
    <row r="61" spans="1:11">
      <c r="A61" s="1" t="s">
        <v>79</v>
      </c>
      <c r="B61" s="1">
        <v>16</v>
      </c>
      <c r="C61" s="1">
        <v>8</v>
      </c>
      <c r="D61" s="1" t="s">
        <v>18</v>
      </c>
      <c r="E61" s="1" t="s">
        <v>18</v>
      </c>
      <c r="F61" s="1" t="s">
        <v>18</v>
      </c>
      <c r="G61" s="1">
        <v>180.04000199999999</v>
      </c>
      <c r="H61" s="1">
        <v>182.49381299999999</v>
      </c>
      <c r="I61" s="2">
        <f t="shared" si="1"/>
        <v>1.3629254458684143E-2</v>
      </c>
      <c r="J61" s="4">
        <v>19.559999999999999</v>
      </c>
      <c r="K61" s="5">
        <v>7.1200018282979727E-5</v>
      </c>
    </row>
    <row r="62" spans="1:11">
      <c r="A62" s="1" t="s">
        <v>80</v>
      </c>
      <c r="B62" s="1">
        <v>1</v>
      </c>
      <c r="C62" s="1">
        <v>8</v>
      </c>
      <c r="D62" s="1" t="s">
        <v>17</v>
      </c>
      <c r="E62" s="1" t="s">
        <v>18</v>
      </c>
      <c r="F62" s="1" t="s">
        <v>18</v>
      </c>
      <c r="G62" s="1">
        <v>0.84</v>
      </c>
      <c r="H62" s="1">
        <v>0.84</v>
      </c>
      <c r="I62" s="2">
        <f t="shared" si="1"/>
        <v>0</v>
      </c>
      <c r="J62" s="4">
        <v>18.989999999999998</v>
      </c>
      <c r="K62" s="5">
        <v>2.6000197976827621E-6</v>
      </c>
    </row>
    <row r="63" spans="1:11">
      <c r="A63" s="1" t="s">
        <v>81</v>
      </c>
      <c r="B63" s="1">
        <v>3</v>
      </c>
      <c r="C63" s="1">
        <v>16</v>
      </c>
      <c r="D63" s="1" t="s">
        <v>17</v>
      </c>
      <c r="E63" s="1" t="s">
        <v>17</v>
      </c>
      <c r="F63" s="1" t="s">
        <v>17</v>
      </c>
      <c r="G63" s="1">
        <v>9.24</v>
      </c>
      <c r="H63" s="1">
        <v>9.24</v>
      </c>
      <c r="I63" s="2">
        <f t="shared" si="1"/>
        <v>0</v>
      </c>
      <c r="J63" s="4">
        <v>18.93</v>
      </c>
      <c r="K63" s="5">
        <v>2.6000197976827621E-6</v>
      </c>
    </row>
    <row r="64" spans="1:11">
      <c r="A64" s="1" t="s">
        <v>82</v>
      </c>
      <c r="B64" s="1">
        <v>32</v>
      </c>
      <c r="C64" s="1">
        <v>8</v>
      </c>
      <c r="D64" s="1" t="s">
        <v>17</v>
      </c>
      <c r="E64" s="1" t="s">
        <v>18</v>
      </c>
      <c r="F64" s="1" t="s">
        <v>18</v>
      </c>
      <c r="G64" s="1">
        <v>393.11999200000002</v>
      </c>
      <c r="H64" s="1">
        <v>390.03953200000001</v>
      </c>
      <c r="I64" s="2">
        <f t="shared" si="1"/>
        <v>7.8359281203892982E-3</v>
      </c>
      <c r="J64" s="4">
        <v>19.13</v>
      </c>
      <c r="K64" s="5">
        <v>9.699998190626502E-5</v>
      </c>
    </row>
    <row r="65" spans="1:11">
      <c r="A65" s="1" t="s">
        <v>83</v>
      </c>
      <c r="B65" s="1">
        <v>24</v>
      </c>
      <c r="C65" s="1">
        <v>1</v>
      </c>
      <c r="D65" s="1" t="s">
        <v>17</v>
      </c>
      <c r="E65" s="1" t="s">
        <v>17</v>
      </c>
      <c r="F65" s="1" t="s">
        <v>18</v>
      </c>
      <c r="G65" s="1">
        <v>316.11999600000001</v>
      </c>
      <c r="H65" s="1">
        <v>324.48506600000002</v>
      </c>
      <c r="I65" s="2">
        <f t="shared" si="1"/>
        <v>2.6461692097452773E-2</v>
      </c>
      <c r="J65" s="4">
        <v>19.309999999999999</v>
      </c>
      <c r="K65" s="5">
        <v>7.1000016760081053E-5</v>
      </c>
    </row>
    <row r="66" spans="1:11">
      <c r="A66" s="1" t="s">
        <v>84</v>
      </c>
      <c r="B66" s="1">
        <v>10</v>
      </c>
      <c r="C66" s="1">
        <v>7</v>
      </c>
      <c r="D66" s="1" t="s">
        <v>18</v>
      </c>
      <c r="E66" s="1" t="s">
        <v>18</v>
      </c>
      <c r="F66" s="1" t="s">
        <v>18</v>
      </c>
      <c r="G66" s="1">
        <v>120.120001</v>
      </c>
      <c r="H66" s="1">
        <v>120.249573</v>
      </c>
      <c r="I66" s="2">
        <f t="shared" ref="I66:I97" si="2">ABS(H66-G66)/G66</f>
        <v>1.0786879697078592E-3</v>
      </c>
      <c r="J66" s="4">
        <v>18.940000000000001</v>
      </c>
      <c r="K66" s="5">
        <v>7.0599955506622791E-5</v>
      </c>
    </row>
    <row r="67" spans="1:11">
      <c r="A67" s="1" t="s">
        <v>85</v>
      </c>
      <c r="B67" s="1">
        <v>12</v>
      </c>
      <c r="C67" s="1">
        <v>5</v>
      </c>
      <c r="D67" s="1" t="s">
        <v>17</v>
      </c>
      <c r="E67" s="1" t="s">
        <v>18</v>
      </c>
      <c r="F67" s="1" t="s">
        <v>17</v>
      </c>
      <c r="G67" s="1">
        <v>158.199997</v>
      </c>
      <c r="H67" s="1">
        <v>154.00689700000001</v>
      </c>
      <c r="I67" s="2">
        <f t="shared" si="2"/>
        <v>2.6505057392636911E-2</v>
      </c>
      <c r="J67" s="4">
        <v>19.190000000000001</v>
      </c>
      <c r="K67" s="5">
        <v>7.0400012191385031E-5</v>
      </c>
    </row>
    <row r="68" spans="1:11">
      <c r="A68" s="1" t="s">
        <v>86</v>
      </c>
      <c r="B68" s="1">
        <v>2</v>
      </c>
      <c r="C68" s="1">
        <v>255</v>
      </c>
      <c r="D68" s="1" t="s">
        <v>17</v>
      </c>
      <c r="E68" s="1" t="s">
        <v>18</v>
      </c>
      <c r="F68" s="1" t="s">
        <v>18</v>
      </c>
      <c r="G68" s="1">
        <v>20.439999</v>
      </c>
      <c r="H68" s="1">
        <v>18.308458999999999</v>
      </c>
      <c r="I68" s="2">
        <f t="shared" si="2"/>
        <v>0.10428278396686816</v>
      </c>
      <c r="J68" s="4">
        <v>18.690000000000001</v>
      </c>
      <c r="K68" s="5">
        <v>7.0200010668486357E-5</v>
      </c>
    </row>
    <row r="69" spans="1:11">
      <c r="A69" s="1" t="s">
        <v>87</v>
      </c>
      <c r="B69" s="1">
        <v>6</v>
      </c>
      <c r="C69" s="1">
        <v>1</v>
      </c>
      <c r="D69" s="1" t="s">
        <v>17</v>
      </c>
      <c r="E69" s="1" t="s">
        <v>17</v>
      </c>
      <c r="F69" s="1" t="s">
        <v>18</v>
      </c>
      <c r="G69" s="1">
        <v>77.279999000000004</v>
      </c>
      <c r="H69" s="1">
        <v>80.227878000000004</v>
      </c>
      <c r="I69" s="2">
        <f t="shared" si="2"/>
        <v>3.8145432688217303E-2</v>
      </c>
      <c r="J69" s="4">
        <v>18.82</v>
      </c>
      <c r="K69" s="5">
        <v>6.9600006099790335E-5</v>
      </c>
    </row>
    <row r="70" spans="1:11">
      <c r="A70" s="1" t="s">
        <v>88</v>
      </c>
      <c r="B70" s="1">
        <v>8</v>
      </c>
      <c r="C70" s="1">
        <v>2</v>
      </c>
      <c r="D70" s="1" t="s">
        <v>17</v>
      </c>
      <c r="E70" s="1" t="s">
        <v>18</v>
      </c>
      <c r="F70" s="1" t="s">
        <v>17</v>
      </c>
      <c r="G70" s="1">
        <v>93.519998000000001</v>
      </c>
      <c r="H70" s="1">
        <v>87.939442</v>
      </c>
      <c r="I70" s="2">
        <f t="shared" si="2"/>
        <v>5.9672328051161863E-2</v>
      </c>
      <c r="J70" s="4">
        <v>18.739999999999998</v>
      </c>
      <c r="K70" s="5">
        <v>6.9400004576891661E-5</v>
      </c>
    </row>
    <row r="71" spans="1:11">
      <c r="A71" s="1" t="s">
        <v>89</v>
      </c>
      <c r="B71" s="1">
        <v>4</v>
      </c>
      <c r="C71" s="1">
        <v>16</v>
      </c>
      <c r="D71" s="1" t="s">
        <v>17</v>
      </c>
      <c r="E71" s="1" t="s">
        <v>17</v>
      </c>
      <c r="F71" s="1" t="s">
        <v>17</v>
      </c>
      <c r="G71" s="1">
        <v>10.08</v>
      </c>
      <c r="H71" s="1">
        <v>10.08</v>
      </c>
      <c r="I71" s="2">
        <f t="shared" si="2"/>
        <v>0</v>
      </c>
      <c r="J71" s="4">
        <v>18.73</v>
      </c>
      <c r="K71" s="5">
        <v>2.8999638743698601E-6</v>
      </c>
    </row>
    <row r="72" spans="1:11">
      <c r="A72" s="1" t="s">
        <v>90</v>
      </c>
      <c r="B72" s="1">
        <v>9</v>
      </c>
      <c r="C72" s="1">
        <v>15</v>
      </c>
      <c r="D72" s="1" t="s">
        <v>17</v>
      </c>
      <c r="E72" s="1" t="s">
        <v>17</v>
      </c>
      <c r="F72" s="1" t="s">
        <v>18</v>
      </c>
      <c r="G72" s="1">
        <v>120.119998</v>
      </c>
      <c r="H72" s="1">
        <v>120.93741</v>
      </c>
      <c r="I72" s="2">
        <f t="shared" si="2"/>
        <v>6.8049618182644701E-3</v>
      </c>
      <c r="J72" s="4">
        <v>19.12</v>
      </c>
      <c r="K72" s="5">
        <v>7.3199975304305553E-5</v>
      </c>
    </row>
    <row r="73" spans="1:11">
      <c r="A73" s="1" t="s">
        <v>91</v>
      </c>
      <c r="B73" s="1">
        <v>7</v>
      </c>
      <c r="C73" s="1">
        <v>2</v>
      </c>
      <c r="D73" s="1" t="s">
        <v>18</v>
      </c>
      <c r="E73" s="1" t="s">
        <v>18</v>
      </c>
      <c r="F73" s="1" t="s">
        <v>18</v>
      </c>
      <c r="G73" s="1">
        <v>78.400001000000003</v>
      </c>
      <c r="H73" s="1">
        <v>76.457251999999997</v>
      </c>
      <c r="I73" s="2">
        <f t="shared" si="2"/>
        <v>2.4779961418623021E-2</v>
      </c>
      <c r="J73" s="4">
        <v>19.37</v>
      </c>
      <c r="K73" s="5">
        <v>7.029995322227478E-5</v>
      </c>
    </row>
    <row r="74" spans="1:11">
      <c r="A74" s="1" t="s">
        <v>92</v>
      </c>
      <c r="B74" s="1">
        <v>5</v>
      </c>
      <c r="C74" s="1">
        <v>5</v>
      </c>
      <c r="D74" s="1" t="s">
        <v>18</v>
      </c>
      <c r="E74" s="1" t="s">
        <v>17</v>
      </c>
      <c r="F74" s="1" t="s">
        <v>17</v>
      </c>
      <c r="G74" s="1">
        <v>69.440000999999995</v>
      </c>
      <c r="H74" s="1">
        <v>69.229215999999994</v>
      </c>
      <c r="I74" s="2">
        <f t="shared" si="2"/>
        <v>3.0354982281754483E-3</v>
      </c>
      <c r="J74" s="4">
        <v>19.11</v>
      </c>
      <c r="K74" s="5">
        <v>7.5599993579089642E-5</v>
      </c>
    </row>
    <row r="75" spans="1:11">
      <c r="A75" s="1" t="s">
        <v>93</v>
      </c>
      <c r="B75" s="1">
        <v>16</v>
      </c>
      <c r="C75" s="1">
        <v>2</v>
      </c>
      <c r="D75" s="1" t="s">
        <v>18</v>
      </c>
      <c r="E75" s="1" t="s">
        <v>17</v>
      </c>
      <c r="F75" s="1" t="s">
        <v>17</v>
      </c>
      <c r="G75" s="1">
        <v>217.000001</v>
      </c>
      <c r="H75" s="1">
        <v>206.15001799999999</v>
      </c>
      <c r="I75" s="2">
        <f t="shared" si="2"/>
        <v>4.9999921428571834E-2</v>
      </c>
      <c r="J75" s="4">
        <v>19.57</v>
      </c>
      <c r="K75" s="5">
        <v>7.0900015998631716E-5</v>
      </c>
    </row>
    <row r="76" spans="1:11">
      <c r="A76" s="1" t="s">
        <v>94</v>
      </c>
      <c r="B76" s="1">
        <v>1</v>
      </c>
      <c r="C76" s="1">
        <v>255</v>
      </c>
      <c r="D76" s="1" t="s">
        <v>18</v>
      </c>
      <c r="E76" s="1" t="s">
        <v>18</v>
      </c>
      <c r="F76" s="1" t="s">
        <v>18</v>
      </c>
      <c r="G76" s="1">
        <v>8.68</v>
      </c>
      <c r="H76" s="1">
        <v>7.84</v>
      </c>
      <c r="I76" s="2">
        <f t="shared" si="2"/>
        <v>9.677419354838708E-2</v>
      </c>
      <c r="J76" s="4">
        <v>19.04</v>
      </c>
      <c r="K76" s="5">
        <v>7.0500012952834368E-5</v>
      </c>
    </row>
    <row r="77" spans="1:11">
      <c r="A77" s="1" t="s">
        <v>95</v>
      </c>
      <c r="B77" s="1">
        <v>3</v>
      </c>
      <c r="C77" s="1">
        <v>31</v>
      </c>
      <c r="D77" s="1" t="s">
        <v>18</v>
      </c>
      <c r="E77" s="1" t="s">
        <v>18</v>
      </c>
      <c r="F77" s="1" t="s">
        <v>17</v>
      </c>
      <c r="G77" s="1">
        <v>32.200000000000003</v>
      </c>
      <c r="H77" s="1">
        <v>29.893011999999999</v>
      </c>
      <c r="I77" s="2">
        <f t="shared" si="2"/>
        <v>7.1645590062111922E-2</v>
      </c>
      <c r="J77" s="4">
        <v>19.05</v>
      </c>
      <c r="K77" s="5">
        <v>7.0200010668486357E-5</v>
      </c>
    </row>
    <row r="78" spans="1:11">
      <c r="A78" s="1" t="s">
        <v>96</v>
      </c>
      <c r="B78" s="1">
        <v>32</v>
      </c>
      <c r="C78" s="1">
        <v>15</v>
      </c>
      <c r="D78" s="1" t="s">
        <v>18</v>
      </c>
      <c r="E78" s="1" t="s">
        <v>18</v>
      </c>
      <c r="F78" s="1" t="s">
        <v>18</v>
      </c>
      <c r="G78" s="1">
        <v>382.76000299999998</v>
      </c>
      <c r="H78" s="1">
        <v>404.22733599999998</v>
      </c>
      <c r="I78" s="2">
        <f t="shared" si="2"/>
        <v>5.6085622405013927E-2</v>
      </c>
      <c r="J78" s="4">
        <v>18.39</v>
      </c>
      <c r="K78" s="5">
        <v>6.9900008384138346E-5</v>
      </c>
    </row>
    <row r="79" spans="1:11">
      <c r="A79" s="1" t="s">
        <v>97</v>
      </c>
      <c r="B79" s="1">
        <v>24</v>
      </c>
      <c r="C79" s="1">
        <v>7</v>
      </c>
      <c r="D79" s="1" t="s">
        <v>18</v>
      </c>
      <c r="E79" s="1" t="s">
        <v>17</v>
      </c>
      <c r="F79" s="1" t="s">
        <v>18</v>
      </c>
      <c r="G79" s="1">
        <v>323.40000199999997</v>
      </c>
      <c r="H79" s="1">
        <v>308.60273899999999</v>
      </c>
      <c r="I79" s="2">
        <f t="shared" si="2"/>
        <v>4.5755296563046985E-2</v>
      </c>
      <c r="J79" s="4">
        <v>19.079999999999998</v>
      </c>
      <c r="K79" s="5">
        <v>7.0500012952834368E-5</v>
      </c>
    </row>
    <row r="80" spans="1:11">
      <c r="A80" s="1" t="s">
        <v>98</v>
      </c>
      <c r="B80" s="1">
        <v>10</v>
      </c>
      <c r="C80" s="1">
        <v>1</v>
      </c>
      <c r="D80" s="1" t="s">
        <v>17</v>
      </c>
      <c r="E80" s="1" t="s">
        <v>17</v>
      </c>
      <c r="F80" s="1" t="s">
        <v>17</v>
      </c>
      <c r="G80" s="1">
        <v>136.63999799999999</v>
      </c>
      <c r="H80" s="1">
        <v>141.22725299999999</v>
      </c>
      <c r="I80" s="2">
        <f t="shared" si="2"/>
        <v>3.3571831580383946E-2</v>
      </c>
      <c r="J80" s="4">
        <v>19.059999999999999</v>
      </c>
      <c r="K80" s="5">
        <v>6.9800007622689009E-5</v>
      </c>
    </row>
    <row r="81" spans="1:11">
      <c r="A81" s="1" t="s">
        <v>99</v>
      </c>
      <c r="B81" s="1">
        <v>12</v>
      </c>
      <c r="C81" s="1">
        <v>16</v>
      </c>
      <c r="D81" s="1" t="s">
        <v>18</v>
      </c>
      <c r="E81" s="1" t="s">
        <v>17</v>
      </c>
      <c r="F81" s="1" t="s">
        <v>18</v>
      </c>
      <c r="G81" s="1">
        <v>144.48000099999999</v>
      </c>
      <c r="H81" s="1">
        <v>133.433457</v>
      </c>
      <c r="I81" s="2">
        <f t="shared" si="2"/>
        <v>7.6457253069924777E-2</v>
      </c>
      <c r="J81" s="4">
        <v>18.8</v>
      </c>
      <c r="K81" s="5">
        <v>7.0300011429935694E-5</v>
      </c>
    </row>
    <row r="82" spans="1:11">
      <c r="A82" s="1" t="s">
        <v>100</v>
      </c>
      <c r="B82" s="1">
        <v>2</v>
      </c>
      <c r="C82" s="1">
        <v>15</v>
      </c>
      <c r="D82" s="1" t="s">
        <v>17</v>
      </c>
      <c r="E82" s="1" t="s">
        <v>18</v>
      </c>
      <c r="F82" s="1" t="s">
        <v>17</v>
      </c>
      <c r="G82" s="1">
        <v>21.279999</v>
      </c>
      <c r="H82" s="1">
        <v>18.308458999999999</v>
      </c>
      <c r="I82" s="2">
        <f t="shared" si="2"/>
        <v>0.13964004415601716</v>
      </c>
      <c r="J82" s="4">
        <v>18.649999999999999</v>
      </c>
      <c r="K82" s="5">
        <v>7.1599963121116161E-5</v>
      </c>
    </row>
    <row r="83" spans="1:11">
      <c r="A83" s="1" t="s">
        <v>101</v>
      </c>
      <c r="B83" s="1">
        <v>6</v>
      </c>
      <c r="C83" s="1">
        <v>3</v>
      </c>
      <c r="D83" s="1" t="s">
        <v>17</v>
      </c>
      <c r="E83" s="1" t="s">
        <v>17</v>
      </c>
      <c r="F83" s="1" t="s">
        <v>18</v>
      </c>
      <c r="G83" s="1">
        <v>78.679997999999998</v>
      </c>
      <c r="H83" s="1">
        <v>80.227878000000004</v>
      </c>
      <c r="I83" s="2">
        <f t="shared" si="2"/>
        <v>1.9673106753256481E-2</v>
      </c>
      <c r="J83" s="4">
        <v>19.149999999999999</v>
      </c>
      <c r="K83" s="5">
        <v>7.0800015237182379E-5</v>
      </c>
    </row>
    <row r="84" spans="1:11">
      <c r="A84" s="1" t="s">
        <v>102</v>
      </c>
      <c r="B84" s="1">
        <v>8</v>
      </c>
      <c r="C84" s="1">
        <v>5</v>
      </c>
      <c r="D84" s="1" t="s">
        <v>17</v>
      </c>
      <c r="E84" s="1" t="s">
        <v>18</v>
      </c>
      <c r="F84" s="1" t="s">
        <v>17</v>
      </c>
      <c r="G84" s="1">
        <v>107.239998</v>
      </c>
      <c r="H84" s="1">
        <v>99.727521999999993</v>
      </c>
      <c r="I84" s="2">
        <f t="shared" si="2"/>
        <v>7.0052929318406051E-2</v>
      </c>
      <c r="J84" s="4">
        <v>18.73</v>
      </c>
      <c r="K84" s="5">
        <v>7.1699963882565498E-5</v>
      </c>
    </row>
    <row r="85" spans="1:11">
      <c r="A85" s="1" t="s">
        <v>103</v>
      </c>
      <c r="B85" s="1">
        <v>4</v>
      </c>
      <c r="C85" s="1">
        <v>15</v>
      </c>
      <c r="D85" s="1" t="s">
        <v>17</v>
      </c>
      <c r="E85" s="1" t="s">
        <v>17</v>
      </c>
      <c r="F85" s="1" t="s">
        <v>18</v>
      </c>
      <c r="G85" s="1">
        <v>43.119999</v>
      </c>
      <c r="H85" s="1">
        <v>53.088191000000002</v>
      </c>
      <c r="I85" s="2">
        <f t="shared" si="2"/>
        <v>0.23117328922015981</v>
      </c>
      <c r="J85" s="4">
        <v>18.559999999999999</v>
      </c>
      <c r="K85" s="5">
        <v>7.0599955506622791E-5</v>
      </c>
    </row>
    <row r="86" spans="1:11">
      <c r="A86" s="1" t="s">
        <v>104</v>
      </c>
      <c r="B86" s="1">
        <v>9</v>
      </c>
      <c r="C86" s="1">
        <v>15</v>
      </c>
      <c r="D86" s="1" t="s">
        <v>18</v>
      </c>
      <c r="E86" s="1" t="s">
        <v>18</v>
      </c>
      <c r="F86" s="1" t="s">
        <v>18</v>
      </c>
      <c r="G86" s="1">
        <v>105.000001</v>
      </c>
      <c r="H86" s="1">
        <v>107.341493</v>
      </c>
      <c r="I86" s="2">
        <f t="shared" si="2"/>
        <v>2.2299923597143608E-2</v>
      </c>
      <c r="J86" s="4">
        <v>19.13</v>
      </c>
      <c r="K86" s="5">
        <v>7.0199952460825443E-5</v>
      </c>
    </row>
    <row r="87" spans="1:11">
      <c r="A87" s="1" t="s">
        <v>105</v>
      </c>
      <c r="B87" s="1">
        <v>7</v>
      </c>
      <c r="C87" s="1">
        <v>7</v>
      </c>
      <c r="D87" s="1" t="s">
        <v>18</v>
      </c>
      <c r="E87" s="1" t="s">
        <v>18</v>
      </c>
      <c r="F87" s="1" t="s">
        <v>18</v>
      </c>
      <c r="G87" s="1">
        <v>78.400001000000003</v>
      </c>
      <c r="H87" s="1">
        <v>81.525332000000006</v>
      </c>
      <c r="I87" s="2">
        <f t="shared" si="2"/>
        <v>3.9863915307858259E-2</v>
      </c>
      <c r="J87" s="4">
        <v>18.78</v>
      </c>
      <c r="K87" s="5">
        <v>7.0400012191385031E-5</v>
      </c>
    </row>
    <row r="88" spans="1:11">
      <c r="A88" s="1" t="s">
        <v>106</v>
      </c>
      <c r="B88" s="1">
        <v>5</v>
      </c>
      <c r="C88" s="1">
        <v>7</v>
      </c>
      <c r="D88" s="1" t="s">
        <v>17</v>
      </c>
      <c r="E88" s="1" t="s">
        <v>18</v>
      </c>
      <c r="F88" s="1" t="s">
        <v>17</v>
      </c>
      <c r="G88" s="1">
        <v>63.839998999999999</v>
      </c>
      <c r="H88" s="1">
        <v>59.017989999999998</v>
      </c>
      <c r="I88" s="2">
        <f t="shared" si="2"/>
        <v>7.5532723614234409E-2</v>
      </c>
      <c r="J88" s="4">
        <v>18.53</v>
      </c>
      <c r="K88" s="5">
        <v>7.9299963545054197E-5</v>
      </c>
    </row>
    <row r="89" spans="1:11">
      <c r="A89" s="1" t="s">
        <v>107</v>
      </c>
      <c r="B89" s="1">
        <v>16</v>
      </c>
      <c r="C89" s="1">
        <v>16</v>
      </c>
      <c r="D89" s="1" t="s">
        <v>17</v>
      </c>
      <c r="E89" s="1" t="s">
        <v>17</v>
      </c>
      <c r="F89" s="1" t="s">
        <v>18</v>
      </c>
      <c r="G89" s="1">
        <v>163.79999699999999</v>
      </c>
      <c r="H89" s="1">
        <v>168.77399500000001</v>
      </c>
      <c r="I89" s="2">
        <f t="shared" si="2"/>
        <v>3.0366288712447433E-2</v>
      </c>
      <c r="J89" s="4">
        <v>19.010000000000002</v>
      </c>
      <c r="K89" s="5">
        <v>7.2300026658922434E-5</v>
      </c>
    </row>
    <row r="90" spans="1:11">
      <c r="A90" s="1" t="s">
        <v>108</v>
      </c>
      <c r="B90" s="1">
        <v>1</v>
      </c>
      <c r="C90" s="1">
        <v>16</v>
      </c>
      <c r="D90" s="1" t="s">
        <v>18</v>
      </c>
      <c r="E90" s="1" t="s">
        <v>17</v>
      </c>
      <c r="F90" s="1" t="s">
        <v>18</v>
      </c>
      <c r="G90" s="1">
        <v>0.84</v>
      </c>
      <c r="H90" s="1">
        <v>0.84</v>
      </c>
      <c r="I90" s="2">
        <f t="shared" si="2"/>
        <v>0</v>
      </c>
      <c r="J90" s="4">
        <v>18.739999999999998</v>
      </c>
      <c r="K90" s="5">
        <v>2.6000197976827621E-6</v>
      </c>
    </row>
    <row r="91" spans="1:11">
      <c r="A91" s="1" t="s">
        <v>109</v>
      </c>
      <c r="B91" s="1">
        <v>3</v>
      </c>
      <c r="C91" s="1">
        <v>7</v>
      </c>
      <c r="D91" s="1" t="s">
        <v>18</v>
      </c>
      <c r="E91" s="1" t="s">
        <v>17</v>
      </c>
      <c r="F91" s="1" t="s">
        <v>17</v>
      </c>
      <c r="G91" s="1">
        <v>42.56</v>
      </c>
      <c r="H91" s="1">
        <v>43.413055999999997</v>
      </c>
      <c r="I91" s="2">
        <f t="shared" si="2"/>
        <v>2.0043609022556277E-2</v>
      </c>
      <c r="J91" s="4">
        <v>18.989999999999998</v>
      </c>
      <c r="K91" s="5">
        <v>7.1000016760081053E-5</v>
      </c>
    </row>
    <row r="92" spans="1:11">
      <c r="A92" s="1" t="s">
        <v>110</v>
      </c>
      <c r="B92" s="1">
        <v>32</v>
      </c>
      <c r="C92" s="1">
        <v>5</v>
      </c>
      <c r="D92" s="1" t="s">
        <v>18</v>
      </c>
      <c r="E92" s="1" t="s">
        <v>17</v>
      </c>
      <c r="F92" s="1" t="s">
        <v>18</v>
      </c>
      <c r="G92" s="1">
        <v>433.72000300000002</v>
      </c>
      <c r="H92" s="1">
        <v>411.86738000000003</v>
      </c>
      <c r="I92" s="2">
        <f t="shared" si="2"/>
        <v>5.0384171467415563E-2</v>
      </c>
      <c r="J92" s="4">
        <v>19.13</v>
      </c>
      <c r="K92" s="5">
        <v>7.0700014475733042E-5</v>
      </c>
    </row>
    <row r="93" spans="1:11">
      <c r="A93" s="1" t="s">
        <v>111</v>
      </c>
      <c r="B93" s="1">
        <v>24</v>
      </c>
      <c r="C93" s="1">
        <v>255</v>
      </c>
      <c r="D93" s="1" t="s">
        <v>18</v>
      </c>
      <c r="E93" s="1" t="s">
        <v>17</v>
      </c>
      <c r="F93" s="1" t="s">
        <v>17</v>
      </c>
      <c r="G93" s="1">
        <v>324.240002</v>
      </c>
      <c r="H93" s="1">
        <v>314.48273899999998</v>
      </c>
      <c r="I93" s="2">
        <f t="shared" si="2"/>
        <v>3.0092718171152808E-2</v>
      </c>
      <c r="J93" s="4">
        <v>19.05</v>
      </c>
      <c r="K93" s="5">
        <v>8.5399951785802841E-5</v>
      </c>
    </row>
    <row r="94" spans="1:11">
      <c r="A94" s="1" t="s">
        <v>112</v>
      </c>
      <c r="B94" s="1">
        <v>10</v>
      </c>
      <c r="C94" s="1">
        <v>3</v>
      </c>
      <c r="D94" s="1" t="s">
        <v>18</v>
      </c>
      <c r="E94" s="1" t="s">
        <v>18</v>
      </c>
      <c r="F94" s="1" t="s">
        <v>18</v>
      </c>
      <c r="G94" s="1">
        <v>119.840001</v>
      </c>
      <c r="H94" s="1">
        <v>120.249573</v>
      </c>
      <c r="I94" s="2">
        <f t="shared" si="2"/>
        <v>3.4176568473159238E-3</v>
      </c>
      <c r="J94" s="4">
        <v>18.829999999999998</v>
      </c>
      <c r="K94" s="5">
        <v>7.0400012191385031E-5</v>
      </c>
    </row>
    <row r="95" spans="1:11">
      <c r="A95" s="1" t="s">
        <v>113</v>
      </c>
      <c r="B95" s="1">
        <v>12</v>
      </c>
      <c r="C95" s="1">
        <v>31</v>
      </c>
      <c r="D95" s="1" t="s">
        <v>18</v>
      </c>
      <c r="E95" s="1" t="s">
        <v>17</v>
      </c>
      <c r="F95" s="1" t="s">
        <v>17</v>
      </c>
      <c r="G95" s="1">
        <v>161.000001</v>
      </c>
      <c r="H95" s="1">
        <v>159.58577700000001</v>
      </c>
      <c r="I95" s="2">
        <f t="shared" si="2"/>
        <v>8.7839999454409328E-3</v>
      </c>
      <c r="J95" s="4">
        <v>18.850000000000001</v>
      </c>
      <c r="K95" s="5">
        <v>7.0500012952834368E-5</v>
      </c>
    </row>
    <row r="96" spans="1:11">
      <c r="A96" s="1" t="s">
        <v>114</v>
      </c>
      <c r="B96" s="1">
        <v>2</v>
      </c>
      <c r="C96" s="1">
        <v>31</v>
      </c>
      <c r="D96" s="1" t="s">
        <v>17</v>
      </c>
      <c r="E96" s="1" t="s">
        <v>17</v>
      </c>
      <c r="F96" s="1" t="s">
        <v>17</v>
      </c>
      <c r="G96" s="1">
        <v>27.999998999999999</v>
      </c>
      <c r="H96" s="1">
        <v>32.668503000000001</v>
      </c>
      <c r="I96" s="2">
        <f t="shared" si="2"/>
        <v>0.16673229166901049</v>
      </c>
      <c r="J96" s="4">
        <v>18.68</v>
      </c>
      <c r="K96" s="5">
        <v>6.8299996200948954E-5</v>
      </c>
    </row>
    <row r="97" spans="1:11">
      <c r="A97" s="1" t="s">
        <v>115</v>
      </c>
      <c r="B97" s="1">
        <v>6</v>
      </c>
      <c r="C97" s="1">
        <v>15</v>
      </c>
      <c r="D97" s="1" t="s">
        <v>18</v>
      </c>
      <c r="E97" s="1" t="s">
        <v>18</v>
      </c>
      <c r="F97" s="1" t="s">
        <v>17</v>
      </c>
      <c r="G97" s="1">
        <v>70.560001</v>
      </c>
      <c r="H97" s="1">
        <v>68.617251999999993</v>
      </c>
      <c r="I97" s="2">
        <f t="shared" si="2"/>
        <v>2.7533290426115589E-2</v>
      </c>
      <c r="J97" s="4">
        <v>19.36</v>
      </c>
      <c r="K97" s="5">
        <v>6.7199987825006247E-5</v>
      </c>
    </row>
    <row r="98" spans="1:11">
      <c r="A98" s="1" t="s">
        <v>116</v>
      </c>
      <c r="B98" s="1">
        <v>8</v>
      </c>
      <c r="C98" s="1">
        <v>15</v>
      </c>
      <c r="D98" s="1" t="s">
        <v>18</v>
      </c>
      <c r="E98" s="1" t="s">
        <v>17</v>
      </c>
      <c r="F98" s="1" t="s">
        <v>18</v>
      </c>
      <c r="G98" s="1">
        <v>98.000000999999997</v>
      </c>
      <c r="H98" s="1">
        <v>102.073457</v>
      </c>
      <c r="I98" s="2">
        <f t="shared" ref="I98:I129" si="3">ABS(H98-G98)/G98</f>
        <v>4.1565877126878883E-2</v>
      </c>
      <c r="J98" s="4">
        <v>19.239999999999998</v>
      </c>
      <c r="K98" s="5">
        <v>6.7499990109354258E-5</v>
      </c>
    </row>
    <row r="99" spans="1:11">
      <c r="A99" s="1" t="s">
        <v>117</v>
      </c>
      <c r="B99" s="1">
        <v>4</v>
      </c>
      <c r="C99" s="1">
        <v>5</v>
      </c>
      <c r="D99" s="1" t="s">
        <v>17</v>
      </c>
      <c r="E99" s="1" t="s">
        <v>17</v>
      </c>
      <c r="F99" s="1" t="s">
        <v>17</v>
      </c>
      <c r="G99" s="1">
        <v>54.879998999999998</v>
      </c>
      <c r="H99" s="1">
        <v>59.808191000000001</v>
      </c>
      <c r="I99" s="2">
        <f t="shared" si="3"/>
        <v>8.9799418545907825E-2</v>
      </c>
      <c r="J99" s="4">
        <v>18.600000000000001</v>
      </c>
      <c r="K99" s="5">
        <v>6.720004603266716E-5</v>
      </c>
    </row>
    <row r="100" spans="1:11">
      <c r="A100" s="1" t="s">
        <v>118</v>
      </c>
      <c r="B100" s="1">
        <v>9</v>
      </c>
      <c r="C100" s="1">
        <v>31</v>
      </c>
      <c r="D100" s="1" t="s">
        <v>17</v>
      </c>
      <c r="E100" s="1" t="s">
        <v>18</v>
      </c>
      <c r="F100" s="1" t="s">
        <v>17</v>
      </c>
      <c r="G100" s="1">
        <v>114.239998</v>
      </c>
      <c r="H100" s="1">
        <v>113.297366</v>
      </c>
      <c r="I100" s="2">
        <f t="shared" si="3"/>
        <v>8.2513306766689824E-3</v>
      </c>
      <c r="J100" s="4">
        <v>18.48</v>
      </c>
      <c r="K100" s="5">
        <v>6.720004603266716E-5</v>
      </c>
    </row>
    <row r="101" spans="1:11">
      <c r="A101" s="1" t="s">
        <v>119</v>
      </c>
      <c r="B101" s="1">
        <v>7</v>
      </c>
      <c r="C101" s="1">
        <v>31</v>
      </c>
      <c r="D101" s="1" t="s">
        <v>18</v>
      </c>
      <c r="E101" s="1" t="s">
        <v>17</v>
      </c>
      <c r="F101" s="1" t="s">
        <v>18</v>
      </c>
      <c r="G101" s="1">
        <v>92.120001000000002</v>
      </c>
      <c r="H101" s="1">
        <v>89.165377000000007</v>
      </c>
      <c r="I101" s="2">
        <f t="shared" si="3"/>
        <v>3.2073642726078516E-2</v>
      </c>
      <c r="J101" s="4">
        <v>18.649999999999999</v>
      </c>
      <c r="K101" s="5">
        <v>6.7699991632252932E-5</v>
      </c>
    </row>
    <row r="102" spans="1:11">
      <c r="I102" s="6">
        <f>AVERAGE(I2:I101)</f>
        <v>4.5643115755870774E-2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02"/>
  <sheetViews>
    <sheetView topLeftCell="D1" workbookViewId="0">
      <pane ySplit="1" topLeftCell="A87" activePane="bottomLeft" state="frozen"/>
      <selection pane="bottomLeft" activeCell="Q103" sqref="Q103"/>
    </sheetView>
  </sheetViews>
  <sheetFormatPr defaultRowHeight="14"/>
  <cols>
    <col min="1" max="1" width="6.6640625" customWidth="1"/>
    <col min="2" max="2" width="13.4140625" customWidth="1"/>
    <col min="3" max="3" width="14.1640625" customWidth="1"/>
    <col min="4" max="4" width="18.75" customWidth="1"/>
    <col min="5" max="5" width="13.4140625" customWidth="1"/>
    <col min="6" max="6" width="14.1640625" customWidth="1"/>
    <col min="7" max="7" width="18.75" customWidth="1"/>
    <col min="8" max="8" width="13.5" customWidth="1"/>
    <col min="9" max="9" width="14.25" customWidth="1"/>
    <col min="10" max="10" width="18.9140625" customWidth="1"/>
    <col min="11" max="11" width="6.75" customWidth="1"/>
    <col min="12" max="12" width="9.9140625" customWidth="1"/>
    <col min="13" max="13" width="9.75" customWidth="1"/>
    <col min="14" max="14" width="9.1640625" customWidth="1"/>
    <col min="15" max="15" width="15" customWidth="1"/>
    <col min="16" max="16" width="10.25" customWidth="1"/>
    <col min="17" max="17" width="6" customWidth="1"/>
    <col min="18" max="18" width="9.9140625" customWidth="1"/>
  </cols>
  <sheetData>
    <row r="1" spans="1:19">
      <c r="A1" s="3" t="s">
        <v>0</v>
      </c>
      <c r="B1" s="3" t="s">
        <v>253</v>
      </c>
      <c r="C1" s="3" t="s">
        <v>254</v>
      </c>
      <c r="D1" s="3" t="s">
        <v>255</v>
      </c>
      <c r="E1" s="3" t="s">
        <v>256</v>
      </c>
      <c r="F1" s="3" t="s">
        <v>257</v>
      </c>
      <c r="G1" s="3" t="s">
        <v>258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345</v>
      </c>
      <c r="Q1" s="3" t="s">
        <v>13</v>
      </c>
      <c r="R1" s="3" t="s">
        <v>14</v>
      </c>
      <c r="S1" s="3" t="s">
        <v>15</v>
      </c>
    </row>
    <row r="2" spans="1:19">
      <c r="A2" s="1" t="s">
        <v>16</v>
      </c>
      <c r="B2" s="1">
        <v>8</v>
      </c>
      <c r="C2" s="1">
        <v>2</v>
      </c>
      <c r="D2" s="1" t="s">
        <v>18</v>
      </c>
      <c r="E2" s="1">
        <v>8</v>
      </c>
      <c r="F2" s="1">
        <v>3</v>
      </c>
      <c r="G2" s="1" t="s">
        <v>18</v>
      </c>
      <c r="H2" s="1">
        <v>6</v>
      </c>
      <c r="I2" s="1">
        <v>0</v>
      </c>
      <c r="J2" s="1" t="s">
        <v>18</v>
      </c>
      <c r="K2" s="1">
        <v>6</v>
      </c>
      <c r="L2" s="1" t="s">
        <v>19</v>
      </c>
      <c r="M2" s="1" t="s">
        <v>20</v>
      </c>
      <c r="N2" s="1" t="s">
        <v>18</v>
      </c>
      <c r="O2" s="1">
        <v>659.12000799999998</v>
      </c>
      <c r="P2" s="1">
        <v>652.48869500000001</v>
      </c>
      <c r="Q2" s="2">
        <f t="shared" ref="Q2:Q33" si="0">ABS(P2-O2)/O2</f>
        <v>1.0060858295171003E-2</v>
      </c>
      <c r="R2" s="4">
        <v>19.43</v>
      </c>
      <c r="S2" s="5">
        <v>5.2499992307275527E-5</v>
      </c>
    </row>
    <row r="3" spans="1:19">
      <c r="A3" s="1" t="s">
        <v>21</v>
      </c>
      <c r="B3" s="1">
        <v>9</v>
      </c>
      <c r="C3" s="1">
        <v>2</v>
      </c>
      <c r="D3" s="1" t="s">
        <v>18</v>
      </c>
      <c r="E3" s="1">
        <v>8</v>
      </c>
      <c r="F3" s="1">
        <v>6</v>
      </c>
      <c r="G3" s="1" t="s">
        <v>18</v>
      </c>
      <c r="H3" s="1">
        <v>16</v>
      </c>
      <c r="I3" s="1">
        <v>2</v>
      </c>
      <c r="J3" s="1" t="s">
        <v>18</v>
      </c>
      <c r="K3" s="1">
        <v>3</v>
      </c>
      <c r="L3" s="1" t="s">
        <v>19</v>
      </c>
      <c r="M3" s="1" t="s">
        <v>20</v>
      </c>
      <c r="N3" s="1" t="s">
        <v>17</v>
      </c>
      <c r="O3" s="1">
        <v>957.59997899999996</v>
      </c>
      <c r="P3" s="1">
        <v>943.08926399999996</v>
      </c>
      <c r="Q3" s="2">
        <f t="shared" si="0"/>
        <v>1.515321148518948E-2</v>
      </c>
      <c r="R3" s="4">
        <v>20.22</v>
      </c>
      <c r="S3" s="5">
        <v>5.8699981309473508E-5</v>
      </c>
    </row>
    <row r="4" spans="1:19">
      <c r="A4" s="1" t="s">
        <v>22</v>
      </c>
      <c r="B4" s="1">
        <v>12</v>
      </c>
      <c r="C4" s="1">
        <v>2</v>
      </c>
      <c r="D4" s="1" t="s">
        <v>18</v>
      </c>
      <c r="E4" s="1">
        <v>9</v>
      </c>
      <c r="F4" s="1">
        <v>0</v>
      </c>
      <c r="G4" s="1" t="s">
        <v>17</v>
      </c>
      <c r="H4" s="1">
        <v>9</v>
      </c>
      <c r="I4" s="1">
        <v>3</v>
      </c>
      <c r="J4" s="1" t="s">
        <v>17</v>
      </c>
      <c r="K4" s="1">
        <v>3</v>
      </c>
      <c r="L4" s="1" t="s">
        <v>19</v>
      </c>
      <c r="M4" s="1" t="s">
        <v>20</v>
      </c>
      <c r="N4" s="1" t="s">
        <v>18</v>
      </c>
      <c r="O4" s="1">
        <v>506.240005</v>
      </c>
      <c r="P4" s="1">
        <v>478.05665900000002</v>
      </c>
      <c r="Q4" s="2">
        <f t="shared" si="0"/>
        <v>5.5671906055705676E-2</v>
      </c>
      <c r="R4" s="4">
        <v>19.38</v>
      </c>
      <c r="S4" s="5">
        <v>4.840001929551363E-5</v>
      </c>
    </row>
    <row r="5" spans="1:19">
      <c r="A5" s="1" t="s">
        <v>23</v>
      </c>
      <c r="B5" s="1">
        <v>9</v>
      </c>
      <c r="C5" s="1">
        <v>1</v>
      </c>
      <c r="D5" s="1" t="s">
        <v>17</v>
      </c>
      <c r="E5" s="1">
        <v>14</v>
      </c>
      <c r="F5" s="1">
        <v>2</v>
      </c>
      <c r="G5" s="1" t="s">
        <v>18</v>
      </c>
      <c r="H5" s="1">
        <v>12</v>
      </c>
      <c r="I5" s="1">
        <v>3</v>
      </c>
      <c r="J5" s="1" t="s">
        <v>17</v>
      </c>
      <c r="K5" s="1">
        <v>1</v>
      </c>
      <c r="L5" s="1" t="s">
        <v>19</v>
      </c>
      <c r="M5" s="1" t="s">
        <v>20</v>
      </c>
      <c r="N5" s="1" t="s">
        <v>17</v>
      </c>
      <c r="O5" s="1">
        <v>510.71999499999998</v>
      </c>
      <c r="P5" s="1">
        <v>481.66365000000002</v>
      </c>
      <c r="Q5" s="2">
        <f t="shared" si="0"/>
        <v>5.689290665034559E-2</v>
      </c>
      <c r="R5" s="4">
        <v>19.170000000000002</v>
      </c>
      <c r="S5" s="5">
        <v>5.4400006774812937E-5</v>
      </c>
    </row>
    <row r="6" spans="1:19">
      <c r="A6" s="1" t="s">
        <v>24</v>
      </c>
      <c r="B6" s="1">
        <v>9</v>
      </c>
      <c r="C6" s="1">
        <v>6</v>
      </c>
      <c r="D6" s="1" t="s">
        <v>17</v>
      </c>
      <c r="E6" s="1">
        <v>6</v>
      </c>
      <c r="F6" s="1">
        <v>4</v>
      </c>
      <c r="G6" s="1" t="s">
        <v>17</v>
      </c>
      <c r="H6" s="1">
        <v>6</v>
      </c>
      <c r="I6" s="1">
        <v>4</v>
      </c>
      <c r="J6" s="1" t="s">
        <v>17</v>
      </c>
      <c r="K6" s="1">
        <v>3</v>
      </c>
      <c r="L6" s="1" t="s">
        <v>19</v>
      </c>
      <c r="M6" s="1" t="s">
        <v>20</v>
      </c>
      <c r="N6" s="1" t="s">
        <v>17</v>
      </c>
      <c r="O6" s="1">
        <v>445.75999200000001</v>
      </c>
      <c r="P6" s="1">
        <v>429.97772500000002</v>
      </c>
      <c r="Q6" s="2">
        <f t="shared" si="0"/>
        <v>3.5405301694280335E-2</v>
      </c>
      <c r="R6" s="4">
        <v>19.7</v>
      </c>
      <c r="S6" s="5">
        <v>4.5600056182593107E-5</v>
      </c>
    </row>
    <row r="7" spans="1:19">
      <c r="A7" s="1" t="s">
        <v>25</v>
      </c>
      <c r="B7" s="1">
        <v>12</v>
      </c>
      <c r="C7" s="1">
        <v>1</v>
      </c>
      <c r="D7" s="1" t="s">
        <v>18</v>
      </c>
      <c r="E7" s="1">
        <v>10</v>
      </c>
      <c r="F7" s="1">
        <v>4</v>
      </c>
      <c r="G7" s="1" t="s">
        <v>18</v>
      </c>
      <c r="H7" s="1">
        <v>16</v>
      </c>
      <c r="I7" s="1">
        <v>8</v>
      </c>
      <c r="J7" s="1" t="s">
        <v>18</v>
      </c>
      <c r="K7" s="1">
        <v>1</v>
      </c>
      <c r="L7" s="1" t="s">
        <v>19</v>
      </c>
      <c r="M7" s="1" t="s">
        <v>20</v>
      </c>
      <c r="N7" s="1" t="s">
        <v>17</v>
      </c>
      <c r="O7" s="1">
        <v>504.55999400000002</v>
      </c>
      <c r="P7" s="1">
        <v>480.84614800000003</v>
      </c>
      <c r="Q7" s="2">
        <f t="shared" si="0"/>
        <v>4.6999061126514897E-2</v>
      </c>
      <c r="R7" s="4">
        <v>20.05</v>
      </c>
      <c r="S7" s="5">
        <v>6.4599968027323484E-5</v>
      </c>
    </row>
    <row r="8" spans="1:19">
      <c r="A8" s="1" t="s">
        <v>26</v>
      </c>
      <c r="B8" s="1">
        <v>14</v>
      </c>
      <c r="C8" s="1">
        <v>2</v>
      </c>
      <c r="D8" s="1" t="s">
        <v>17</v>
      </c>
      <c r="E8" s="1">
        <v>14</v>
      </c>
      <c r="F8" s="1">
        <v>2</v>
      </c>
      <c r="G8" s="1" t="s">
        <v>18</v>
      </c>
      <c r="H8" s="1">
        <v>9</v>
      </c>
      <c r="I8" s="1">
        <v>4</v>
      </c>
      <c r="J8" s="1" t="s">
        <v>17</v>
      </c>
      <c r="K8" s="1">
        <v>1</v>
      </c>
      <c r="L8" s="1" t="s">
        <v>19</v>
      </c>
      <c r="M8" s="1" t="s">
        <v>20</v>
      </c>
      <c r="N8" s="1" t="s">
        <v>17</v>
      </c>
      <c r="O8" s="1">
        <v>361.199996</v>
      </c>
      <c r="P8" s="1">
        <v>335.55916500000001</v>
      </c>
      <c r="Q8" s="2">
        <f t="shared" si="0"/>
        <v>7.0987904994328929E-2</v>
      </c>
      <c r="R8" s="4">
        <v>19.829999999999998</v>
      </c>
      <c r="S8" s="5">
        <v>5.1899987738579512E-5</v>
      </c>
    </row>
    <row r="9" spans="1:19">
      <c r="A9" s="1" t="s">
        <v>27</v>
      </c>
      <c r="B9" s="1">
        <v>14</v>
      </c>
      <c r="C9" s="1">
        <v>1</v>
      </c>
      <c r="D9" s="1" t="s">
        <v>17</v>
      </c>
      <c r="E9" s="1">
        <v>5</v>
      </c>
      <c r="F9" s="1">
        <v>1</v>
      </c>
      <c r="G9" s="1" t="s">
        <v>17</v>
      </c>
      <c r="H9" s="1">
        <v>6</v>
      </c>
      <c r="I9" s="1">
        <v>0</v>
      </c>
      <c r="J9" s="1" t="s">
        <v>17</v>
      </c>
      <c r="K9" s="1">
        <v>0</v>
      </c>
      <c r="L9" s="1" t="s">
        <v>19</v>
      </c>
      <c r="M9" s="1" t="s">
        <v>20</v>
      </c>
      <c r="N9" s="1" t="s">
        <v>17</v>
      </c>
      <c r="O9" s="1">
        <v>230.159999</v>
      </c>
      <c r="P9" s="1">
        <v>210.205354</v>
      </c>
      <c r="Q9" s="2">
        <f t="shared" si="0"/>
        <v>8.6699014106269609E-2</v>
      </c>
      <c r="R9" s="4">
        <v>19.64</v>
      </c>
      <c r="S9" s="5">
        <v>5.1399983931332827E-5</v>
      </c>
    </row>
    <row r="10" spans="1:19">
      <c r="A10" s="1" t="s">
        <v>28</v>
      </c>
      <c r="B10" s="1">
        <v>10</v>
      </c>
      <c r="C10" s="1">
        <v>3</v>
      </c>
      <c r="D10" s="1" t="s">
        <v>17</v>
      </c>
      <c r="E10" s="1">
        <v>8</v>
      </c>
      <c r="F10" s="1">
        <v>3</v>
      </c>
      <c r="G10" s="1" t="s">
        <v>18</v>
      </c>
      <c r="H10" s="1">
        <v>9</v>
      </c>
      <c r="I10" s="1">
        <v>2</v>
      </c>
      <c r="J10" s="1" t="s">
        <v>17</v>
      </c>
      <c r="K10" s="1">
        <v>1</v>
      </c>
      <c r="L10" s="1" t="s">
        <v>19</v>
      </c>
      <c r="M10" s="1" t="s">
        <v>20</v>
      </c>
      <c r="N10" s="1" t="s">
        <v>18</v>
      </c>
      <c r="O10" s="1">
        <v>404.32000099999999</v>
      </c>
      <c r="P10" s="1">
        <v>418.90673800000002</v>
      </c>
      <c r="Q10" s="2">
        <f t="shared" si="0"/>
        <v>3.6077208557387268E-2</v>
      </c>
      <c r="R10" s="4">
        <v>20.05</v>
      </c>
      <c r="S10" s="5">
        <v>5.240004975348711E-5</v>
      </c>
    </row>
    <row r="11" spans="1:19">
      <c r="A11" s="1" t="s">
        <v>29</v>
      </c>
      <c r="B11" s="1">
        <v>16</v>
      </c>
      <c r="C11" s="1">
        <v>4</v>
      </c>
      <c r="D11" s="1" t="s">
        <v>17</v>
      </c>
      <c r="E11" s="1">
        <v>6</v>
      </c>
      <c r="F11" s="1">
        <v>1</v>
      </c>
      <c r="G11" s="1" t="s">
        <v>18</v>
      </c>
      <c r="H11" s="1">
        <v>9</v>
      </c>
      <c r="I11" s="1">
        <v>0</v>
      </c>
      <c r="J11" s="1" t="s">
        <v>17</v>
      </c>
      <c r="K11" s="1">
        <v>4</v>
      </c>
      <c r="L11" s="1" t="s">
        <v>19</v>
      </c>
      <c r="M11" s="1" t="s">
        <v>20</v>
      </c>
      <c r="N11" s="1" t="s">
        <v>17</v>
      </c>
      <c r="O11" s="1">
        <v>785.67998399999999</v>
      </c>
      <c r="P11" s="1">
        <v>780.93998499999998</v>
      </c>
      <c r="Q11" s="2">
        <f t="shared" si="0"/>
        <v>6.0329893805720416E-3</v>
      </c>
      <c r="R11" s="4">
        <v>19.579999999999998</v>
      </c>
      <c r="S11" s="5">
        <v>5.8600038755685091E-5</v>
      </c>
    </row>
    <row r="12" spans="1:19">
      <c r="A12" s="1" t="s">
        <v>30</v>
      </c>
      <c r="B12" s="1">
        <v>14</v>
      </c>
      <c r="C12" s="1">
        <v>2</v>
      </c>
      <c r="D12" s="1" t="s">
        <v>18</v>
      </c>
      <c r="E12" s="1">
        <v>9</v>
      </c>
      <c r="F12" s="1">
        <v>6</v>
      </c>
      <c r="G12" s="1" t="s">
        <v>18</v>
      </c>
      <c r="H12" s="1">
        <v>16</v>
      </c>
      <c r="I12" s="1">
        <v>6</v>
      </c>
      <c r="J12" s="1" t="s">
        <v>18</v>
      </c>
      <c r="K12" s="1">
        <v>6</v>
      </c>
      <c r="L12" s="1" t="s">
        <v>19</v>
      </c>
      <c r="M12" s="1" t="s">
        <v>20</v>
      </c>
      <c r="N12" s="1" t="s">
        <v>17</v>
      </c>
      <c r="O12" s="1">
        <v>1722.5599589999999</v>
      </c>
      <c r="P12" s="1">
        <v>1684.2609070000001</v>
      </c>
      <c r="Q12" s="2">
        <f t="shared" si="0"/>
        <v>2.2233799061620849E-2</v>
      </c>
      <c r="R12" s="4">
        <v>20.45</v>
      </c>
      <c r="S12" s="5">
        <v>7.5000047218054533E-5</v>
      </c>
    </row>
    <row r="13" spans="1:19">
      <c r="A13" s="1" t="s">
        <v>31</v>
      </c>
      <c r="B13" s="1">
        <v>6</v>
      </c>
      <c r="C13" s="1">
        <v>3</v>
      </c>
      <c r="D13" s="1" t="s">
        <v>17</v>
      </c>
      <c r="E13" s="1">
        <v>14</v>
      </c>
      <c r="F13" s="1">
        <v>6</v>
      </c>
      <c r="G13" s="1" t="s">
        <v>18</v>
      </c>
      <c r="H13" s="1">
        <v>8</v>
      </c>
      <c r="I13" s="1">
        <v>2</v>
      </c>
      <c r="J13" s="1" t="s">
        <v>17</v>
      </c>
      <c r="K13" s="1">
        <v>1</v>
      </c>
      <c r="L13" s="1" t="s">
        <v>19</v>
      </c>
      <c r="M13" s="1" t="s">
        <v>20</v>
      </c>
      <c r="N13" s="1" t="s">
        <v>18</v>
      </c>
      <c r="O13" s="1">
        <v>409.92000100000001</v>
      </c>
      <c r="P13" s="1">
        <v>382.30766199999999</v>
      </c>
      <c r="Q13" s="2">
        <f t="shared" si="0"/>
        <v>6.7360311603824427E-2</v>
      </c>
      <c r="R13" s="4">
        <v>19.760000000000002</v>
      </c>
      <c r="S13" s="5">
        <v>5.6599965319037437E-5</v>
      </c>
    </row>
    <row r="14" spans="1:19">
      <c r="A14" s="1" t="s">
        <v>32</v>
      </c>
      <c r="B14" s="1">
        <v>16</v>
      </c>
      <c r="C14" s="1">
        <v>4</v>
      </c>
      <c r="D14" s="1" t="s">
        <v>18</v>
      </c>
      <c r="E14" s="1">
        <v>4</v>
      </c>
      <c r="F14" s="1">
        <v>1</v>
      </c>
      <c r="G14" s="1" t="s">
        <v>17</v>
      </c>
      <c r="H14" s="1">
        <v>8</v>
      </c>
      <c r="I14" s="1">
        <v>1</v>
      </c>
      <c r="J14" s="1" t="s">
        <v>17</v>
      </c>
      <c r="K14" s="1">
        <v>2</v>
      </c>
      <c r="L14" s="1" t="s">
        <v>19</v>
      </c>
      <c r="M14" s="1" t="s">
        <v>20</v>
      </c>
      <c r="N14" s="1" t="s">
        <v>17</v>
      </c>
      <c r="O14" s="1">
        <v>469.27999199999999</v>
      </c>
      <c r="P14" s="1">
        <v>452.30712899999997</v>
      </c>
      <c r="Q14" s="2">
        <f t="shared" si="0"/>
        <v>3.6167881199588879E-2</v>
      </c>
      <c r="R14" s="4">
        <v>20.05</v>
      </c>
      <c r="S14" s="5">
        <v>5.4900010582059622E-5</v>
      </c>
    </row>
    <row r="15" spans="1:19">
      <c r="A15" s="1" t="s">
        <v>33</v>
      </c>
      <c r="B15" s="1">
        <v>9</v>
      </c>
      <c r="C15" s="1">
        <v>6</v>
      </c>
      <c r="D15" s="1" t="s">
        <v>18</v>
      </c>
      <c r="E15" s="1">
        <v>9</v>
      </c>
      <c r="F15" s="1">
        <v>6</v>
      </c>
      <c r="G15" s="1" t="s">
        <v>18</v>
      </c>
      <c r="H15" s="1">
        <v>12</v>
      </c>
      <c r="I15" s="1">
        <v>1</v>
      </c>
      <c r="J15" s="1" t="s">
        <v>18</v>
      </c>
      <c r="K15" s="1">
        <v>6</v>
      </c>
      <c r="L15" s="1" t="s">
        <v>19</v>
      </c>
      <c r="M15" s="1" t="s">
        <v>20</v>
      </c>
      <c r="N15" s="1" t="s">
        <v>18</v>
      </c>
      <c r="O15" s="1">
        <v>1112.7200170000001</v>
      </c>
      <c r="P15" s="1">
        <v>1127.341285</v>
      </c>
      <c r="Q15" s="2">
        <f t="shared" si="0"/>
        <v>1.3140114113719473E-2</v>
      </c>
      <c r="R15" s="4">
        <v>19.7</v>
      </c>
      <c r="S15" s="5">
        <v>6.019999273121357E-5</v>
      </c>
    </row>
    <row r="16" spans="1:19">
      <c r="A16" s="1" t="s">
        <v>34</v>
      </c>
      <c r="B16" s="1">
        <v>14</v>
      </c>
      <c r="C16" s="1">
        <v>6</v>
      </c>
      <c r="D16" s="1" t="s">
        <v>17</v>
      </c>
      <c r="E16" s="1">
        <v>10</v>
      </c>
      <c r="F16" s="1">
        <v>4</v>
      </c>
      <c r="G16" s="1" t="s">
        <v>17</v>
      </c>
      <c r="H16" s="1">
        <v>6</v>
      </c>
      <c r="I16" s="1">
        <v>3</v>
      </c>
      <c r="J16" s="1" t="s">
        <v>17</v>
      </c>
      <c r="K16" s="1">
        <v>4</v>
      </c>
      <c r="L16" s="1" t="s">
        <v>19</v>
      </c>
      <c r="M16" s="1" t="s">
        <v>20</v>
      </c>
      <c r="N16" s="1" t="s">
        <v>18</v>
      </c>
      <c r="O16" s="1">
        <v>526.40000499999996</v>
      </c>
      <c r="P16" s="1">
        <v>502.17030699999998</v>
      </c>
      <c r="Q16" s="2">
        <f t="shared" si="0"/>
        <v>4.6029061112945822E-2</v>
      </c>
      <c r="R16" s="4">
        <v>20.79</v>
      </c>
      <c r="S16" s="5">
        <v>5.2599993068724871E-5</v>
      </c>
    </row>
    <row r="17" spans="1:19">
      <c r="A17" s="1" t="s">
        <v>35</v>
      </c>
      <c r="B17" s="1">
        <v>14</v>
      </c>
      <c r="C17" s="1">
        <v>3</v>
      </c>
      <c r="D17" s="1" t="s">
        <v>18</v>
      </c>
      <c r="E17" s="1">
        <v>9</v>
      </c>
      <c r="F17" s="1">
        <v>1</v>
      </c>
      <c r="G17" s="1" t="s">
        <v>18</v>
      </c>
      <c r="H17" s="1">
        <v>10</v>
      </c>
      <c r="I17" s="1">
        <v>1</v>
      </c>
      <c r="J17" s="1" t="s">
        <v>18</v>
      </c>
      <c r="K17" s="1">
        <v>1</v>
      </c>
      <c r="L17" s="1" t="s">
        <v>19</v>
      </c>
      <c r="M17" s="1" t="s">
        <v>20</v>
      </c>
      <c r="N17" s="1" t="s">
        <v>17</v>
      </c>
      <c r="O17" s="1">
        <v>463.67999500000002</v>
      </c>
      <c r="P17" s="1">
        <v>448.91331600000001</v>
      </c>
      <c r="Q17" s="2">
        <f t="shared" si="0"/>
        <v>3.1846702810631303E-2</v>
      </c>
      <c r="R17" s="4">
        <v>19.34</v>
      </c>
      <c r="S17" s="5">
        <v>5.9499987401068211E-5</v>
      </c>
    </row>
    <row r="18" spans="1:19">
      <c r="A18" s="1" t="s">
        <v>36</v>
      </c>
      <c r="B18" s="1">
        <v>9</v>
      </c>
      <c r="C18" s="1">
        <v>4</v>
      </c>
      <c r="D18" s="1" t="s">
        <v>17</v>
      </c>
      <c r="E18" s="1">
        <v>8</v>
      </c>
      <c r="F18" s="1">
        <v>1</v>
      </c>
      <c r="G18" s="1" t="s">
        <v>18</v>
      </c>
      <c r="H18" s="1">
        <v>5</v>
      </c>
      <c r="I18" s="1">
        <v>3</v>
      </c>
      <c r="J18" s="1" t="s">
        <v>17</v>
      </c>
      <c r="K18" s="1">
        <v>2</v>
      </c>
      <c r="L18" s="1" t="s">
        <v>19</v>
      </c>
      <c r="M18" s="1" t="s">
        <v>20</v>
      </c>
      <c r="N18" s="1" t="s">
        <v>17</v>
      </c>
      <c r="O18" s="1">
        <v>223.99999500000001</v>
      </c>
      <c r="P18" s="1">
        <v>228.070809</v>
      </c>
      <c r="Q18" s="2">
        <f t="shared" si="0"/>
        <v>1.8173277191367725E-2</v>
      </c>
      <c r="R18" s="4">
        <v>19.38</v>
      </c>
      <c r="S18" s="5">
        <v>4.5299995690584183E-5</v>
      </c>
    </row>
    <row r="19" spans="1:19">
      <c r="A19" s="1" t="s">
        <v>37</v>
      </c>
      <c r="B19" s="1">
        <v>16</v>
      </c>
      <c r="C19" s="1">
        <v>3</v>
      </c>
      <c r="D19" s="1" t="s">
        <v>18</v>
      </c>
      <c r="E19" s="1">
        <v>10</v>
      </c>
      <c r="F19" s="1">
        <v>6</v>
      </c>
      <c r="G19" s="1" t="s">
        <v>17</v>
      </c>
      <c r="H19" s="1">
        <v>8</v>
      </c>
      <c r="I19" s="1">
        <v>6</v>
      </c>
      <c r="J19" s="1" t="s">
        <v>17</v>
      </c>
      <c r="K19" s="1">
        <v>1</v>
      </c>
      <c r="L19" s="1" t="s">
        <v>19</v>
      </c>
      <c r="M19" s="1" t="s">
        <v>20</v>
      </c>
      <c r="N19" s="1" t="s">
        <v>17</v>
      </c>
      <c r="O19" s="1">
        <v>299.03999599999997</v>
      </c>
      <c r="P19" s="1">
        <v>304.74128000000002</v>
      </c>
      <c r="Q19" s="2">
        <f t="shared" si="0"/>
        <v>1.9065289179578657E-2</v>
      </c>
      <c r="R19" s="4">
        <v>19.739999999999998</v>
      </c>
      <c r="S19" s="5">
        <v>5.7600031141191721E-5</v>
      </c>
    </row>
    <row r="20" spans="1:19">
      <c r="A20" s="1" t="s">
        <v>38</v>
      </c>
      <c r="B20" s="1">
        <v>10</v>
      </c>
      <c r="C20" s="1">
        <v>1</v>
      </c>
      <c r="D20" s="1" t="s">
        <v>17</v>
      </c>
      <c r="E20" s="1">
        <v>9</v>
      </c>
      <c r="F20" s="1">
        <v>1</v>
      </c>
      <c r="G20" s="1" t="s">
        <v>18</v>
      </c>
      <c r="H20" s="1">
        <v>5</v>
      </c>
      <c r="I20" s="1">
        <v>1</v>
      </c>
      <c r="J20" s="1" t="s">
        <v>17</v>
      </c>
      <c r="K20" s="1">
        <v>6</v>
      </c>
      <c r="L20" s="1" t="s">
        <v>19</v>
      </c>
      <c r="M20" s="1" t="s">
        <v>20</v>
      </c>
      <c r="N20" s="1" t="s">
        <v>18</v>
      </c>
      <c r="O20" s="1">
        <v>532.56000600000004</v>
      </c>
      <c r="P20" s="1">
        <v>506.33583399999998</v>
      </c>
      <c r="Q20" s="2">
        <f t="shared" si="0"/>
        <v>4.9241722443573929E-2</v>
      </c>
      <c r="R20" s="4">
        <v>19.97</v>
      </c>
      <c r="S20" s="5">
        <v>4.4899992644786828E-5</v>
      </c>
    </row>
    <row r="21" spans="1:19">
      <c r="A21" s="1" t="s">
        <v>39</v>
      </c>
      <c r="B21" s="1">
        <v>9</v>
      </c>
      <c r="C21" s="1">
        <v>3</v>
      </c>
      <c r="D21" s="1" t="s">
        <v>17</v>
      </c>
      <c r="E21" s="1">
        <v>10</v>
      </c>
      <c r="F21" s="1">
        <v>3</v>
      </c>
      <c r="G21" s="1" t="s">
        <v>18</v>
      </c>
      <c r="H21" s="1">
        <v>8</v>
      </c>
      <c r="I21" s="1">
        <v>2</v>
      </c>
      <c r="J21" s="1" t="s">
        <v>17</v>
      </c>
      <c r="K21" s="1">
        <v>0</v>
      </c>
      <c r="L21" s="1" t="s">
        <v>19</v>
      </c>
      <c r="M21" s="1" t="s">
        <v>20</v>
      </c>
      <c r="N21" s="1" t="s">
        <v>18</v>
      </c>
      <c r="O21" s="1">
        <v>310.24</v>
      </c>
      <c r="P21" s="1">
        <v>300.25924199999997</v>
      </c>
      <c r="Q21" s="2">
        <f t="shared" si="0"/>
        <v>3.2171086900464274E-2</v>
      </c>
      <c r="R21" s="4">
        <v>19.690000000000001</v>
      </c>
      <c r="S21" s="5">
        <v>5.43000060133636E-5</v>
      </c>
    </row>
    <row r="22" spans="1:19">
      <c r="A22" s="1" t="s">
        <v>40</v>
      </c>
      <c r="B22" s="1">
        <v>10</v>
      </c>
      <c r="C22" s="1">
        <v>6</v>
      </c>
      <c r="D22" s="1" t="s">
        <v>17</v>
      </c>
      <c r="E22" s="1">
        <v>6</v>
      </c>
      <c r="F22" s="1">
        <v>1</v>
      </c>
      <c r="G22" s="1" t="s">
        <v>17</v>
      </c>
      <c r="H22" s="1">
        <v>9</v>
      </c>
      <c r="I22" s="1">
        <v>0</v>
      </c>
      <c r="J22" s="1" t="s">
        <v>17</v>
      </c>
      <c r="K22" s="1">
        <v>0</v>
      </c>
      <c r="L22" s="1" t="s">
        <v>19</v>
      </c>
      <c r="M22" s="1" t="s">
        <v>20</v>
      </c>
      <c r="N22" s="1" t="s">
        <v>17</v>
      </c>
      <c r="O22" s="1">
        <v>253.11999900000001</v>
      </c>
      <c r="P22" s="1">
        <v>236.80938499999999</v>
      </c>
      <c r="Q22" s="2">
        <f t="shared" si="0"/>
        <v>6.443826668946856E-2</v>
      </c>
      <c r="R22" s="4">
        <v>19.93</v>
      </c>
      <c r="S22" s="5">
        <v>5.4700009059160948E-5</v>
      </c>
    </row>
    <row r="23" spans="1:19">
      <c r="A23" s="1" t="s">
        <v>41</v>
      </c>
      <c r="B23" s="1">
        <v>8</v>
      </c>
      <c r="C23" s="1">
        <v>6</v>
      </c>
      <c r="D23" s="1" t="s">
        <v>18</v>
      </c>
      <c r="E23" s="1">
        <v>8</v>
      </c>
      <c r="F23" s="1">
        <v>1</v>
      </c>
      <c r="G23" s="1" t="s">
        <v>17</v>
      </c>
      <c r="H23" s="1">
        <v>9</v>
      </c>
      <c r="I23" s="1">
        <v>0</v>
      </c>
      <c r="J23" s="1" t="s">
        <v>17</v>
      </c>
      <c r="K23" s="1">
        <v>4</v>
      </c>
      <c r="L23" s="1" t="s">
        <v>19</v>
      </c>
      <c r="M23" s="1" t="s">
        <v>20</v>
      </c>
      <c r="N23" s="1" t="s">
        <v>18</v>
      </c>
      <c r="O23" s="1">
        <v>655.76000799999997</v>
      </c>
      <c r="P23" s="1">
        <v>712.53326800000002</v>
      </c>
      <c r="Q23" s="2">
        <f t="shared" si="0"/>
        <v>8.6576276850356584E-2</v>
      </c>
      <c r="R23" s="4">
        <v>19.899999999999999</v>
      </c>
      <c r="S23" s="5">
        <v>6.0699996538460248E-5</v>
      </c>
    </row>
    <row r="24" spans="1:19">
      <c r="A24" s="1" t="s">
        <v>42</v>
      </c>
      <c r="B24" s="1">
        <v>9</v>
      </c>
      <c r="C24" s="1">
        <v>8</v>
      </c>
      <c r="D24" s="1" t="s">
        <v>18</v>
      </c>
      <c r="E24" s="1">
        <v>9</v>
      </c>
      <c r="F24" s="1">
        <v>4</v>
      </c>
      <c r="G24" s="1" t="s">
        <v>18</v>
      </c>
      <c r="H24" s="1">
        <v>10</v>
      </c>
      <c r="I24" s="1">
        <v>1</v>
      </c>
      <c r="J24" s="1" t="s">
        <v>18</v>
      </c>
      <c r="K24" s="1">
        <v>6</v>
      </c>
      <c r="L24" s="1" t="s">
        <v>19</v>
      </c>
      <c r="M24" s="1" t="s">
        <v>20</v>
      </c>
      <c r="N24" s="1" t="s">
        <v>18</v>
      </c>
      <c r="O24" s="1">
        <v>953.12001399999997</v>
      </c>
      <c r="P24" s="1">
        <v>976.40786900000001</v>
      </c>
      <c r="Q24" s="2">
        <f t="shared" si="0"/>
        <v>2.4433287159994561E-2</v>
      </c>
      <c r="R24" s="4">
        <v>19.87</v>
      </c>
      <c r="S24" s="5">
        <v>6.6199980210512877E-5</v>
      </c>
    </row>
    <row r="25" spans="1:19">
      <c r="A25" s="1" t="s">
        <v>43</v>
      </c>
      <c r="B25" s="1">
        <v>16</v>
      </c>
      <c r="C25" s="1">
        <v>6</v>
      </c>
      <c r="D25" s="1" t="s">
        <v>17</v>
      </c>
      <c r="E25" s="1">
        <v>5</v>
      </c>
      <c r="F25" s="1">
        <v>0</v>
      </c>
      <c r="G25" s="1" t="s">
        <v>17</v>
      </c>
      <c r="H25" s="1">
        <v>6</v>
      </c>
      <c r="I25" s="1">
        <v>2</v>
      </c>
      <c r="J25" s="1" t="s">
        <v>17</v>
      </c>
      <c r="K25" s="1">
        <v>1</v>
      </c>
      <c r="L25" s="1" t="s">
        <v>19</v>
      </c>
      <c r="M25" s="1" t="s">
        <v>20</v>
      </c>
      <c r="N25" s="1" t="s">
        <v>18</v>
      </c>
      <c r="O25" s="1">
        <v>191.52000100000001</v>
      </c>
      <c r="P25" s="1">
        <v>182.74933200000001</v>
      </c>
      <c r="Q25" s="2">
        <f t="shared" si="0"/>
        <v>4.5795055107586378E-2</v>
      </c>
      <c r="R25" s="4">
        <v>19.43</v>
      </c>
      <c r="S25" s="5">
        <v>5.4400006774812937E-5</v>
      </c>
    </row>
    <row r="26" spans="1:19">
      <c r="A26" s="1" t="s">
        <v>44</v>
      </c>
      <c r="B26" s="1">
        <v>14</v>
      </c>
      <c r="C26" s="1">
        <v>6</v>
      </c>
      <c r="D26" s="1" t="s">
        <v>18</v>
      </c>
      <c r="E26" s="1">
        <v>6</v>
      </c>
      <c r="F26" s="1">
        <v>1</v>
      </c>
      <c r="G26" s="1" t="s">
        <v>17</v>
      </c>
      <c r="H26" s="1">
        <v>16</v>
      </c>
      <c r="I26" s="1">
        <v>1</v>
      </c>
      <c r="J26" s="1" t="s">
        <v>17</v>
      </c>
      <c r="K26" s="1">
        <v>1</v>
      </c>
      <c r="L26" s="1" t="s">
        <v>19</v>
      </c>
      <c r="M26" s="1" t="s">
        <v>20</v>
      </c>
      <c r="N26" s="1" t="s">
        <v>17</v>
      </c>
      <c r="O26" s="1">
        <v>531.43999199999996</v>
      </c>
      <c r="P26" s="1">
        <v>522.88651300000004</v>
      </c>
      <c r="Q26" s="2">
        <f t="shared" si="0"/>
        <v>1.6094910297981348E-2</v>
      </c>
      <c r="R26" s="4">
        <v>19.61</v>
      </c>
      <c r="S26" s="5">
        <v>6.4499967265874147E-5</v>
      </c>
    </row>
    <row r="27" spans="1:19">
      <c r="A27" s="1" t="s">
        <v>45</v>
      </c>
      <c r="B27" s="1">
        <v>10</v>
      </c>
      <c r="C27" s="1">
        <v>2</v>
      </c>
      <c r="D27" s="1" t="s">
        <v>18</v>
      </c>
      <c r="E27" s="1">
        <v>6</v>
      </c>
      <c r="F27" s="1">
        <v>4</v>
      </c>
      <c r="G27" s="1" t="s">
        <v>18</v>
      </c>
      <c r="H27" s="1">
        <v>16</v>
      </c>
      <c r="I27" s="1">
        <v>0</v>
      </c>
      <c r="J27" s="1" t="s">
        <v>18</v>
      </c>
      <c r="K27" s="1">
        <v>0</v>
      </c>
      <c r="L27" s="1" t="s">
        <v>19</v>
      </c>
      <c r="M27" s="1" t="s">
        <v>20</v>
      </c>
      <c r="N27" s="1" t="s">
        <v>17</v>
      </c>
      <c r="O27" s="1">
        <v>319.75999899999999</v>
      </c>
      <c r="P27" s="1">
        <v>319.96237600000001</v>
      </c>
      <c r="Q27" s="2">
        <f t="shared" si="0"/>
        <v>6.329028040809216E-4</v>
      </c>
      <c r="R27" s="4">
        <v>20.09</v>
      </c>
      <c r="S27" s="5">
        <v>6.4699968788772821E-5</v>
      </c>
    </row>
    <row r="28" spans="1:19">
      <c r="A28" s="1" t="s">
        <v>46</v>
      </c>
      <c r="B28" s="1">
        <v>6</v>
      </c>
      <c r="C28" s="1">
        <v>2</v>
      </c>
      <c r="D28" s="1" t="s">
        <v>17</v>
      </c>
      <c r="E28" s="1">
        <v>12</v>
      </c>
      <c r="F28" s="1">
        <v>6</v>
      </c>
      <c r="G28" s="1" t="s">
        <v>18</v>
      </c>
      <c r="H28" s="1">
        <v>12</v>
      </c>
      <c r="I28" s="1">
        <v>3</v>
      </c>
      <c r="J28" s="1" t="s">
        <v>17</v>
      </c>
      <c r="K28" s="1">
        <v>0</v>
      </c>
      <c r="L28" s="1" t="s">
        <v>19</v>
      </c>
      <c r="M28" s="1" t="s">
        <v>20</v>
      </c>
      <c r="N28" s="1" t="s">
        <v>17</v>
      </c>
      <c r="O28" s="1">
        <v>366.24</v>
      </c>
      <c r="P28" s="1">
        <v>357.153187</v>
      </c>
      <c r="Q28" s="2">
        <f t="shared" si="0"/>
        <v>2.4811088357361309E-2</v>
      </c>
      <c r="R28" s="4">
        <v>19.98</v>
      </c>
      <c r="S28" s="5">
        <v>5.8099976740777493E-5</v>
      </c>
    </row>
    <row r="29" spans="1:19">
      <c r="A29" s="1" t="s">
        <v>47</v>
      </c>
      <c r="B29" s="1">
        <v>16</v>
      </c>
      <c r="C29" s="1">
        <v>8</v>
      </c>
      <c r="D29" s="1" t="s">
        <v>17</v>
      </c>
      <c r="E29" s="1">
        <v>9</v>
      </c>
      <c r="F29" s="1">
        <v>3</v>
      </c>
      <c r="G29" s="1" t="s">
        <v>18</v>
      </c>
      <c r="H29" s="1">
        <v>16</v>
      </c>
      <c r="I29" s="1">
        <v>4</v>
      </c>
      <c r="J29" s="1" t="s">
        <v>17</v>
      </c>
      <c r="K29" s="1">
        <v>0</v>
      </c>
      <c r="L29" s="1" t="s">
        <v>19</v>
      </c>
      <c r="M29" s="1" t="s">
        <v>20</v>
      </c>
      <c r="N29" s="1" t="s">
        <v>17</v>
      </c>
      <c r="O29" s="1">
        <v>418.879999</v>
      </c>
      <c r="P29" s="1">
        <v>432.89737000000002</v>
      </c>
      <c r="Q29" s="2">
        <f t="shared" si="0"/>
        <v>3.3463930083708834E-2</v>
      </c>
      <c r="R29" s="4">
        <v>20.239999999999998</v>
      </c>
      <c r="S29" s="5">
        <v>6.3900020904839039E-5</v>
      </c>
    </row>
    <row r="30" spans="1:19">
      <c r="A30" s="1" t="s">
        <v>48</v>
      </c>
      <c r="B30" s="1">
        <v>6</v>
      </c>
      <c r="C30" s="1">
        <v>3</v>
      </c>
      <c r="D30" s="1" t="s">
        <v>18</v>
      </c>
      <c r="E30" s="1">
        <v>9</v>
      </c>
      <c r="F30" s="1">
        <v>4</v>
      </c>
      <c r="G30" s="1" t="s">
        <v>17</v>
      </c>
      <c r="H30" s="1">
        <v>10</v>
      </c>
      <c r="I30" s="1">
        <v>0</v>
      </c>
      <c r="J30" s="1" t="s">
        <v>17</v>
      </c>
      <c r="K30" s="1">
        <v>3</v>
      </c>
      <c r="L30" s="1" t="s">
        <v>19</v>
      </c>
      <c r="M30" s="1" t="s">
        <v>20</v>
      </c>
      <c r="N30" s="1" t="s">
        <v>18</v>
      </c>
      <c r="O30" s="1">
        <v>596.40000699999996</v>
      </c>
      <c r="P30" s="1">
        <v>626.80717700000002</v>
      </c>
      <c r="Q30" s="2">
        <f t="shared" si="0"/>
        <v>5.0984523211114026E-2</v>
      </c>
      <c r="R30" s="4">
        <v>20.05</v>
      </c>
      <c r="S30" s="5">
        <v>5.3999945521354682E-5</v>
      </c>
    </row>
    <row r="31" spans="1:19">
      <c r="A31" s="1" t="s">
        <v>49</v>
      </c>
      <c r="B31" s="1">
        <v>9</v>
      </c>
      <c r="C31" s="1">
        <v>4</v>
      </c>
      <c r="D31" s="1" t="s">
        <v>18</v>
      </c>
      <c r="E31" s="1">
        <v>12</v>
      </c>
      <c r="F31" s="1">
        <v>0</v>
      </c>
      <c r="G31" s="1" t="s">
        <v>18</v>
      </c>
      <c r="H31" s="1">
        <v>12</v>
      </c>
      <c r="I31" s="1">
        <v>4</v>
      </c>
      <c r="J31" s="1" t="s">
        <v>18</v>
      </c>
      <c r="K31" s="1">
        <v>2</v>
      </c>
      <c r="L31" s="1" t="s">
        <v>19</v>
      </c>
      <c r="M31" s="1" t="s">
        <v>20</v>
      </c>
      <c r="N31" s="1" t="s">
        <v>18</v>
      </c>
      <c r="O31" s="1">
        <v>546.00000499999999</v>
      </c>
      <c r="P31" s="1">
        <v>535.36947599999996</v>
      </c>
      <c r="Q31" s="2">
        <f t="shared" si="0"/>
        <v>1.9469833155038203E-2</v>
      </c>
      <c r="R31" s="4">
        <v>19.920000000000002</v>
      </c>
      <c r="S31" s="5">
        <v>6.420002318918705E-5</v>
      </c>
    </row>
    <row r="32" spans="1:19">
      <c r="A32" s="1" t="s">
        <v>50</v>
      </c>
      <c r="B32" s="1">
        <v>12</v>
      </c>
      <c r="C32" s="1">
        <v>8</v>
      </c>
      <c r="D32" s="1" t="s">
        <v>17</v>
      </c>
      <c r="E32" s="1">
        <v>5</v>
      </c>
      <c r="F32" s="1">
        <v>4</v>
      </c>
      <c r="G32" s="1" t="s">
        <v>18</v>
      </c>
      <c r="H32" s="1">
        <v>12</v>
      </c>
      <c r="I32" s="1">
        <v>4</v>
      </c>
      <c r="J32" s="1" t="s">
        <v>17</v>
      </c>
      <c r="K32" s="1">
        <v>0</v>
      </c>
      <c r="L32" s="1" t="s">
        <v>19</v>
      </c>
      <c r="M32" s="1" t="s">
        <v>20</v>
      </c>
      <c r="N32" s="1" t="s">
        <v>18</v>
      </c>
      <c r="O32" s="1">
        <v>281.67999800000001</v>
      </c>
      <c r="P32" s="1">
        <v>310.71015999999997</v>
      </c>
      <c r="Q32" s="2">
        <f t="shared" si="0"/>
        <v>0.10306078602002816</v>
      </c>
      <c r="R32" s="4">
        <v>19.98</v>
      </c>
      <c r="S32" s="5">
        <v>5.43000060133636E-5</v>
      </c>
    </row>
    <row r="33" spans="1:19">
      <c r="A33" s="1" t="s">
        <v>51</v>
      </c>
      <c r="B33" s="1">
        <v>8</v>
      </c>
      <c r="C33" s="1">
        <v>6</v>
      </c>
      <c r="D33" s="1" t="s">
        <v>17</v>
      </c>
      <c r="E33" s="1">
        <v>6</v>
      </c>
      <c r="F33" s="1">
        <v>0</v>
      </c>
      <c r="G33" s="1" t="s">
        <v>18</v>
      </c>
      <c r="H33" s="1">
        <v>5</v>
      </c>
      <c r="I33" s="1">
        <v>4</v>
      </c>
      <c r="J33" s="1" t="s">
        <v>17</v>
      </c>
      <c r="K33" s="1">
        <v>1</v>
      </c>
      <c r="L33" s="1" t="s">
        <v>19</v>
      </c>
      <c r="M33" s="1" t="s">
        <v>20</v>
      </c>
      <c r="N33" s="1" t="s">
        <v>18</v>
      </c>
      <c r="O33" s="1">
        <v>92.400001000000003</v>
      </c>
      <c r="P33" s="1">
        <v>107.877634</v>
      </c>
      <c r="Q33" s="2">
        <f t="shared" si="0"/>
        <v>0.16750684883650593</v>
      </c>
      <c r="R33" s="4">
        <v>19.75</v>
      </c>
      <c r="S33" s="5">
        <v>4.6500004827976227E-5</v>
      </c>
    </row>
    <row r="34" spans="1:19">
      <c r="A34" s="1" t="s">
        <v>52</v>
      </c>
      <c r="B34" s="1">
        <v>10</v>
      </c>
      <c r="C34" s="1">
        <v>1</v>
      </c>
      <c r="D34" s="1" t="s">
        <v>18</v>
      </c>
      <c r="E34" s="1">
        <v>8</v>
      </c>
      <c r="F34" s="1">
        <v>3</v>
      </c>
      <c r="G34" s="1" t="s">
        <v>17</v>
      </c>
      <c r="H34" s="1">
        <v>9</v>
      </c>
      <c r="I34" s="1">
        <v>6</v>
      </c>
      <c r="J34" s="1" t="s">
        <v>17</v>
      </c>
      <c r="K34" s="1">
        <v>6</v>
      </c>
      <c r="L34" s="1" t="s">
        <v>19</v>
      </c>
      <c r="M34" s="1" t="s">
        <v>20</v>
      </c>
      <c r="N34" s="1" t="s">
        <v>18</v>
      </c>
      <c r="O34" s="1">
        <v>571.76000799999997</v>
      </c>
      <c r="P34" s="1">
        <v>567.94233599999995</v>
      </c>
      <c r="Q34" s="2">
        <f t="shared" ref="Q34:Q65" si="1">ABS(P34-O34)/O34</f>
        <v>6.6770532156562026E-3</v>
      </c>
      <c r="R34" s="4">
        <v>19.53</v>
      </c>
      <c r="S34" s="5">
        <v>4.9099966417998082E-5</v>
      </c>
    </row>
    <row r="35" spans="1:19">
      <c r="A35" s="1" t="s">
        <v>53</v>
      </c>
      <c r="B35" s="1">
        <v>8</v>
      </c>
      <c r="C35" s="1">
        <v>1</v>
      </c>
      <c r="D35" s="1" t="s">
        <v>18</v>
      </c>
      <c r="E35" s="1">
        <v>8</v>
      </c>
      <c r="F35" s="1">
        <v>2</v>
      </c>
      <c r="G35" s="1" t="s">
        <v>18</v>
      </c>
      <c r="H35" s="1">
        <v>9</v>
      </c>
      <c r="I35" s="1">
        <v>6</v>
      </c>
      <c r="J35" s="1" t="s">
        <v>18</v>
      </c>
      <c r="K35" s="1">
        <v>3</v>
      </c>
      <c r="L35" s="1" t="s">
        <v>19</v>
      </c>
      <c r="M35" s="1" t="s">
        <v>20</v>
      </c>
      <c r="N35" s="1" t="s">
        <v>17</v>
      </c>
      <c r="O35" s="1">
        <v>343.27999299999999</v>
      </c>
      <c r="P35" s="1">
        <v>336.72811400000001</v>
      </c>
      <c r="Q35" s="2">
        <f t="shared" si="1"/>
        <v>1.9086107939882139E-2</v>
      </c>
      <c r="R35" s="4">
        <v>19.5</v>
      </c>
      <c r="S35" s="5">
        <v>4.7900015488266938E-5</v>
      </c>
    </row>
    <row r="36" spans="1:19">
      <c r="A36" s="1" t="s">
        <v>54</v>
      </c>
      <c r="B36" s="1">
        <v>16</v>
      </c>
      <c r="C36" s="1">
        <v>1</v>
      </c>
      <c r="D36" s="1" t="s">
        <v>18</v>
      </c>
      <c r="E36" s="1">
        <v>8</v>
      </c>
      <c r="F36" s="1">
        <v>2</v>
      </c>
      <c r="G36" s="1" t="s">
        <v>17</v>
      </c>
      <c r="H36" s="1">
        <v>16</v>
      </c>
      <c r="I36" s="1">
        <v>8</v>
      </c>
      <c r="J36" s="1" t="s">
        <v>17</v>
      </c>
      <c r="K36" s="1">
        <v>4</v>
      </c>
      <c r="L36" s="1" t="s">
        <v>19</v>
      </c>
      <c r="M36" s="1" t="s">
        <v>20</v>
      </c>
      <c r="N36" s="1" t="s">
        <v>18</v>
      </c>
      <c r="O36" s="1">
        <v>803.04000799999994</v>
      </c>
      <c r="P36" s="1">
        <v>776.36170900000002</v>
      </c>
      <c r="Q36" s="2">
        <f t="shared" si="1"/>
        <v>3.3221631219150824E-2</v>
      </c>
      <c r="R36" s="4">
        <v>19.55</v>
      </c>
      <c r="S36" s="5">
        <v>6.3100014813244343E-5</v>
      </c>
    </row>
    <row r="37" spans="1:19">
      <c r="A37" s="1" t="s">
        <v>55</v>
      </c>
      <c r="B37" s="1">
        <v>8</v>
      </c>
      <c r="C37" s="1">
        <v>4</v>
      </c>
      <c r="D37" s="1" t="s">
        <v>18</v>
      </c>
      <c r="E37" s="1">
        <v>10</v>
      </c>
      <c r="F37" s="1">
        <v>4</v>
      </c>
      <c r="G37" s="1" t="s">
        <v>17</v>
      </c>
      <c r="H37" s="1">
        <v>8</v>
      </c>
      <c r="I37" s="1">
        <v>4</v>
      </c>
      <c r="J37" s="1" t="s">
        <v>17</v>
      </c>
      <c r="K37" s="1">
        <v>4</v>
      </c>
      <c r="L37" s="1" t="s">
        <v>19</v>
      </c>
      <c r="M37" s="1" t="s">
        <v>20</v>
      </c>
      <c r="N37" s="1" t="s">
        <v>17</v>
      </c>
      <c r="O37" s="1">
        <v>693.27998600000001</v>
      </c>
      <c r="P37" s="1">
        <v>692.60610699999995</v>
      </c>
      <c r="Q37" s="2">
        <f t="shared" si="1"/>
        <v>9.7201565544697015E-4</v>
      </c>
      <c r="R37" s="4">
        <v>19.97</v>
      </c>
      <c r="S37" s="5">
        <v>4.9999973271042109E-5</v>
      </c>
    </row>
    <row r="38" spans="1:19">
      <c r="A38" s="1" t="s">
        <v>56</v>
      </c>
      <c r="B38" s="1">
        <v>8</v>
      </c>
      <c r="C38" s="1">
        <v>2</v>
      </c>
      <c r="D38" s="1" t="s">
        <v>17</v>
      </c>
      <c r="E38" s="1">
        <v>10</v>
      </c>
      <c r="F38" s="1">
        <v>6</v>
      </c>
      <c r="G38" s="1" t="s">
        <v>18</v>
      </c>
      <c r="H38" s="1">
        <v>12</v>
      </c>
      <c r="I38" s="1">
        <v>2</v>
      </c>
      <c r="J38" s="1" t="s">
        <v>17</v>
      </c>
      <c r="K38" s="1">
        <v>3</v>
      </c>
      <c r="L38" s="1" t="s">
        <v>19</v>
      </c>
      <c r="M38" s="1" t="s">
        <v>20</v>
      </c>
      <c r="N38" s="1" t="s">
        <v>18</v>
      </c>
      <c r="O38" s="1">
        <v>709.52000699999996</v>
      </c>
      <c r="P38" s="1">
        <v>730.78538400000002</v>
      </c>
      <c r="Q38" s="2">
        <f t="shared" si="1"/>
        <v>2.9971497336508595E-2</v>
      </c>
      <c r="R38" s="4">
        <v>19.78</v>
      </c>
      <c r="S38" s="5">
        <v>5.4100004490464933E-5</v>
      </c>
    </row>
    <row r="39" spans="1:19">
      <c r="A39" s="1" t="s">
        <v>57</v>
      </c>
      <c r="B39" s="1">
        <v>12</v>
      </c>
      <c r="C39" s="1">
        <v>2</v>
      </c>
      <c r="D39" s="1" t="s">
        <v>17</v>
      </c>
      <c r="E39" s="1">
        <v>9</v>
      </c>
      <c r="F39" s="1">
        <v>2</v>
      </c>
      <c r="G39" s="1" t="s">
        <v>18</v>
      </c>
      <c r="H39" s="1">
        <v>6</v>
      </c>
      <c r="I39" s="1">
        <v>0</v>
      </c>
      <c r="J39" s="1" t="s">
        <v>17</v>
      </c>
      <c r="K39" s="1">
        <v>3</v>
      </c>
      <c r="L39" s="1" t="s">
        <v>19</v>
      </c>
      <c r="M39" s="1" t="s">
        <v>20</v>
      </c>
      <c r="N39" s="1" t="s">
        <v>17</v>
      </c>
      <c r="O39" s="1">
        <v>495.59999199999999</v>
      </c>
      <c r="P39" s="1">
        <v>473.63750199999998</v>
      </c>
      <c r="Q39" s="2">
        <f t="shared" si="1"/>
        <v>4.4314952289184063E-2</v>
      </c>
      <c r="R39" s="4">
        <v>19.68</v>
      </c>
      <c r="S39" s="5">
        <v>5.2399991545826197E-5</v>
      </c>
    </row>
    <row r="40" spans="1:19">
      <c r="A40" s="1" t="s">
        <v>58</v>
      </c>
      <c r="B40" s="1">
        <v>14</v>
      </c>
      <c r="C40" s="1">
        <v>8</v>
      </c>
      <c r="D40" s="1" t="s">
        <v>18</v>
      </c>
      <c r="E40" s="1">
        <v>9</v>
      </c>
      <c r="F40" s="1">
        <v>4</v>
      </c>
      <c r="G40" s="1" t="s">
        <v>18</v>
      </c>
      <c r="H40" s="1">
        <v>9</v>
      </c>
      <c r="I40" s="1">
        <v>8</v>
      </c>
      <c r="J40" s="1" t="s">
        <v>18</v>
      </c>
      <c r="K40" s="1">
        <v>0</v>
      </c>
      <c r="L40" s="1" t="s">
        <v>19</v>
      </c>
      <c r="M40" s="1" t="s">
        <v>20</v>
      </c>
      <c r="N40" s="1" t="s">
        <v>17</v>
      </c>
      <c r="O40" s="1">
        <v>211.67999900000001</v>
      </c>
      <c r="P40" s="1">
        <v>206.696943</v>
      </c>
      <c r="Q40" s="2">
        <f t="shared" si="1"/>
        <v>2.3540514094579169E-2</v>
      </c>
      <c r="R40" s="4">
        <v>20.45</v>
      </c>
      <c r="S40" s="5">
        <v>5.8599980548024178E-5</v>
      </c>
    </row>
    <row r="41" spans="1:19">
      <c r="A41" s="1" t="s">
        <v>59</v>
      </c>
      <c r="B41" s="1">
        <v>14</v>
      </c>
      <c r="C41" s="1">
        <v>4</v>
      </c>
      <c r="D41" s="1" t="s">
        <v>17</v>
      </c>
      <c r="E41" s="1">
        <v>5</v>
      </c>
      <c r="F41" s="1">
        <v>0</v>
      </c>
      <c r="G41" s="1" t="s">
        <v>18</v>
      </c>
      <c r="H41" s="1">
        <v>16</v>
      </c>
      <c r="I41" s="1">
        <v>2</v>
      </c>
      <c r="J41" s="1" t="s">
        <v>17</v>
      </c>
      <c r="K41" s="1">
        <v>2</v>
      </c>
      <c r="L41" s="1" t="s">
        <v>19</v>
      </c>
      <c r="M41" s="1" t="s">
        <v>20</v>
      </c>
      <c r="N41" s="1" t="s">
        <v>18</v>
      </c>
      <c r="O41" s="1">
        <v>693.28000599999996</v>
      </c>
      <c r="P41" s="1">
        <v>724.91686300000003</v>
      </c>
      <c r="Q41" s="2">
        <f t="shared" si="1"/>
        <v>4.5633592092947331E-2</v>
      </c>
      <c r="R41" s="4">
        <v>19.690000000000001</v>
      </c>
      <c r="S41" s="5">
        <v>6.0599995777010918E-5</v>
      </c>
    </row>
    <row r="42" spans="1:19">
      <c r="A42" s="1" t="s">
        <v>60</v>
      </c>
      <c r="B42" s="1">
        <v>10</v>
      </c>
      <c r="C42" s="1">
        <v>8</v>
      </c>
      <c r="D42" s="1" t="s">
        <v>18</v>
      </c>
      <c r="E42" s="1">
        <v>8</v>
      </c>
      <c r="F42" s="1">
        <v>3</v>
      </c>
      <c r="G42" s="1" t="s">
        <v>18</v>
      </c>
      <c r="H42" s="1">
        <v>12</v>
      </c>
      <c r="I42" s="1">
        <v>2</v>
      </c>
      <c r="J42" s="1" t="s">
        <v>18</v>
      </c>
      <c r="K42" s="1">
        <v>2</v>
      </c>
      <c r="L42" s="1" t="s">
        <v>19</v>
      </c>
      <c r="M42" s="1" t="s">
        <v>20</v>
      </c>
      <c r="N42" s="1" t="s">
        <v>18</v>
      </c>
      <c r="O42" s="1">
        <v>539.28000499999996</v>
      </c>
      <c r="P42" s="1">
        <v>545.08121600000004</v>
      </c>
      <c r="Q42" s="2">
        <f t="shared" si="1"/>
        <v>1.0757326335509288E-2</v>
      </c>
      <c r="R42" s="4">
        <v>19.57</v>
      </c>
      <c r="S42" s="5">
        <v>6.1400001868605614E-5</v>
      </c>
    </row>
    <row r="43" spans="1:19">
      <c r="A43" s="1" t="s">
        <v>61</v>
      </c>
      <c r="B43" s="1">
        <v>12</v>
      </c>
      <c r="C43" s="1">
        <v>4</v>
      </c>
      <c r="D43" s="1" t="s">
        <v>17</v>
      </c>
      <c r="E43" s="1">
        <v>8</v>
      </c>
      <c r="F43" s="1">
        <v>3</v>
      </c>
      <c r="G43" s="1" t="s">
        <v>18</v>
      </c>
      <c r="H43" s="1">
        <v>10</v>
      </c>
      <c r="I43" s="1">
        <v>0</v>
      </c>
      <c r="J43" s="1" t="s">
        <v>17</v>
      </c>
      <c r="K43" s="1">
        <v>6</v>
      </c>
      <c r="L43" s="1" t="s">
        <v>19</v>
      </c>
      <c r="M43" s="1" t="s">
        <v>20</v>
      </c>
      <c r="N43" s="1" t="s">
        <v>18</v>
      </c>
      <c r="O43" s="1">
        <v>1024.2400130000001</v>
      </c>
      <c r="P43" s="1">
        <v>1057.945444</v>
      </c>
      <c r="Q43" s="2">
        <f t="shared" si="1"/>
        <v>3.2907746790009323E-2</v>
      </c>
      <c r="R43" s="4">
        <v>19.95</v>
      </c>
      <c r="S43" s="5">
        <v>5.9099984355270863E-5</v>
      </c>
    </row>
    <row r="44" spans="1:19">
      <c r="A44" s="1" t="s">
        <v>62</v>
      </c>
      <c r="B44" s="1">
        <v>9</v>
      </c>
      <c r="C44" s="1">
        <v>1</v>
      </c>
      <c r="D44" s="1" t="s">
        <v>18</v>
      </c>
      <c r="E44" s="1">
        <v>8</v>
      </c>
      <c r="F44" s="1">
        <v>6</v>
      </c>
      <c r="G44" s="1" t="s">
        <v>18</v>
      </c>
      <c r="H44" s="1">
        <v>8</v>
      </c>
      <c r="I44" s="1">
        <v>6</v>
      </c>
      <c r="J44" s="1" t="s">
        <v>18</v>
      </c>
      <c r="K44" s="1">
        <v>1</v>
      </c>
      <c r="L44" s="1" t="s">
        <v>19</v>
      </c>
      <c r="M44" s="1" t="s">
        <v>20</v>
      </c>
      <c r="N44" s="1" t="s">
        <v>17</v>
      </c>
      <c r="O44" s="1">
        <v>258.15999699999998</v>
      </c>
      <c r="P44" s="1">
        <v>246.970281</v>
      </c>
      <c r="Q44" s="2">
        <f t="shared" si="1"/>
        <v>4.3344112682182814E-2</v>
      </c>
      <c r="R44" s="4">
        <v>19.43</v>
      </c>
      <c r="S44" s="5">
        <v>5.830003647133708E-5</v>
      </c>
    </row>
    <row r="45" spans="1:19">
      <c r="A45" s="1" t="s">
        <v>63</v>
      </c>
      <c r="B45" s="1">
        <v>6</v>
      </c>
      <c r="C45" s="1">
        <v>1</v>
      </c>
      <c r="D45" s="1" t="s">
        <v>17</v>
      </c>
      <c r="E45" s="1">
        <v>12</v>
      </c>
      <c r="F45" s="1">
        <v>6</v>
      </c>
      <c r="G45" s="1" t="s">
        <v>17</v>
      </c>
      <c r="H45" s="1">
        <v>10</v>
      </c>
      <c r="I45" s="1">
        <v>6</v>
      </c>
      <c r="J45" s="1" t="s">
        <v>17</v>
      </c>
      <c r="K45" s="1">
        <v>6</v>
      </c>
      <c r="L45" s="1" t="s">
        <v>19</v>
      </c>
      <c r="M45" s="1" t="s">
        <v>20</v>
      </c>
      <c r="N45" s="1" t="s">
        <v>18</v>
      </c>
      <c r="O45" s="1">
        <v>956.48001399999998</v>
      </c>
      <c r="P45" s="1">
        <v>906.50527299999999</v>
      </c>
      <c r="Q45" s="2">
        <f t="shared" si="1"/>
        <v>5.2248599310513136E-2</v>
      </c>
      <c r="R45" s="4">
        <v>20.079999999999998</v>
      </c>
      <c r="S45" s="5">
        <v>5.43000060133636E-5</v>
      </c>
    </row>
    <row r="46" spans="1:19">
      <c r="A46" s="1" t="s">
        <v>64</v>
      </c>
      <c r="B46" s="1">
        <v>16</v>
      </c>
      <c r="C46" s="1">
        <v>3</v>
      </c>
      <c r="D46" s="1" t="s">
        <v>17</v>
      </c>
      <c r="E46" s="1">
        <v>14</v>
      </c>
      <c r="F46" s="1">
        <v>2</v>
      </c>
      <c r="G46" s="1" t="s">
        <v>18</v>
      </c>
      <c r="H46" s="1">
        <v>10</v>
      </c>
      <c r="I46" s="1">
        <v>4</v>
      </c>
      <c r="J46" s="1" t="s">
        <v>17</v>
      </c>
      <c r="K46" s="1">
        <v>6</v>
      </c>
      <c r="L46" s="1" t="s">
        <v>19</v>
      </c>
      <c r="M46" s="1" t="s">
        <v>20</v>
      </c>
      <c r="N46" s="1" t="s">
        <v>18</v>
      </c>
      <c r="O46" s="1">
        <v>935.20001200000002</v>
      </c>
      <c r="P46" s="1">
        <v>913.76582699999994</v>
      </c>
      <c r="Q46" s="2">
        <f t="shared" si="1"/>
        <v>2.2919359201205903E-2</v>
      </c>
      <c r="R46" s="4">
        <v>20.149999999999999</v>
      </c>
      <c r="S46" s="5">
        <v>5.4900010582059622E-5</v>
      </c>
    </row>
    <row r="47" spans="1:19">
      <c r="A47" s="1" t="s">
        <v>65</v>
      </c>
      <c r="B47" s="1">
        <v>14</v>
      </c>
      <c r="C47" s="1">
        <v>3</v>
      </c>
      <c r="D47" s="1" t="s">
        <v>17</v>
      </c>
      <c r="E47" s="1">
        <v>8</v>
      </c>
      <c r="F47" s="1">
        <v>2</v>
      </c>
      <c r="G47" s="1" t="s">
        <v>18</v>
      </c>
      <c r="H47" s="1">
        <v>10</v>
      </c>
      <c r="I47" s="1">
        <v>1</v>
      </c>
      <c r="J47" s="1" t="s">
        <v>17</v>
      </c>
      <c r="K47" s="1">
        <v>1</v>
      </c>
      <c r="L47" s="1" t="s">
        <v>19</v>
      </c>
      <c r="M47" s="1" t="s">
        <v>20</v>
      </c>
      <c r="N47" s="1" t="s">
        <v>17</v>
      </c>
      <c r="O47" s="1">
        <v>468.71999499999998</v>
      </c>
      <c r="P47" s="1">
        <v>476.23142799999999</v>
      </c>
      <c r="Q47" s="2">
        <f t="shared" si="1"/>
        <v>1.602541619757444E-2</v>
      </c>
      <c r="R47" s="4">
        <v>20.010000000000002</v>
      </c>
      <c r="S47" s="5">
        <v>5.7599972933530807E-5</v>
      </c>
    </row>
    <row r="48" spans="1:19">
      <c r="A48" s="1" t="s">
        <v>66</v>
      </c>
      <c r="B48" s="1">
        <v>12</v>
      </c>
      <c r="C48" s="1">
        <v>4</v>
      </c>
      <c r="D48" s="1" t="s">
        <v>18</v>
      </c>
      <c r="E48" s="1">
        <v>9</v>
      </c>
      <c r="F48" s="1">
        <v>4</v>
      </c>
      <c r="G48" s="1" t="s">
        <v>17</v>
      </c>
      <c r="H48" s="1">
        <v>16</v>
      </c>
      <c r="I48" s="1">
        <v>3</v>
      </c>
      <c r="J48" s="1" t="s">
        <v>17</v>
      </c>
      <c r="K48" s="1">
        <v>6</v>
      </c>
      <c r="L48" s="1" t="s">
        <v>19</v>
      </c>
      <c r="M48" s="1" t="s">
        <v>20</v>
      </c>
      <c r="N48" s="1" t="s">
        <v>18</v>
      </c>
      <c r="O48" s="1">
        <v>1522.080021</v>
      </c>
      <c r="P48" s="1">
        <v>1549.035897</v>
      </c>
      <c r="Q48" s="2">
        <f t="shared" si="1"/>
        <v>1.7709894110751218E-2</v>
      </c>
      <c r="R48" s="4">
        <v>19.77</v>
      </c>
      <c r="S48" s="5">
        <v>6.0000049415975809E-5</v>
      </c>
    </row>
    <row r="49" spans="1:19">
      <c r="A49" s="1" t="s">
        <v>67</v>
      </c>
      <c r="B49" s="1">
        <v>16</v>
      </c>
      <c r="C49" s="1">
        <v>2</v>
      </c>
      <c r="D49" s="1" t="s">
        <v>18</v>
      </c>
      <c r="E49" s="1">
        <v>10</v>
      </c>
      <c r="F49" s="1">
        <v>6</v>
      </c>
      <c r="G49" s="1" t="s">
        <v>18</v>
      </c>
      <c r="H49" s="1">
        <v>12</v>
      </c>
      <c r="I49" s="1">
        <v>0</v>
      </c>
      <c r="J49" s="1" t="s">
        <v>18</v>
      </c>
      <c r="K49" s="1">
        <v>1</v>
      </c>
      <c r="L49" s="1" t="s">
        <v>19</v>
      </c>
      <c r="M49" s="1" t="s">
        <v>20</v>
      </c>
      <c r="N49" s="1" t="s">
        <v>18</v>
      </c>
      <c r="O49" s="1">
        <v>535.92000199999995</v>
      </c>
      <c r="P49" s="1">
        <v>546.93369600000005</v>
      </c>
      <c r="Q49" s="2">
        <f t="shared" si="1"/>
        <v>2.0551003804482187E-2</v>
      </c>
      <c r="R49" s="4">
        <v>19.28</v>
      </c>
      <c r="S49" s="5">
        <v>7.2700029704719782E-5</v>
      </c>
    </row>
    <row r="50" spans="1:19">
      <c r="A50" s="1" t="s">
        <v>68</v>
      </c>
      <c r="B50" s="1">
        <v>12</v>
      </c>
      <c r="C50" s="1">
        <v>3</v>
      </c>
      <c r="D50" s="1" t="s">
        <v>17</v>
      </c>
      <c r="E50" s="1">
        <v>5</v>
      </c>
      <c r="F50" s="1">
        <v>3</v>
      </c>
      <c r="G50" s="1" t="s">
        <v>18</v>
      </c>
      <c r="H50" s="1">
        <v>6</v>
      </c>
      <c r="I50" s="1">
        <v>2</v>
      </c>
      <c r="J50" s="1" t="s">
        <v>17</v>
      </c>
      <c r="K50" s="1">
        <v>3</v>
      </c>
      <c r="L50" s="1" t="s">
        <v>19</v>
      </c>
      <c r="M50" s="1" t="s">
        <v>20</v>
      </c>
      <c r="N50" s="1" t="s">
        <v>18</v>
      </c>
      <c r="O50" s="1">
        <v>428.96000299999997</v>
      </c>
      <c r="P50" s="1">
        <v>415.96091300000001</v>
      </c>
      <c r="Q50" s="2">
        <f t="shared" si="1"/>
        <v>3.0303734402015958E-2</v>
      </c>
      <c r="R50" s="4">
        <v>19.63</v>
      </c>
      <c r="S50" s="5">
        <v>4.9200025387108333E-5</v>
      </c>
    </row>
    <row r="51" spans="1:19">
      <c r="A51" s="1" t="s">
        <v>69</v>
      </c>
      <c r="B51" s="1">
        <v>14</v>
      </c>
      <c r="C51" s="1">
        <v>4</v>
      </c>
      <c r="D51" s="1" t="s">
        <v>18</v>
      </c>
      <c r="E51" s="1">
        <v>9</v>
      </c>
      <c r="F51" s="1">
        <v>6</v>
      </c>
      <c r="G51" s="1" t="s">
        <v>18</v>
      </c>
      <c r="H51" s="1">
        <v>10</v>
      </c>
      <c r="I51" s="1">
        <v>8</v>
      </c>
      <c r="J51" s="1" t="s">
        <v>18</v>
      </c>
      <c r="K51" s="1">
        <v>4</v>
      </c>
      <c r="L51" s="1" t="s">
        <v>19</v>
      </c>
      <c r="M51" s="1" t="s">
        <v>20</v>
      </c>
      <c r="N51" s="1" t="s">
        <v>18</v>
      </c>
      <c r="O51" s="1">
        <v>636.72000700000001</v>
      </c>
      <c r="P51" s="1">
        <v>600.25233500000002</v>
      </c>
      <c r="Q51" s="2">
        <f t="shared" si="1"/>
        <v>5.7274267494471856E-2</v>
      </c>
      <c r="R51" s="4">
        <v>19.739999999999998</v>
      </c>
      <c r="S51" s="5">
        <v>5.819997750222683E-5</v>
      </c>
    </row>
    <row r="52" spans="1:19">
      <c r="A52" s="1" t="s">
        <v>70</v>
      </c>
      <c r="B52" s="1">
        <v>10</v>
      </c>
      <c r="C52" s="1">
        <v>8</v>
      </c>
      <c r="D52" s="1" t="s">
        <v>17</v>
      </c>
      <c r="E52" s="1">
        <v>8</v>
      </c>
      <c r="F52" s="1">
        <v>4</v>
      </c>
      <c r="G52" s="1" t="s">
        <v>17</v>
      </c>
      <c r="H52" s="1">
        <v>16</v>
      </c>
      <c r="I52" s="1">
        <v>4</v>
      </c>
      <c r="J52" s="1" t="s">
        <v>17</v>
      </c>
      <c r="K52" s="1">
        <v>6</v>
      </c>
      <c r="L52" s="1" t="s">
        <v>19</v>
      </c>
      <c r="M52" s="1" t="s">
        <v>20</v>
      </c>
      <c r="N52" s="1" t="s">
        <v>18</v>
      </c>
      <c r="O52" s="1">
        <v>1457.120021</v>
      </c>
      <c r="P52" s="1">
        <v>1443.069884</v>
      </c>
      <c r="Q52" s="2">
        <f t="shared" si="1"/>
        <v>9.642401996753534E-3</v>
      </c>
      <c r="R52" s="4">
        <v>19.899999999999999</v>
      </c>
      <c r="S52" s="5">
        <v>5.4800009820610278E-5</v>
      </c>
    </row>
    <row r="53" spans="1:19">
      <c r="A53" s="1" t="s">
        <v>71</v>
      </c>
      <c r="B53" s="1">
        <v>12</v>
      </c>
      <c r="C53" s="1">
        <v>6</v>
      </c>
      <c r="D53" s="1" t="s">
        <v>17</v>
      </c>
      <c r="E53" s="1">
        <v>14</v>
      </c>
      <c r="F53" s="1">
        <v>0</v>
      </c>
      <c r="G53" s="1" t="s">
        <v>18</v>
      </c>
      <c r="H53" s="1">
        <v>10</v>
      </c>
      <c r="I53" s="1">
        <v>6</v>
      </c>
      <c r="J53" s="1" t="s">
        <v>17</v>
      </c>
      <c r="K53" s="1">
        <v>2</v>
      </c>
      <c r="L53" s="1" t="s">
        <v>19</v>
      </c>
      <c r="M53" s="1" t="s">
        <v>20</v>
      </c>
      <c r="N53" s="1" t="s">
        <v>17</v>
      </c>
      <c r="O53" s="1">
        <v>416.63999100000001</v>
      </c>
      <c r="P53" s="1">
        <v>425.97665899999998</v>
      </c>
      <c r="Q53" s="2">
        <f t="shared" si="1"/>
        <v>2.2409437888068633E-2</v>
      </c>
      <c r="R53" s="4">
        <v>19.62</v>
      </c>
      <c r="S53" s="5">
        <v>6.019999273121357E-5</v>
      </c>
    </row>
    <row r="54" spans="1:19">
      <c r="A54" s="1" t="s">
        <v>72</v>
      </c>
      <c r="B54" s="1">
        <v>10</v>
      </c>
      <c r="C54" s="1">
        <v>3</v>
      </c>
      <c r="D54" s="1" t="s">
        <v>18</v>
      </c>
      <c r="E54" s="1">
        <v>14</v>
      </c>
      <c r="F54" s="1">
        <v>4</v>
      </c>
      <c r="G54" s="1" t="s">
        <v>18</v>
      </c>
      <c r="H54" s="1">
        <v>12</v>
      </c>
      <c r="I54" s="1">
        <v>1</v>
      </c>
      <c r="J54" s="1" t="s">
        <v>18</v>
      </c>
      <c r="K54" s="1">
        <v>3</v>
      </c>
      <c r="L54" s="1" t="s">
        <v>19</v>
      </c>
      <c r="M54" s="1" t="s">
        <v>20</v>
      </c>
      <c r="N54" s="1" t="s">
        <v>18</v>
      </c>
      <c r="O54" s="1">
        <v>818.16000799999995</v>
      </c>
      <c r="P54" s="1">
        <v>835.18845699999997</v>
      </c>
      <c r="Q54" s="2">
        <f t="shared" si="1"/>
        <v>2.081310359036765E-2</v>
      </c>
      <c r="R54" s="4">
        <v>19.690000000000001</v>
      </c>
      <c r="S54" s="5">
        <v>6.5900036133825779E-5</v>
      </c>
    </row>
    <row r="55" spans="1:19">
      <c r="A55" s="1" t="s">
        <v>73</v>
      </c>
      <c r="B55" s="1">
        <v>6</v>
      </c>
      <c r="C55" s="1">
        <v>2</v>
      </c>
      <c r="D55" s="1" t="s">
        <v>18</v>
      </c>
      <c r="E55" s="1">
        <v>8</v>
      </c>
      <c r="F55" s="1">
        <v>4</v>
      </c>
      <c r="G55" s="1" t="s">
        <v>18</v>
      </c>
      <c r="H55" s="1">
        <v>12</v>
      </c>
      <c r="I55" s="1">
        <v>8</v>
      </c>
      <c r="J55" s="1" t="s">
        <v>18</v>
      </c>
      <c r="K55" s="1">
        <v>0</v>
      </c>
      <c r="L55" s="1" t="s">
        <v>19</v>
      </c>
      <c r="M55" s="1" t="s">
        <v>20</v>
      </c>
      <c r="N55" s="1" t="s">
        <v>17</v>
      </c>
      <c r="O55" s="1">
        <v>245.84</v>
      </c>
      <c r="P55" s="1">
        <v>229.39510799999999</v>
      </c>
      <c r="Q55" s="2">
        <f t="shared" si="1"/>
        <v>6.6892661893914782E-2</v>
      </c>
      <c r="R55" s="4">
        <v>19.55</v>
      </c>
      <c r="S55" s="5">
        <v>5.029997555539012E-5</v>
      </c>
    </row>
    <row r="56" spans="1:19">
      <c r="A56" s="1" t="s">
        <v>74</v>
      </c>
      <c r="B56" s="1">
        <v>9</v>
      </c>
      <c r="C56" s="1">
        <v>8</v>
      </c>
      <c r="D56" s="1" t="s">
        <v>17</v>
      </c>
      <c r="E56" s="1">
        <v>14</v>
      </c>
      <c r="F56" s="1">
        <v>0</v>
      </c>
      <c r="G56" s="1" t="s">
        <v>17</v>
      </c>
      <c r="H56" s="1">
        <v>10</v>
      </c>
      <c r="I56" s="1">
        <v>0</v>
      </c>
      <c r="J56" s="1" t="s">
        <v>17</v>
      </c>
      <c r="K56" s="1">
        <v>0</v>
      </c>
      <c r="L56" s="1" t="s">
        <v>19</v>
      </c>
      <c r="M56" s="1" t="s">
        <v>20</v>
      </c>
      <c r="N56" s="1" t="s">
        <v>17</v>
      </c>
      <c r="O56" s="1">
        <v>365.12</v>
      </c>
      <c r="P56" s="1">
        <v>331.87365199999999</v>
      </c>
      <c r="Q56" s="2">
        <f t="shared" si="1"/>
        <v>9.105594872918496E-2</v>
      </c>
      <c r="R56" s="4">
        <v>20.34</v>
      </c>
      <c r="S56" s="5">
        <v>6.3700019381940365E-5</v>
      </c>
    </row>
    <row r="57" spans="1:19">
      <c r="A57" s="1" t="s">
        <v>75</v>
      </c>
      <c r="B57" s="1">
        <v>16</v>
      </c>
      <c r="C57" s="1">
        <v>6</v>
      </c>
      <c r="D57" s="1" t="s">
        <v>18</v>
      </c>
      <c r="E57" s="1">
        <v>14</v>
      </c>
      <c r="F57" s="1">
        <v>0</v>
      </c>
      <c r="G57" s="1" t="s">
        <v>18</v>
      </c>
      <c r="H57" s="1">
        <v>9</v>
      </c>
      <c r="I57" s="1">
        <v>4</v>
      </c>
      <c r="J57" s="1" t="s">
        <v>18</v>
      </c>
      <c r="K57" s="1">
        <v>2</v>
      </c>
      <c r="L57" s="1" t="s">
        <v>19</v>
      </c>
      <c r="M57" s="1" t="s">
        <v>20</v>
      </c>
      <c r="N57" s="1" t="s">
        <v>18</v>
      </c>
      <c r="O57" s="1">
        <v>375.76000399999998</v>
      </c>
      <c r="P57" s="1">
        <v>395.07743900000003</v>
      </c>
      <c r="Q57" s="2">
        <f t="shared" si="1"/>
        <v>5.1408970604545891E-2</v>
      </c>
      <c r="R57" s="4">
        <v>19.940000000000001</v>
      </c>
      <c r="S57" s="5">
        <v>6.2400009483098984E-5</v>
      </c>
    </row>
    <row r="58" spans="1:19">
      <c r="A58" s="1" t="s">
        <v>76</v>
      </c>
      <c r="B58" s="1">
        <v>10</v>
      </c>
      <c r="C58" s="1">
        <v>4</v>
      </c>
      <c r="D58" s="1" t="s">
        <v>18</v>
      </c>
      <c r="E58" s="1">
        <v>10</v>
      </c>
      <c r="F58" s="1">
        <v>6</v>
      </c>
      <c r="G58" s="1" t="s">
        <v>17</v>
      </c>
      <c r="H58" s="1">
        <v>8</v>
      </c>
      <c r="I58" s="1">
        <v>2</v>
      </c>
      <c r="J58" s="1" t="s">
        <v>17</v>
      </c>
      <c r="K58" s="1">
        <v>0</v>
      </c>
      <c r="L58" s="1" t="s">
        <v>19</v>
      </c>
      <c r="M58" s="1" t="s">
        <v>20</v>
      </c>
      <c r="N58" s="1" t="s">
        <v>18</v>
      </c>
      <c r="O58" s="1">
        <v>320.88</v>
      </c>
      <c r="P58" s="1">
        <v>336.36977999999999</v>
      </c>
      <c r="Q58" s="2">
        <f t="shared" si="1"/>
        <v>4.8272812266267749E-2</v>
      </c>
      <c r="R58" s="4">
        <v>19.97</v>
      </c>
      <c r="S58" s="5">
        <v>5.43000060133636E-5</v>
      </c>
    </row>
    <row r="59" spans="1:19">
      <c r="A59" s="1" t="s">
        <v>77</v>
      </c>
      <c r="B59" s="1">
        <v>12</v>
      </c>
      <c r="C59" s="1">
        <v>1</v>
      </c>
      <c r="D59" s="1" t="s">
        <v>17</v>
      </c>
      <c r="E59" s="1">
        <v>12</v>
      </c>
      <c r="F59" s="1">
        <v>4</v>
      </c>
      <c r="G59" s="1" t="s">
        <v>18</v>
      </c>
      <c r="H59" s="1">
        <v>9</v>
      </c>
      <c r="I59" s="1">
        <v>1</v>
      </c>
      <c r="J59" s="1" t="s">
        <v>17</v>
      </c>
      <c r="K59" s="1">
        <v>2</v>
      </c>
      <c r="L59" s="1" t="s">
        <v>19</v>
      </c>
      <c r="M59" s="1" t="s">
        <v>20</v>
      </c>
      <c r="N59" s="1" t="s">
        <v>17</v>
      </c>
      <c r="O59" s="1">
        <v>567.83999200000005</v>
      </c>
      <c r="P59" s="1">
        <v>551.926466</v>
      </c>
      <c r="Q59" s="2">
        <f t="shared" si="1"/>
        <v>2.8024665793528761E-2</v>
      </c>
      <c r="R59" s="4">
        <v>19.350000000000001</v>
      </c>
      <c r="S59" s="5">
        <v>7.4499985203146935E-5</v>
      </c>
    </row>
    <row r="60" spans="1:19">
      <c r="A60" s="1" t="s">
        <v>78</v>
      </c>
      <c r="B60" s="1">
        <v>6</v>
      </c>
      <c r="C60" s="1">
        <v>1</v>
      </c>
      <c r="D60" s="1" t="s">
        <v>18</v>
      </c>
      <c r="E60" s="1">
        <v>14</v>
      </c>
      <c r="F60" s="1">
        <v>6</v>
      </c>
      <c r="G60" s="1" t="s">
        <v>17</v>
      </c>
      <c r="H60" s="1">
        <v>6</v>
      </c>
      <c r="I60" s="1">
        <v>2</v>
      </c>
      <c r="J60" s="1" t="s">
        <v>17</v>
      </c>
      <c r="K60" s="1">
        <v>0</v>
      </c>
      <c r="L60" s="1" t="s">
        <v>19</v>
      </c>
      <c r="M60" s="1" t="s">
        <v>20</v>
      </c>
      <c r="N60" s="1" t="s">
        <v>17</v>
      </c>
      <c r="O60" s="1">
        <v>197.67999900000001</v>
      </c>
      <c r="P60" s="1">
        <v>188.72850500000001</v>
      </c>
      <c r="Q60" s="2">
        <f t="shared" si="1"/>
        <v>4.5282750127897342E-2</v>
      </c>
      <c r="R60" s="4">
        <v>20.21</v>
      </c>
      <c r="S60" s="5">
        <v>5.0600036047399037E-5</v>
      </c>
    </row>
    <row r="61" spans="1:19">
      <c r="A61" s="1" t="s">
        <v>79</v>
      </c>
      <c r="B61" s="1">
        <v>9</v>
      </c>
      <c r="C61" s="1">
        <v>2</v>
      </c>
      <c r="D61" s="1" t="s">
        <v>17</v>
      </c>
      <c r="E61" s="1">
        <v>9</v>
      </c>
      <c r="F61" s="1">
        <v>0</v>
      </c>
      <c r="G61" s="1" t="s">
        <v>17</v>
      </c>
      <c r="H61" s="1">
        <v>8</v>
      </c>
      <c r="I61" s="1">
        <v>2</v>
      </c>
      <c r="J61" s="1" t="s">
        <v>17</v>
      </c>
      <c r="K61" s="1">
        <v>3</v>
      </c>
      <c r="L61" s="1" t="s">
        <v>19</v>
      </c>
      <c r="M61" s="1" t="s">
        <v>20</v>
      </c>
      <c r="N61" s="1" t="s">
        <v>18</v>
      </c>
      <c r="O61" s="1">
        <v>476.56000499999999</v>
      </c>
      <c r="P61" s="1">
        <v>476.37665900000002</v>
      </c>
      <c r="Q61" s="2">
        <f t="shared" si="1"/>
        <v>3.8472804699582757E-4</v>
      </c>
      <c r="R61" s="4">
        <v>20.329999999999998</v>
      </c>
      <c r="S61" s="5">
        <v>4.9599970225244761E-5</v>
      </c>
    </row>
    <row r="62" spans="1:19">
      <c r="A62" s="1" t="s">
        <v>80</v>
      </c>
      <c r="B62" s="1">
        <v>9</v>
      </c>
      <c r="C62" s="1">
        <v>3</v>
      </c>
      <c r="D62" s="1" t="s">
        <v>18</v>
      </c>
      <c r="E62" s="1">
        <v>14</v>
      </c>
      <c r="F62" s="1">
        <v>1</v>
      </c>
      <c r="G62" s="1" t="s">
        <v>17</v>
      </c>
      <c r="H62" s="1">
        <v>12</v>
      </c>
      <c r="I62" s="1">
        <v>0</v>
      </c>
      <c r="J62" s="1" t="s">
        <v>17</v>
      </c>
      <c r="K62" s="1">
        <v>2</v>
      </c>
      <c r="L62" s="1" t="s">
        <v>19</v>
      </c>
      <c r="M62" s="1" t="s">
        <v>20</v>
      </c>
      <c r="N62" s="1" t="s">
        <v>18</v>
      </c>
      <c r="O62" s="1">
        <v>645.12000499999999</v>
      </c>
      <c r="P62" s="1">
        <v>689.09805900000003</v>
      </c>
      <c r="Q62" s="2">
        <f t="shared" si="1"/>
        <v>6.8170346073828617E-2</v>
      </c>
      <c r="R62" s="4">
        <v>20.010000000000002</v>
      </c>
      <c r="S62" s="5">
        <v>6.2500010244548321E-5</v>
      </c>
    </row>
    <row r="63" spans="1:19">
      <c r="A63" s="1" t="s">
        <v>81</v>
      </c>
      <c r="B63" s="1">
        <v>8</v>
      </c>
      <c r="C63" s="1">
        <v>3</v>
      </c>
      <c r="D63" s="1" t="s">
        <v>17</v>
      </c>
      <c r="E63" s="1">
        <v>12</v>
      </c>
      <c r="F63" s="1">
        <v>1</v>
      </c>
      <c r="G63" s="1" t="s">
        <v>17</v>
      </c>
      <c r="H63" s="1">
        <v>5</v>
      </c>
      <c r="I63" s="1">
        <v>0</v>
      </c>
      <c r="J63" s="1" t="s">
        <v>17</v>
      </c>
      <c r="K63" s="1">
        <v>2</v>
      </c>
      <c r="L63" s="1" t="s">
        <v>19</v>
      </c>
      <c r="M63" s="1" t="s">
        <v>20</v>
      </c>
      <c r="N63" s="1" t="s">
        <v>18</v>
      </c>
      <c r="O63" s="1">
        <v>300.16000100000002</v>
      </c>
      <c r="P63" s="1">
        <v>287.22780399999999</v>
      </c>
      <c r="Q63" s="2">
        <f t="shared" si="1"/>
        <v>4.3084344872453641E-2</v>
      </c>
      <c r="R63" s="4">
        <v>20</v>
      </c>
      <c r="S63" s="5">
        <v>5.0199974793940783E-5</v>
      </c>
    </row>
    <row r="64" spans="1:19">
      <c r="A64" s="1" t="s">
        <v>82</v>
      </c>
      <c r="B64" s="1">
        <v>16</v>
      </c>
      <c r="C64" s="1">
        <v>8</v>
      </c>
      <c r="D64" s="1" t="s">
        <v>18</v>
      </c>
      <c r="E64" s="1">
        <v>5</v>
      </c>
      <c r="F64" s="1">
        <v>4</v>
      </c>
      <c r="G64" s="1" t="s">
        <v>17</v>
      </c>
      <c r="H64" s="1">
        <v>6</v>
      </c>
      <c r="I64" s="1">
        <v>4</v>
      </c>
      <c r="J64" s="1" t="s">
        <v>17</v>
      </c>
      <c r="K64" s="1">
        <v>4</v>
      </c>
      <c r="L64" s="1" t="s">
        <v>19</v>
      </c>
      <c r="M64" s="1" t="s">
        <v>20</v>
      </c>
      <c r="N64" s="1" t="s">
        <v>17</v>
      </c>
      <c r="O64" s="1">
        <v>543.75999000000002</v>
      </c>
      <c r="P64" s="1">
        <v>505.906003</v>
      </c>
      <c r="Q64" s="2">
        <f t="shared" si="1"/>
        <v>6.9615248815934422E-2</v>
      </c>
      <c r="R64" s="4">
        <v>19.809999999999999</v>
      </c>
      <c r="S64" s="5">
        <v>5.1899987738579512E-5</v>
      </c>
    </row>
    <row r="65" spans="1:19">
      <c r="A65" s="1" t="s">
        <v>83</v>
      </c>
      <c r="B65" s="1">
        <v>8</v>
      </c>
      <c r="C65" s="1">
        <v>4</v>
      </c>
      <c r="D65" s="1" t="s">
        <v>17</v>
      </c>
      <c r="E65" s="1">
        <v>6</v>
      </c>
      <c r="F65" s="1">
        <v>4</v>
      </c>
      <c r="G65" s="1" t="s">
        <v>17</v>
      </c>
      <c r="H65" s="1">
        <v>12</v>
      </c>
      <c r="I65" s="1">
        <v>8</v>
      </c>
      <c r="J65" s="1" t="s">
        <v>17</v>
      </c>
      <c r="K65" s="1">
        <v>1</v>
      </c>
      <c r="L65" s="1" t="s">
        <v>19</v>
      </c>
      <c r="M65" s="1" t="s">
        <v>20</v>
      </c>
      <c r="N65" s="1" t="s">
        <v>18</v>
      </c>
      <c r="O65" s="1">
        <v>341.60000100000002</v>
      </c>
      <c r="P65" s="1">
        <v>357.79166199999997</v>
      </c>
      <c r="Q65" s="2">
        <f t="shared" si="1"/>
        <v>4.7399475856558772E-2</v>
      </c>
      <c r="R65" s="4">
        <v>20.14</v>
      </c>
      <c r="S65" s="5">
        <v>4.6999950427561998E-5</v>
      </c>
    </row>
    <row r="66" spans="1:19">
      <c r="A66" s="1" t="s">
        <v>84</v>
      </c>
      <c r="B66" s="1">
        <v>12</v>
      </c>
      <c r="C66" s="1">
        <v>6</v>
      </c>
      <c r="D66" s="1" t="s">
        <v>18</v>
      </c>
      <c r="E66" s="1">
        <v>14</v>
      </c>
      <c r="F66" s="1">
        <v>6</v>
      </c>
      <c r="G66" s="1" t="s">
        <v>18</v>
      </c>
      <c r="H66" s="1">
        <v>16</v>
      </c>
      <c r="I66" s="1">
        <v>6</v>
      </c>
      <c r="J66" s="1" t="s">
        <v>18</v>
      </c>
      <c r="K66" s="1">
        <v>2</v>
      </c>
      <c r="L66" s="1" t="s">
        <v>19</v>
      </c>
      <c r="M66" s="1" t="s">
        <v>20</v>
      </c>
      <c r="N66" s="1" t="s">
        <v>18</v>
      </c>
      <c r="O66" s="1">
        <v>840.00000599999998</v>
      </c>
      <c r="P66" s="1">
        <v>886.31087000000002</v>
      </c>
      <c r="Q66" s="2">
        <f t="shared" ref="Q66:Q97" si="2">ABS(P66-O66)/O66</f>
        <v>5.5131980558581137E-2</v>
      </c>
      <c r="R66" s="4">
        <v>20.07</v>
      </c>
      <c r="S66" s="5">
        <v>7.0900015998631716E-5</v>
      </c>
    </row>
    <row r="67" spans="1:19">
      <c r="A67" s="1" t="s">
        <v>85</v>
      </c>
      <c r="B67" s="1">
        <v>8</v>
      </c>
      <c r="C67" s="1">
        <v>3</v>
      </c>
      <c r="D67" s="1" t="s">
        <v>18</v>
      </c>
      <c r="E67" s="1">
        <v>8</v>
      </c>
      <c r="F67" s="1">
        <v>4</v>
      </c>
      <c r="G67" s="1" t="s">
        <v>18</v>
      </c>
      <c r="H67" s="1">
        <v>5</v>
      </c>
      <c r="I67" s="1">
        <v>1</v>
      </c>
      <c r="J67" s="1" t="s">
        <v>18</v>
      </c>
      <c r="K67" s="1">
        <v>4</v>
      </c>
      <c r="L67" s="1" t="s">
        <v>19</v>
      </c>
      <c r="M67" s="1" t="s">
        <v>20</v>
      </c>
      <c r="N67" s="1" t="s">
        <v>17</v>
      </c>
      <c r="O67" s="1">
        <v>486.63999200000001</v>
      </c>
      <c r="P67" s="1">
        <v>472.74336899999997</v>
      </c>
      <c r="Q67" s="2">
        <f t="shared" si="2"/>
        <v>2.8556269991061551E-2</v>
      </c>
      <c r="R67" s="4">
        <v>19.27</v>
      </c>
      <c r="S67" s="5">
        <v>5.029997555539012E-5</v>
      </c>
    </row>
    <row r="68" spans="1:19">
      <c r="A68" s="1" t="s">
        <v>86</v>
      </c>
      <c r="B68" s="1">
        <v>6</v>
      </c>
      <c r="C68" s="1">
        <v>4</v>
      </c>
      <c r="D68" s="1" t="s">
        <v>18</v>
      </c>
      <c r="E68" s="1">
        <v>10</v>
      </c>
      <c r="F68" s="1">
        <v>4</v>
      </c>
      <c r="G68" s="1" t="s">
        <v>17</v>
      </c>
      <c r="H68" s="1">
        <v>8</v>
      </c>
      <c r="I68" s="1">
        <v>2</v>
      </c>
      <c r="J68" s="1" t="s">
        <v>17</v>
      </c>
      <c r="K68" s="1">
        <v>2</v>
      </c>
      <c r="L68" s="1" t="s">
        <v>19</v>
      </c>
      <c r="M68" s="1" t="s">
        <v>20</v>
      </c>
      <c r="N68" s="1" t="s">
        <v>18</v>
      </c>
      <c r="O68" s="1">
        <v>450.240003</v>
      </c>
      <c r="P68" s="1">
        <v>486.08083099999999</v>
      </c>
      <c r="Q68" s="2">
        <f t="shared" si="2"/>
        <v>7.9603828538531679E-2</v>
      </c>
      <c r="R68" s="4">
        <v>19.989999999999998</v>
      </c>
      <c r="S68" s="5">
        <v>5.2399991545826197E-5</v>
      </c>
    </row>
    <row r="69" spans="1:19">
      <c r="A69" s="1" t="s">
        <v>87</v>
      </c>
      <c r="B69" s="1">
        <v>16</v>
      </c>
      <c r="C69" s="1">
        <v>1</v>
      </c>
      <c r="D69" s="1" t="s">
        <v>17</v>
      </c>
      <c r="E69" s="1">
        <v>6</v>
      </c>
      <c r="F69" s="1">
        <v>1</v>
      </c>
      <c r="G69" s="1" t="s">
        <v>18</v>
      </c>
      <c r="H69" s="1">
        <v>12</v>
      </c>
      <c r="I69" s="1">
        <v>4</v>
      </c>
      <c r="J69" s="1" t="s">
        <v>17</v>
      </c>
      <c r="K69" s="1">
        <v>1</v>
      </c>
      <c r="L69" s="1" t="s">
        <v>19</v>
      </c>
      <c r="M69" s="1" t="s">
        <v>20</v>
      </c>
      <c r="N69" s="1" t="s">
        <v>18</v>
      </c>
      <c r="O69" s="1">
        <v>404.88000099999999</v>
      </c>
      <c r="P69" s="1">
        <v>390.09304200000003</v>
      </c>
      <c r="Q69" s="2">
        <f t="shared" si="2"/>
        <v>3.6521831069645662E-2</v>
      </c>
      <c r="R69" s="4">
        <v>19.89</v>
      </c>
      <c r="S69" s="5">
        <v>5.7500030379742377E-5</v>
      </c>
    </row>
    <row r="70" spans="1:19">
      <c r="A70" s="1" t="s">
        <v>88</v>
      </c>
      <c r="B70" s="1">
        <v>8</v>
      </c>
      <c r="C70" s="1">
        <v>1</v>
      </c>
      <c r="D70" s="1" t="s">
        <v>17</v>
      </c>
      <c r="E70" s="1">
        <v>4</v>
      </c>
      <c r="F70" s="1">
        <v>3</v>
      </c>
      <c r="G70" s="1" t="s">
        <v>17</v>
      </c>
      <c r="H70" s="1">
        <v>9</v>
      </c>
      <c r="I70" s="1">
        <v>2</v>
      </c>
      <c r="J70" s="1" t="s">
        <v>17</v>
      </c>
      <c r="K70" s="1">
        <v>3</v>
      </c>
      <c r="L70" s="1" t="s">
        <v>19</v>
      </c>
      <c r="M70" s="1" t="s">
        <v>20</v>
      </c>
      <c r="N70" s="1" t="s">
        <v>17</v>
      </c>
      <c r="O70" s="1">
        <v>603.67998799999998</v>
      </c>
      <c r="P70" s="1">
        <v>618.92812800000002</v>
      </c>
      <c r="Q70" s="2">
        <f t="shared" si="2"/>
        <v>2.5258647467373121E-2</v>
      </c>
      <c r="R70" s="4">
        <v>20.16</v>
      </c>
      <c r="S70" s="5">
        <v>9.1399997472763062E-5</v>
      </c>
    </row>
    <row r="71" spans="1:19">
      <c r="A71" s="1" t="s">
        <v>89</v>
      </c>
      <c r="B71" s="1">
        <v>10</v>
      </c>
      <c r="C71" s="1">
        <v>4</v>
      </c>
      <c r="D71" s="1" t="s">
        <v>17</v>
      </c>
      <c r="E71" s="1">
        <v>9</v>
      </c>
      <c r="F71" s="1">
        <v>0</v>
      </c>
      <c r="G71" s="1" t="s">
        <v>17</v>
      </c>
      <c r="H71" s="1">
        <v>10</v>
      </c>
      <c r="I71" s="1">
        <v>4</v>
      </c>
      <c r="J71" s="1" t="s">
        <v>17</v>
      </c>
      <c r="K71" s="1">
        <v>0</v>
      </c>
      <c r="L71" s="1" t="s">
        <v>19</v>
      </c>
      <c r="M71" s="1" t="s">
        <v>20</v>
      </c>
      <c r="N71" s="1" t="s">
        <v>18</v>
      </c>
      <c r="O71" s="1">
        <v>225.67999900000001</v>
      </c>
      <c r="P71" s="1">
        <v>227.400544</v>
      </c>
      <c r="Q71" s="2">
        <f t="shared" si="2"/>
        <v>7.6238258047847075E-3</v>
      </c>
      <c r="R71" s="4">
        <v>19.87</v>
      </c>
      <c r="S71" s="5">
        <v>5.5500015150755637E-5</v>
      </c>
    </row>
    <row r="72" spans="1:19">
      <c r="A72" s="1" t="s">
        <v>90</v>
      </c>
      <c r="B72" s="1">
        <v>12</v>
      </c>
      <c r="C72" s="1">
        <v>3</v>
      </c>
      <c r="D72" s="1" t="s">
        <v>18</v>
      </c>
      <c r="E72" s="1">
        <v>12</v>
      </c>
      <c r="F72" s="1">
        <v>2</v>
      </c>
      <c r="G72" s="1" t="s">
        <v>17</v>
      </c>
      <c r="H72" s="1">
        <v>6</v>
      </c>
      <c r="I72" s="1">
        <v>2</v>
      </c>
      <c r="J72" s="1" t="s">
        <v>17</v>
      </c>
      <c r="K72" s="1">
        <v>0</v>
      </c>
      <c r="L72" s="1" t="s">
        <v>19</v>
      </c>
      <c r="M72" s="1" t="s">
        <v>20</v>
      </c>
      <c r="N72" s="1" t="s">
        <v>17</v>
      </c>
      <c r="O72" s="1">
        <v>234.07999899999999</v>
      </c>
      <c r="P72" s="1">
        <v>211.557751</v>
      </c>
      <c r="Q72" s="2">
        <f t="shared" si="2"/>
        <v>9.6216029119173027E-2</v>
      </c>
      <c r="R72" s="4">
        <v>20.149999999999999</v>
      </c>
      <c r="S72" s="5">
        <v>4.8499961849302047E-5</v>
      </c>
    </row>
    <row r="73" spans="1:19">
      <c r="A73" s="1" t="s">
        <v>91</v>
      </c>
      <c r="B73" s="1">
        <v>14</v>
      </c>
      <c r="C73" s="1">
        <v>8</v>
      </c>
      <c r="D73" s="1" t="s">
        <v>17</v>
      </c>
      <c r="E73" s="1">
        <v>8</v>
      </c>
      <c r="F73" s="1">
        <v>3</v>
      </c>
      <c r="G73" s="1" t="s">
        <v>18</v>
      </c>
      <c r="H73" s="1">
        <v>6</v>
      </c>
      <c r="I73" s="1">
        <v>1</v>
      </c>
      <c r="J73" s="1" t="s">
        <v>17</v>
      </c>
      <c r="K73" s="1">
        <v>1</v>
      </c>
      <c r="L73" s="1" t="s">
        <v>19</v>
      </c>
      <c r="M73" s="1" t="s">
        <v>20</v>
      </c>
      <c r="N73" s="1" t="s">
        <v>18</v>
      </c>
      <c r="O73" s="1">
        <v>319.76000099999999</v>
      </c>
      <c r="P73" s="1">
        <v>298.406811</v>
      </c>
      <c r="Q73" s="2">
        <f t="shared" si="2"/>
        <v>6.6778802643298663E-2</v>
      </c>
      <c r="R73" s="4">
        <v>20.079999999999998</v>
      </c>
      <c r="S73" s="5">
        <v>5.4400006774812937E-5</v>
      </c>
    </row>
    <row r="74" spans="1:19">
      <c r="A74" s="1" t="s">
        <v>92</v>
      </c>
      <c r="B74" s="1">
        <v>16</v>
      </c>
      <c r="C74" s="1">
        <v>2</v>
      </c>
      <c r="D74" s="1" t="s">
        <v>17</v>
      </c>
      <c r="E74" s="1">
        <v>9</v>
      </c>
      <c r="F74" s="1">
        <v>4</v>
      </c>
      <c r="G74" s="1" t="s">
        <v>17</v>
      </c>
      <c r="H74" s="1">
        <v>6</v>
      </c>
      <c r="I74" s="1">
        <v>1</v>
      </c>
      <c r="J74" s="1" t="s">
        <v>17</v>
      </c>
      <c r="K74" s="1">
        <v>2</v>
      </c>
      <c r="L74" s="1" t="s">
        <v>19</v>
      </c>
      <c r="M74" s="1" t="s">
        <v>20</v>
      </c>
      <c r="N74" s="1" t="s">
        <v>18</v>
      </c>
      <c r="O74" s="1">
        <v>416.64000199999998</v>
      </c>
      <c r="P74" s="1">
        <v>362.17208299999999</v>
      </c>
      <c r="Q74" s="2">
        <f t="shared" si="2"/>
        <v>0.13073137178028335</v>
      </c>
      <c r="R74" s="4">
        <v>19.579999999999998</v>
      </c>
      <c r="S74" s="5">
        <v>5.6100019719451673E-5</v>
      </c>
    </row>
    <row r="75" spans="1:19">
      <c r="A75" s="1" t="s">
        <v>93</v>
      </c>
      <c r="B75" s="1">
        <v>14</v>
      </c>
      <c r="C75" s="1">
        <v>1</v>
      </c>
      <c r="D75" s="1" t="s">
        <v>18</v>
      </c>
      <c r="E75" s="1">
        <v>4</v>
      </c>
      <c r="F75" s="1">
        <v>0</v>
      </c>
      <c r="G75" s="1" t="s">
        <v>17</v>
      </c>
      <c r="H75" s="1">
        <v>12</v>
      </c>
      <c r="I75" s="1">
        <v>2</v>
      </c>
      <c r="J75" s="1" t="s">
        <v>17</v>
      </c>
      <c r="K75" s="1">
        <v>3</v>
      </c>
      <c r="L75" s="1" t="s">
        <v>19</v>
      </c>
      <c r="M75" s="1" t="s">
        <v>20</v>
      </c>
      <c r="N75" s="1" t="s">
        <v>17</v>
      </c>
      <c r="O75" s="1">
        <v>739.75998500000003</v>
      </c>
      <c r="P75" s="1">
        <v>754.04747899999995</v>
      </c>
      <c r="Q75" s="2">
        <f t="shared" si="2"/>
        <v>1.9313688614828125E-2</v>
      </c>
      <c r="R75" s="4">
        <v>19.96</v>
      </c>
      <c r="S75" s="5">
        <v>5.6200020480901003E-5</v>
      </c>
    </row>
    <row r="76" spans="1:19">
      <c r="A76" s="1" t="s">
        <v>94</v>
      </c>
      <c r="B76" s="1">
        <v>10</v>
      </c>
      <c r="C76" s="1">
        <v>2</v>
      </c>
      <c r="D76" s="1" t="s">
        <v>17</v>
      </c>
      <c r="E76" s="1">
        <v>8</v>
      </c>
      <c r="F76" s="1">
        <v>0</v>
      </c>
      <c r="G76" s="1" t="s">
        <v>17</v>
      </c>
      <c r="H76" s="1">
        <v>10</v>
      </c>
      <c r="I76" s="1">
        <v>1</v>
      </c>
      <c r="J76" s="1" t="s">
        <v>17</v>
      </c>
      <c r="K76" s="1">
        <v>6</v>
      </c>
      <c r="L76" s="1" t="s">
        <v>19</v>
      </c>
      <c r="M76" s="1" t="s">
        <v>20</v>
      </c>
      <c r="N76" s="1" t="s">
        <v>17</v>
      </c>
      <c r="O76" s="1">
        <v>1121.119974</v>
      </c>
      <c r="P76" s="1">
        <v>1091.8494009999999</v>
      </c>
      <c r="Q76" s="2">
        <f t="shared" si="2"/>
        <v>2.6108332452205524E-2</v>
      </c>
      <c r="R76" s="4">
        <v>19.84</v>
      </c>
      <c r="S76" s="5">
        <v>5.2599993068724871E-5</v>
      </c>
    </row>
    <row r="77" spans="1:19">
      <c r="A77" s="1" t="s">
        <v>95</v>
      </c>
      <c r="B77" s="1">
        <v>6</v>
      </c>
      <c r="C77" s="1">
        <v>4</v>
      </c>
      <c r="D77" s="1" t="s">
        <v>17</v>
      </c>
      <c r="E77" s="1">
        <v>4</v>
      </c>
      <c r="F77" s="1">
        <v>1</v>
      </c>
      <c r="G77" s="1" t="s">
        <v>17</v>
      </c>
      <c r="H77" s="1">
        <v>12</v>
      </c>
      <c r="I77" s="1">
        <v>4</v>
      </c>
      <c r="J77" s="1" t="s">
        <v>17</v>
      </c>
      <c r="K77" s="1">
        <v>0</v>
      </c>
      <c r="L77" s="1" t="s">
        <v>19</v>
      </c>
      <c r="M77" s="1" t="s">
        <v>20</v>
      </c>
      <c r="N77" s="1" t="s">
        <v>18</v>
      </c>
      <c r="O77" s="1">
        <v>190.39999900000001</v>
      </c>
      <c r="P77" s="1">
        <v>204.85360499999999</v>
      </c>
      <c r="Q77" s="2">
        <f t="shared" si="2"/>
        <v>7.5911796617183697E-2</v>
      </c>
      <c r="R77" s="4">
        <v>19.920000000000002</v>
      </c>
      <c r="S77" s="5">
        <v>4.6200002543628223E-5</v>
      </c>
    </row>
    <row r="78" spans="1:19">
      <c r="A78" s="1" t="s">
        <v>96</v>
      </c>
      <c r="B78" s="1">
        <v>12</v>
      </c>
      <c r="C78" s="1">
        <v>8</v>
      </c>
      <c r="D78" s="1" t="s">
        <v>18</v>
      </c>
      <c r="E78" s="1">
        <v>8</v>
      </c>
      <c r="F78" s="1">
        <v>3</v>
      </c>
      <c r="G78" s="1" t="s">
        <v>18</v>
      </c>
      <c r="H78" s="1">
        <v>10</v>
      </c>
      <c r="I78" s="1">
        <v>1</v>
      </c>
      <c r="J78" s="1" t="s">
        <v>18</v>
      </c>
      <c r="K78" s="1">
        <v>0</v>
      </c>
      <c r="L78" s="1" t="s">
        <v>19</v>
      </c>
      <c r="M78" s="1" t="s">
        <v>20</v>
      </c>
      <c r="N78" s="1" t="s">
        <v>18</v>
      </c>
      <c r="O78" s="1">
        <v>284.48</v>
      </c>
      <c r="P78" s="1">
        <v>284.44564500000001</v>
      </c>
      <c r="Q78" s="2">
        <f t="shared" si="2"/>
        <v>1.2076420134984891E-4</v>
      </c>
      <c r="R78" s="4">
        <v>20.22</v>
      </c>
      <c r="S78" s="5">
        <v>5.9899990446865559E-5</v>
      </c>
    </row>
    <row r="79" spans="1:19">
      <c r="A79" s="1" t="s">
        <v>97</v>
      </c>
      <c r="B79" s="1">
        <v>10</v>
      </c>
      <c r="C79" s="1">
        <v>6</v>
      </c>
      <c r="D79" s="1" t="s">
        <v>18</v>
      </c>
      <c r="E79" s="1">
        <v>14</v>
      </c>
      <c r="F79" s="1">
        <v>0</v>
      </c>
      <c r="G79" s="1" t="s">
        <v>18</v>
      </c>
      <c r="H79" s="1">
        <v>9</v>
      </c>
      <c r="I79" s="1">
        <v>1</v>
      </c>
      <c r="J79" s="1" t="s">
        <v>18</v>
      </c>
      <c r="K79" s="1">
        <v>3</v>
      </c>
      <c r="L79" s="1" t="s">
        <v>19</v>
      </c>
      <c r="M79" s="1" t="s">
        <v>20</v>
      </c>
      <c r="N79" s="1" t="s">
        <v>17</v>
      </c>
      <c r="O79" s="1">
        <v>620.47998800000005</v>
      </c>
      <c r="P79" s="1">
        <v>591.33278800000005</v>
      </c>
      <c r="Q79" s="2">
        <f t="shared" si="2"/>
        <v>4.6975245880129815E-2</v>
      </c>
      <c r="R79" s="4">
        <v>19.850000000000001</v>
      </c>
      <c r="S79" s="5">
        <v>6.3499959651380777E-5</v>
      </c>
    </row>
    <row r="80" spans="1:19">
      <c r="A80" s="1" t="s">
        <v>98</v>
      </c>
      <c r="B80" s="1">
        <v>8</v>
      </c>
      <c r="C80" s="1">
        <v>2</v>
      </c>
      <c r="D80" s="1" t="s">
        <v>18</v>
      </c>
      <c r="E80" s="1">
        <v>10</v>
      </c>
      <c r="F80" s="1">
        <v>6</v>
      </c>
      <c r="G80" s="1" t="s">
        <v>17</v>
      </c>
      <c r="H80" s="1">
        <v>12</v>
      </c>
      <c r="I80" s="1">
        <v>4</v>
      </c>
      <c r="J80" s="1" t="s">
        <v>17</v>
      </c>
      <c r="K80" s="1">
        <v>2</v>
      </c>
      <c r="L80" s="1" t="s">
        <v>19</v>
      </c>
      <c r="M80" s="1" t="s">
        <v>20</v>
      </c>
      <c r="N80" s="1" t="s">
        <v>18</v>
      </c>
      <c r="O80" s="1">
        <v>598.08000500000003</v>
      </c>
      <c r="P80" s="1">
        <v>602.47376799999995</v>
      </c>
      <c r="Q80" s="2">
        <f t="shared" si="2"/>
        <v>7.3464469021998508E-3</v>
      </c>
      <c r="R80" s="4">
        <v>20.079999999999998</v>
      </c>
      <c r="S80" s="5">
        <v>5.5100012104958303E-5</v>
      </c>
    </row>
    <row r="81" spans="1:19">
      <c r="A81" s="1" t="s">
        <v>99</v>
      </c>
      <c r="B81" s="1">
        <v>9</v>
      </c>
      <c r="C81" s="1">
        <v>2</v>
      </c>
      <c r="D81" s="1" t="s">
        <v>18</v>
      </c>
      <c r="E81" s="1">
        <v>14</v>
      </c>
      <c r="F81" s="1">
        <v>2</v>
      </c>
      <c r="G81" s="1" t="s">
        <v>17</v>
      </c>
      <c r="H81" s="1">
        <v>12</v>
      </c>
      <c r="I81" s="1">
        <v>1</v>
      </c>
      <c r="J81" s="1" t="s">
        <v>17</v>
      </c>
      <c r="K81" s="1">
        <v>4</v>
      </c>
      <c r="L81" s="1" t="s">
        <v>19</v>
      </c>
      <c r="M81" s="1" t="s">
        <v>20</v>
      </c>
      <c r="N81" s="1" t="s">
        <v>17</v>
      </c>
      <c r="O81" s="1">
        <v>1035.9999789999999</v>
      </c>
      <c r="P81" s="1">
        <v>1057.6803379999999</v>
      </c>
      <c r="Q81" s="2">
        <f t="shared" si="2"/>
        <v>2.0926987875933108E-2</v>
      </c>
      <c r="R81" s="4">
        <v>19.84</v>
      </c>
      <c r="S81" s="5">
        <v>6.2800012528896332E-5</v>
      </c>
    </row>
    <row r="82" spans="1:19">
      <c r="A82" s="1" t="s">
        <v>100</v>
      </c>
      <c r="B82" s="1">
        <v>12</v>
      </c>
      <c r="C82" s="1">
        <v>2</v>
      </c>
      <c r="D82" s="1" t="s">
        <v>18</v>
      </c>
      <c r="E82" s="1">
        <v>8</v>
      </c>
      <c r="F82" s="1">
        <v>4</v>
      </c>
      <c r="G82" s="1" t="s">
        <v>17</v>
      </c>
      <c r="H82" s="1">
        <v>6</v>
      </c>
      <c r="I82" s="1">
        <v>4</v>
      </c>
      <c r="J82" s="1" t="s">
        <v>17</v>
      </c>
      <c r="K82" s="1">
        <v>3</v>
      </c>
      <c r="L82" s="1" t="s">
        <v>19</v>
      </c>
      <c r="M82" s="1" t="s">
        <v>20</v>
      </c>
      <c r="N82" s="1" t="s">
        <v>18</v>
      </c>
      <c r="O82" s="1">
        <v>355.04000400000001</v>
      </c>
      <c r="P82" s="1">
        <v>354.98011500000001</v>
      </c>
      <c r="Q82" s="2">
        <f t="shared" si="2"/>
        <v>1.6868240008243777E-4</v>
      </c>
      <c r="R82" s="4">
        <v>19.510000000000002</v>
      </c>
      <c r="S82" s="5">
        <v>5.1599985454231501E-5</v>
      </c>
    </row>
    <row r="83" spans="1:19">
      <c r="A83" s="1" t="s">
        <v>101</v>
      </c>
      <c r="B83" s="1">
        <v>9</v>
      </c>
      <c r="C83" s="1">
        <v>1</v>
      </c>
      <c r="D83" s="1" t="s">
        <v>17</v>
      </c>
      <c r="E83" s="1">
        <v>10</v>
      </c>
      <c r="F83" s="1">
        <v>0</v>
      </c>
      <c r="G83" s="1" t="s">
        <v>17</v>
      </c>
      <c r="H83" s="1">
        <v>16</v>
      </c>
      <c r="I83" s="1">
        <v>6</v>
      </c>
      <c r="J83" s="1" t="s">
        <v>17</v>
      </c>
      <c r="K83" s="1">
        <v>4</v>
      </c>
      <c r="L83" s="1" t="s">
        <v>19</v>
      </c>
      <c r="M83" s="1" t="s">
        <v>20</v>
      </c>
      <c r="N83" s="1" t="s">
        <v>18</v>
      </c>
      <c r="O83" s="1">
        <v>866.32000900000003</v>
      </c>
      <c r="P83" s="1">
        <v>848.52359200000001</v>
      </c>
      <c r="Q83" s="2">
        <f t="shared" si="2"/>
        <v>2.0542544112010713E-2</v>
      </c>
      <c r="R83" s="4">
        <v>20.309999999999999</v>
      </c>
      <c r="S83" s="5">
        <v>5.630002124235034E-5</v>
      </c>
    </row>
    <row r="84" spans="1:19">
      <c r="A84" s="1" t="s">
        <v>102</v>
      </c>
      <c r="B84" s="1">
        <v>9</v>
      </c>
      <c r="C84" s="1">
        <v>6</v>
      </c>
      <c r="D84" s="1" t="s">
        <v>17</v>
      </c>
      <c r="E84" s="1">
        <v>6</v>
      </c>
      <c r="F84" s="1">
        <v>3</v>
      </c>
      <c r="G84" s="1" t="s">
        <v>18</v>
      </c>
      <c r="H84" s="1">
        <v>16</v>
      </c>
      <c r="I84" s="1">
        <v>6</v>
      </c>
      <c r="J84" s="1" t="s">
        <v>17</v>
      </c>
      <c r="K84" s="1">
        <v>0</v>
      </c>
      <c r="L84" s="1" t="s">
        <v>19</v>
      </c>
      <c r="M84" s="1" t="s">
        <v>20</v>
      </c>
      <c r="N84" s="1" t="s">
        <v>17</v>
      </c>
      <c r="O84" s="1">
        <v>291.19999899999999</v>
      </c>
      <c r="P84" s="1">
        <v>293.853047</v>
      </c>
      <c r="Q84" s="2">
        <f t="shared" si="2"/>
        <v>9.1107417895286893E-3</v>
      </c>
      <c r="R84" s="4">
        <v>20.100000000000001</v>
      </c>
      <c r="S84" s="5">
        <v>5.3700001444667578E-5</v>
      </c>
    </row>
    <row r="85" spans="1:19">
      <c r="A85" s="1" t="s">
        <v>103</v>
      </c>
      <c r="B85" s="1">
        <v>12</v>
      </c>
      <c r="C85" s="1">
        <v>1</v>
      </c>
      <c r="D85" s="1" t="s">
        <v>18</v>
      </c>
      <c r="E85" s="1">
        <v>8</v>
      </c>
      <c r="F85" s="1">
        <v>2</v>
      </c>
      <c r="G85" s="1" t="s">
        <v>18</v>
      </c>
      <c r="H85" s="1">
        <v>9</v>
      </c>
      <c r="I85" s="1">
        <v>8</v>
      </c>
      <c r="J85" s="1" t="s">
        <v>18</v>
      </c>
      <c r="K85" s="1">
        <v>1</v>
      </c>
      <c r="L85" s="1" t="s">
        <v>19</v>
      </c>
      <c r="M85" s="1" t="s">
        <v>20</v>
      </c>
      <c r="N85" s="1" t="s">
        <v>18</v>
      </c>
      <c r="O85" s="1">
        <v>102.48</v>
      </c>
      <c r="P85" s="1">
        <v>106.778676</v>
      </c>
      <c r="Q85" s="2">
        <f t="shared" si="2"/>
        <v>4.1946487119437943E-2</v>
      </c>
      <c r="R85" s="4">
        <v>19.63</v>
      </c>
      <c r="S85" s="5">
        <v>4.9200025387108333E-5</v>
      </c>
    </row>
    <row r="86" spans="1:19">
      <c r="A86" s="1" t="s">
        <v>104</v>
      </c>
      <c r="B86" s="1">
        <v>14</v>
      </c>
      <c r="C86" s="1">
        <v>2</v>
      </c>
      <c r="D86" s="1" t="s">
        <v>17</v>
      </c>
      <c r="E86" s="1">
        <v>4</v>
      </c>
      <c r="F86" s="1">
        <v>1</v>
      </c>
      <c r="G86" s="1" t="s">
        <v>17</v>
      </c>
      <c r="H86" s="1">
        <v>5</v>
      </c>
      <c r="I86" s="1">
        <v>2</v>
      </c>
      <c r="J86" s="1" t="s">
        <v>17</v>
      </c>
      <c r="K86" s="1">
        <v>2</v>
      </c>
      <c r="L86" s="1" t="s">
        <v>19</v>
      </c>
      <c r="M86" s="1" t="s">
        <v>20</v>
      </c>
      <c r="N86" s="1" t="s">
        <v>18</v>
      </c>
      <c r="O86" s="1">
        <v>234.08000200000001</v>
      </c>
      <c r="P86" s="1">
        <v>229.23694499999999</v>
      </c>
      <c r="Q86" s="2">
        <f t="shared" si="2"/>
        <v>2.0689751190279021E-2</v>
      </c>
      <c r="R86" s="4">
        <v>20.350000000000001</v>
      </c>
      <c r="S86" s="5">
        <v>4.8500020056962967E-5</v>
      </c>
    </row>
    <row r="87" spans="1:19">
      <c r="A87" s="1" t="s">
        <v>105</v>
      </c>
      <c r="B87" s="1">
        <v>14</v>
      </c>
      <c r="C87" s="1">
        <v>1</v>
      </c>
      <c r="D87" s="1" t="s">
        <v>17</v>
      </c>
      <c r="E87" s="1">
        <v>9</v>
      </c>
      <c r="F87" s="1">
        <v>2</v>
      </c>
      <c r="G87" s="1" t="s">
        <v>18</v>
      </c>
      <c r="H87" s="1">
        <v>10</v>
      </c>
      <c r="I87" s="1">
        <v>4</v>
      </c>
      <c r="J87" s="1" t="s">
        <v>17</v>
      </c>
      <c r="K87" s="1">
        <v>4</v>
      </c>
      <c r="L87" s="1" t="s">
        <v>19</v>
      </c>
      <c r="M87" s="1" t="s">
        <v>20</v>
      </c>
      <c r="N87" s="1" t="s">
        <v>17</v>
      </c>
      <c r="O87" s="1">
        <v>712.87998600000003</v>
      </c>
      <c r="P87" s="1">
        <v>665.09949400000005</v>
      </c>
      <c r="Q87" s="2">
        <f t="shared" si="2"/>
        <v>6.7024594515688901E-2</v>
      </c>
      <c r="R87" s="4">
        <v>20.48</v>
      </c>
      <c r="S87" s="5">
        <v>5.1099981646984822E-5</v>
      </c>
    </row>
    <row r="88" spans="1:19">
      <c r="A88" s="1" t="s">
        <v>106</v>
      </c>
      <c r="B88" s="1">
        <v>10</v>
      </c>
      <c r="C88" s="1">
        <v>3</v>
      </c>
      <c r="D88" s="1" t="s">
        <v>17</v>
      </c>
      <c r="E88" s="1">
        <v>10</v>
      </c>
      <c r="F88" s="1">
        <v>6</v>
      </c>
      <c r="G88" s="1" t="s">
        <v>18</v>
      </c>
      <c r="H88" s="1">
        <v>9</v>
      </c>
      <c r="I88" s="1">
        <v>4</v>
      </c>
      <c r="J88" s="1" t="s">
        <v>17</v>
      </c>
      <c r="K88" s="1">
        <v>0</v>
      </c>
      <c r="L88" s="1" t="s">
        <v>19</v>
      </c>
      <c r="M88" s="1" t="s">
        <v>20</v>
      </c>
      <c r="N88" s="1" t="s">
        <v>18</v>
      </c>
      <c r="O88" s="1">
        <v>309.12</v>
      </c>
      <c r="P88" s="1">
        <v>305.057053</v>
      </c>
      <c r="Q88" s="2">
        <f t="shared" si="2"/>
        <v>1.3143591485507273E-2</v>
      </c>
      <c r="R88" s="4">
        <v>19.87</v>
      </c>
      <c r="S88" s="5">
        <v>5.0999980885535479E-5</v>
      </c>
    </row>
    <row r="89" spans="1:19">
      <c r="A89" s="1" t="s">
        <v>107</v>
      </c>
      <c r="B89" s="1">
        <v>16</v>
      </c>
      <c r="C89" s="1">
        <v>4</v>
      </c>
      <c r="D89" s="1" t="s">
        <v>17</v>
      </c>
      <c r="E89" s="1">
        <v>14</v>
      </c>
      <c r="F89" s="1">
        <v>1</v>
      </c>
      <c r="G89" s="1" t="s">
        <v>17</v>
      </c>
      <c r="H89" s="1">
        <v>5</v>
      </c>
      <c r="I89" s="1">
        <v>2</v>
      </c>
      <c r="J89" s="1" t="s">
        <v>17</v>
      </c>
      <c r="K89" s="1">
        <v>2</v>
      </c>
      <c r="L89" s="1" t="s">
        <v>19</v>
      </c>
      <c r="M89" s="1" t="s">
        <v>20</v>
      </c>
      <c r="N89" s="1" t="s">
        <v>18</v>
      </c>
      <c r="O89" s="1">
        <v>234.08000200000001</v>
      </c>
      <c r="P89" s="1">
        <v>254.96467200000001</v>
      </c>
      <c r="Q89" s="2">
        <f t="shared" si="2"/>
        <v>8.9220223092786877E-2</v>
      </c>
      <c r="R89" s="4">
        <v>19.27</v>
      </c>
      <c r="S89" s="5">
        <v>4.9199967179447412E-5</v>
      </c>
    </row>
    <row r="90" spans="1:19">
      <c r="A90" s="1" t="s">
        <v>108</v>
      </c>
      <c r="B90" s="1">
        <v>14</v>
      </c>
      <c r="C90" s="1">
        <v>2</v>
      </c>
      <c r="D90" s="1" t="s">
        <v>18</v>
      </c>
      <c r="E90" s="1">
        <v>8</v>
      </c>
      <c r="F90" s="1">
        <v>6</v>
      </c>
      <c r="G90" s="1" t="s">
        <v>17</v>
      </c>
      <c r="H90" s="1">
        <v>12</v>
      </c>
      <c r="I90" s="1">
        <v>3</v>
      </c>
      <c r="J90" s="1" t="s">
        <v>17</v>
      </c>
      <c r="K90" s="1">
        <v>4</v>
      </c>
      <c r="L90" s="1" t="s">
        <v>19</v>
      </c>
      <c r="M90" s="1" t="s">
        <v>20</v>
      </c>
      <c r="N90" s="1" t="s">
        <v>18</v>
      </c>
      <c r="O90" s="1">
        <v>912.24000999999998</v>
      </c>
      <c r="P90" s="1">
        <v>945.29901400000006</v>
      </c>
      <c r="Q90" s="2">
        <f t="shared" si="2"/>
        <v>3.6239370820843601E-2</v>
      </c>
      <c r="R90" s="4">
        <v>19.399999999999999</v>
      </c>
      <c r="S90" s="5">
        <v>6.1600003391504288E-5</v>
      </c>
    </row>
    <row r="91" spans="1:19">
      <c r="A91" s="1" t="s">
        <v>109</v>
      </c>
      <c r="B91" s="1">
        <v>6</v>
      </c>
      <c r="C91" s="1">
        <v>3</v>
      </c>
      <c r="D91" s="1" t="s">
        <v>17</v>
      </c>
      <c r="E91" s="1">
        <v>14</v>
      </c>
      <c r="F91" s="1">
        <v>1</v>
      </c>
      <c r="G91" s="1" t="s">
        <v>18</v>
      </c>
      <c r="H91" s="1">
        <v>16</v>
      </c>
      <c r="I91" s="1">
        <v>0</v>
      </c>
      <c r="J91" s="1" t="s">
        <v>17</v>
      </c>
      <c r="K91" s="1">
        <v>3</v>
      </c>
      <c r="L91" s="1" t="s">
        <v>19</v>
      </c>
      <c r="M91" s="1" t="s">
        <v>20</v>
      </c>
      <c r="N91" s="1" t="s">
        <v>17</v>
      </c>
      <c r="O91" s="1">
        <v>1156.959979</v>
      </c>
      <c r="P91" s="1">
        <v>1132.6438860000001</v>
      </c>
      <c r="Q91" s="2">
        <f t="shared" si="2"/>
        <v>2.101722915343808E-2</v>
      </c>
      <c r="R91" s="4">
        <v>20.309999999999999</v>
      </c>
      <c r="S91" s="5">
        <v>6.709998706355691E-5</v>
      </c>
    </row>
    <row r="92" spans="1:19">
      <c r="A92" s="1" t="s">
        <v>110</v>
      </c>
      <c r="B92" s="1">
        <v>16</v>
      </c>
      <c r="C92" s="1">
        <v>4</v>
      </c>
      <c r="D92" s="1" t="s">
        <v>18</v>
      </c>
      <c r="E92" s="1">
        <v>4</v>
      </c>
      <c r="F92" s="1">
        <v>0</v>
      </c>
      <c r="G92" s="1" t="s">
        <v>17</v>
      </c>
      <c r="H92" s="1">
        <v>5</v>
      </c>
      <c r="I92" s="1">
        <v>2</v>
      </c>
      <c r="J92" s="1" t="s">
        <v>17</v>
      </c>
      <c r="K92" s="1">
        <v>0</v>
      </c>
      <c r="L92" s="1" t="s">
        <v>19</v>
      </c>
      <c r="M92" s="1" t="s">
        <v>20</v>
      </c>
      <c r="N92" s="1" t="s">
        <v>17</v>
      </c>
      <c r="O92" s="1">
        <v>89.039998999999995</v>
      </c>
      <c r="P92" s="1">
        <v>89.071888999999999</v>
      </c>
      <c r="Q92" s="2">
        <f t="shared" si="2"/>
        <v>3.5815364283645372E-4</v>
      </c>
      <c r="R92" s="4">
        <v>19.77</v>
      </c>
      <c r="S92" s="5">
        <v>4.8799964133650058E-5</v>
      </c>
    </row>
    <row r="93" spans="1:19">
      <c r="A93" s="1" t="s">
        <v>111</v>
      </c>
      <c r="B93" s="1">
        <v>9</v>
      </c>
      <c r="C93" s="1">
        <v>6</v>
      </c>
      <c r="D93" s="1" t="s">
        <v>18</v>
      </c>
      <c r="E93" s="1">
        <v>12</v>
      </c>
      <c r="F93" s="1">
        <v>4</v>
      </c>
      <c r="G93" s="1" t="s">
        <v>17</v>
      </c>
      <c r="H93" s="1">
        <v>9</v>
      </c>
      <c r="I93" s="1">
        <v>4</v>
      </c>
      <c r="J93" s="1" t="s">
        <v>17</v>
      </c>
      <c r="K93" s="1">
        <v>1</v>
      </c>
      <c r="L93" s="1" t="s">
        <v>19</v>
      </c>
      <c r="M93" s="1" t="s">
        <v>20</v>
      </c>
      <c r="N93" s="1" t="s">
        <v>17</v>
      </c>
      <c r="O93" s="1">
        <v>405.99999600000001</v>
      </c>
      <c r="P93" s="1">
        <v>417.80354999999997</v>
      </c>
      <c r="Q93" s="2">
        <f t="shared" si="2"/>
        <v>2.9072793389879645E-2</v>
      </c>
      <c r="R93" s="4">
        <v>19.64</v>
      </c>
      <c r="S93" s="5">
        <v>5.5600015912204981E-5</v>
      </c>
    </row>
    <row r="94" spans="1:19">
      <c r="A94" s="1" t="s">
        <v>112</v>
      </c>
      <c r="B94" s="1">
        <v>14</v>
      </c>
      <c r="C94" s="1">
        <v>6</v>
      </c>
      <c r="D94" s="1" t="s">
        <v>17</v>
      </c>
      <c r="E94" s="1">
        <v>4</v>
      </c>
      <c r="F94" s="1">
        <v>1</v>
      </c>
      <c r="G94" s="1" t="s">
        <v>18</v>
      </c>
      <c r="H94" s="1">
        <v>12</v>
      </c>
      <c r="I94" s="1">
        <v>2</v>
      </c>
      <c r="J94" s="1" t="s">
        <v>17</v>
      </c>
      <c r="K94" s="1">
        <v>0</v>
      </c>
      <c r="L94" s="1" t="s">
        <v>19</v>
      </c>
      <c r="M94" s="1" t="s">
        <v>20</v>
      </c>
      <c r="N94" s="1" t="s">
        <v>17</v>
      </c>
      <c r="O94" s="1">
        <v>294.559999</v>
      </c>
      <c r="P94" s="1">
        <v>335.59625999999997</v>
      </c>
      <c r="Q94" s="2">
        <f t="shared" si="2"/>
        <v>0.13931375997865877</v>
      </c>
      <c r="R94" s="4">
        <v>19.96</v>
      </c>
      <c r="S94" s="5">
        <v>5.7200028095394373E-5</v>
      </c>
    </row>
    <row r="95" spans="1:19">
      <c r="A95" s="1" t="s">
        <v>113</v>
      </c>
      <c r="B95" s="1">
        <v>14</v>
      </c>
      <c r="C95" s="1">
        <v>3</v>
      </c>
      <c r="D95" s="1" t="s">
        <v>18</v>
      </c>
      <c r="E95" s="1">
        <v>6</v>
      </c>
      <c r="F95" s="1">
        <v>3</v>
      </c>
      <c r="G95" s="1" t="s">
        <v>18</v>
      </c>
      <c r="H95" s="1">
        <v>9</v>
      </c>
      <c r="I95" s="1">
        <v>2</v>
      </c>
      <c r="J95" s="1" t="s">
        <v>18</v>
      </c>
      <c r="K95" s="1">
        <v>1</v>
      </c>
      <c r="L95" s="1" t="s">
        <v>19</v>
      </c>
      <c r="M95" s="1" t="s">
        <v>20</v>
      </c>
      <c r="N95" s="1" t="s">
        <v>18</v>
      </c>
      <c r="O95" s="1">
        <v>403.20000099999999</v>
      </c>
      <c r="P95" s="1">
        <v>389.96017399999999</v>
      </c>
      <c r="Q95" s="2">
        <f t="shared" si="2"/>
        <v>3.283687243840059E-2</v>
      </c>
      <c r="R95" s="4">
        <v>20.34</v>
      </c>
      <c r="S95" s="5">
        <v>5.8699981309473508E-5</v>
      </c>
    </row>
    <row r="96" spans="1:19">
      <c r="A96" s="1" t="s">
        <v>114</v>
      </c>
      <c r="B96" s="1">
        <v>9</v>
      </c>
      <c r="C96" s="1">
        <v>4</v>
      </c>
      <c r="D96" s="1" t="s">
        <v>17</v>
      </c>
      <c r="E96" s="1">
        <v>14</v>
      </c>
      <c r="F96" s="1">
        <v>0</v>
      </c>
      <c r="G96" s="1" t="s">
        <v>17</v>
      </c>
      <c r="H96" s="1">
        <v>10</v>
      </c>
      <c r="I96" s="1">
        <v>3</v>
      </c>
      <c r="J96" s="1" t="s">
        <v>17</v>
      </c>
      <c r="K96" s="1">
        <v>3</v>
      </c>
      <c r="L96" s="1" t="s">
        <v>19</v>
      </c>
      <c r="M96" s="1" t="s">
        <v>20</v>
      </c>
      <c r="N96" s="1" t="s">
        <v>17</v>
      </c>
      <c r="O96" s="1">
        <v>692.159987</v>
      </c>
      <c r="P96" s="1">
        <v>635.29107099999999</v>
      </c>
      <c r="Q96" s="2">
        <f t="shared" si="2"/>
        <v>8.2161519111332293E-2</v>
      </c>
      <c r="R96" s="4">
        <v>20.02</v>
      </c>
      <c r="S96" s="5">
        <v>5.8999983593821532E-5</v>
      </c>
    </row>
    <row r="97" spans="1:19">
      <c r="A97" s="1" t="s">
        <v>115</v>
      </c>
      <c r="B97" s="1">
        <v>16</v>
      </c>
      <c r="C97" s="1">
        <v>3</v>
      </c>
      <c r="D97" s="1" t="s">
        <v>18</v>
      </c>
      <c r="E97" s="1">
        <v>6</v>
      </c>
      <c r="F97" s="1">
        <v>2</v>
      </c>
      <c r="G97" s="1" t="s">
        <v>18</v>
      </c>
      <c r="H97" s="1">
        <v>8</v>
      </c>
      <c r="I97" s="1">
        <v>3</v>
      </c>
      <c r="J97" s="1" t="s">
        <v>18</v>
      </c>
      <c r="K97" s="1">
        <v>4</v>
      </c>
      <c r="L97" s="1" t="s">
        <v>19</v>
      </c>
      <c r="M97" s="1" t="s">
        <v>20</v>
      </c>
      <c r="N97" s="1" t="s">
        <v>18</v>
      </c>
      <c r="O97" s="1">
        <v>632.24000699999999</v>
      </c>
      <c r="P97" s="1">
        <v>593.18171299999995</v>
      </c>
      <c r="Q97" s="2">
        <f t="shared" si="2"/>
        <v>6.1777637554657386E-2</v>
      </c>
      <c r="R97" s="4">
        <v>19.97</v>
      </c>
      <c r="S97" s="5">
        <v>5.6900025811046362E-5</v>
      </c>
    </row>
    <row r="98" spans="1:19">
      <c r="A98" s="1" t="s">
        <v>116</v>
      </c>
      <c r="B98" s="1">
        <v>10</v>
      </c>
      <c r="C98" s="1">
        <v>1</v>
      </c>
      <c r="D98" s="1" t="s">
        <v>17</v>
      </c>
      <c r="E98" s="1">
        <v>8</v>
      </c>
      <c r="F98" s="1">
        <v>2</v>
      </c>
      <c r="G98" s="1" t="s">
        <v>17</v>
      </c>
      <c r="H98" s="1">
        <v>12</v>
      </c>
      <c r="I98" s="1">
        <v>2</v>
      </c>
      <c r="J98" s="1" t="s">
        <v>17</v>
      </c>
      <c r="K98" s="1">
        <v>1</v>
      </c>
      <c r="L98" s="1" t="s">
        <v>19</v>
      </c>
      <c r="M98" s="1" t="s">
        <v>20</v>
      </c>
      <c r="N98" s="1" t="s">
        <v>17</v>
      </c>
      <c r="O98" s="1">
        <v>500.639994</v>
      </c>
      <c r="P98" s="1">
        <v>524.15114700000004</v>
      </c>
      <c r="Q98" s="2">
        <f t="shared" ref="Q98:Q129" si="3">ABS(P98-O98)/O98</f>
        <v>4.6962194954005283E-2</v>
      </c>
      <c r="R98" s="4">
        <v>20.09</v>
      </c>
      <c r="S98" s="5">
        <v>5.5100012104958303E-5</v>
      </c>
    </row>
    <row r="99" spans="1:19">
      <c r="A99" s="1" t="s">
        <v>117</v>
      </c>
      <c r="B99" s="1">
        <v>9</v>
      </c>
      <c r="C99" s="1">
        <v>3</v>
      </c>
      <c r="D99" s="1" t="s">
        <v>17</v>
      </c>
      <c r="E99" s="1">
        <v>10</v>
      </c>
      <c r="F99" s="1">
        <v>4</v>
      </c>
      <c r="G99" s="1" t="s">
        <v>17</v>
      </c>
      <c r="H99" s="1">
        <v>6</v>
      </c>
      <c r="I99" s="1">
        <v>1</v>
      </c>
      <c r="J99" s="1" t="s">
        <v>17</v>
      </c>
      <c r="K99" s="1">
        <v>0</v>
      </c>
      <c r="L99" s="1" t="s">
        <v>19</v>
      </c>
      <c r="M99" s="1" t="s">
        <v>20</v>
      </c>
      <c r="N99" s="1" t="s">
        <v>18</v>
      </c>
      <c r="O99" s="1">
        <v>268.24</v>
      </c>
      <c r="P99" s="1">
        <v>253.64531099999999</v>
      </c>
      <c r="Q99" s="2">
        <f t="shared" si="3"/>
        <v>5.4409070235609959E-2</v>
      </c>
      <c r="R99" s="4">
        <v>19.690000000000001</v>
      </c>
      <c r="S99" s="5">
        <v>4.9300026148557663E-5</v>
      </c>
    </row>
    <row r="100" spans="1:19">
      <c r="A100" s="1" t="s">
        <v>118</v>
      </c>
      <c r="B100" s="1">
        <v>10</v>
      </c>
      <c r="C100" s="1">
        <v>6</v>
      </c>
      <c r="D100" s="1" t="s">
        <v>17</v>
      </c>
      <c r="E100" s="1">
        <v>9</v>
      </c>
      <c r="F100" s="1">
        <v>0</v>
      </c>
      <c r="G100" s="1" t="s">
        <v>18</v>
      </c>
      <c r="H100" s="1">
        <v>8</v>
      </c>
      <c r="I100" s="1">
        <v>1</v>
      </c>
      <c r="J100" s="1" t="s">
        <v>17</v>
      </c>
      <c r="K100" s="1">
        <v>0</v>
      </c>
      <c r="L100" s="1" t="s">
        <v>19</v>
      </c>
      <c r="M100" s="1" t="s">
        <v>20</v>
      </c>
      <c r="N100" s="1" t="s">
        <v>17</v>
      </c>
      <c r="O100" s="1">
        <v>272.16000000000003</v>
      </c>
      <c r="P100" s="1">
        <v>235.25818699999999</v>
      </c>
      <c r="Q100" s="2">
        <f t="shared" si="3"/>
        <v>0.13558867210464443</v>
      </c>
      <c r="R100" s="4">
        <v>19.89</v>
      </c>
      <c r="S100" s="5">
        <v>5.3099996875971562E-5</v>
      </c>
    </row>
    <row r="101" spans="1:19">
      <c r="A101" s="1" t="s">
        <v>119</v>
      </c>
      <c r="B101" s="1">
        <v>8</v>
      </c>
      <c r="C101" s="1">
        <v>6</v>
      </c>
      <c r="D101" s="1" t="s">
        <v>18</v>
      </c>
      <c r="E101" s="1">
        <v>12</v>
      </c>
      <c r="F101" s="1">
        <v>1</v>
      </c>
      <c r="G101" s="1" t="s">
        <v>18</v>
      </c>
      <c r="H101" s="1">
        <v>12</v>
      </c>
      <c r="I101" s="1">
        <v>8</v>
      </c>
      <c r="J101" s="1" t="s">
        <v>18</v>
      </c>
      <c r="K101" s="1">
        <v>6</v>
      </c>
      <c r="L101" s="1" t="s">
        <v>19</v>
      </c>
      <c r="M101" s="1" t="s">
        <v>20</v>
      </c>
      <c r="N101" s="1" t="s">
        <v>18</v>
      </c>
      <c r="O101" s="1">
        <v>863.52001299999995</v>
      </c>
      <c r="P101" s="1">
        <v>874.31465400000002</v>
      </c>
      <c r="Q101" s="2">
        <f t="shared" si="3"/>
        <v>1.2500742122348554E-2</v>
      </c>
      <c r="R101" s="4">
        <v>19.850000000000001</v>
      </c>
      <c r="S101" s="5">
        <v>6.2000006437301636E-5</v>
      </c>
    </row>
    <row r="102" spans="1:19">
      <c r="Q102" s="6">
        <f>AVERAGE(Q2:Q101)</f>
        <v>4.1498035179932169E-2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2"/>
  <sheetViews>
    <sheetView workbookViewId="0">
      <pane ySplit="1" topLeftCell="A66" activePane="bottomLeft" state="frozen"/>
      <selection pane="bottomLeft" activeCell="F103" sqref="F103"/>
    </sheetView>
  </sheetViews>
  <sheetFormatPr defaultRowHeight="14"/>
  <cols>
    <col min="1" max="1" width="6.6640625" customWidth="1"/>
    <col min="2" max="2" width="9.5" customWidth="1"/>
    <col min="3" max="3" width="5" customWidth="1"/>
    <col min="4" max="4" width="15" customWidth="1"/>
    <col min="5" max="5" width="10.25" customWidth="1"/>
    <col min="6" max="6" width="6" customWidth="1"/>
    <col min="7" max="7" width="9.9140625" customWidth="1"/>
  </cols>
  <sheetData>
    <row r="1" spans="1:8">
      <c r="A1" s="3" t="s">
        <v>0</v>
      </c>
      <c r="B1" s="3" t="s">
        <v>122</v>
      </c>
      <c r="C1" s="3" t="s">
        <v>340</v>
      </c>
      <c r="D1" s="3" t="s">
        <v>11</v>
      </c>
      <c r="E1" s="3" t="s">
        <v>346</v>
      </c>
      <c r="F1" s="3" t="s">
        <v>13</v>
      </c>
      <c r="G1" s="3" t="s">
        <v>14</v>
      </c>
      <c r="H1" s="3" t="s">
        <v>15</v>
      </c>
    </row>
    <row r="2" spans="1:8">
      <c r="A2" s="1" t="s">
        <v>16</v>
      </c>
      <c r="B2" s="1">
        <v>2</v>
      </c>
      <c r="C2" s="1">
        <v>1</v>
      </c>
      <c r="D2" s="1">
        <v>3.08</v>
      </c>
      <c r="E2" s="1">
        <v>3.08</v>
      </c>
      <c r="F2" s="2">
        <f t="shared" ref="F2:F33" si="0">ABS(E2-D2)/D2</f>
        <v>0</v>
      </c>
      <c r="G2" s="4">
        <v>18.670000000000002</v>
      </c>
      <c r="H2" s="5">
        <v>2.4000182747840881E-6</v>
      </c>
    </row>
    <row r="3" spans="1:8">
      <c r="A3" s="1" t="s">
        <v>21</v>
      </c>
      <c r="B3" s="1">
        <v>2</v>
      </c>
      <c r="C3" s="1">
        <v>2</v>
      </c>
      <c r="D3" s="1">
        <v>6.16</v>
      </c>
      <c r="E3" s="1">
        <v>6.16</v>
      </c>
      <c r="F3" s="2">
        <f t="shared" si="0"/>
        <v>0</v>
      </c>
      <c r="G3" s="4">
        <v>18.63</v>
      </c>
      <c r="H3" s="5">
        <v>2.1000159904360771E-6</v>
      </c>
    </row>
    <row r="4" spans="1:8">
      <c r="A4" s="1" t="s">
        <v>22</v>
      </c>
      <c r="B4" s="1">
        <v>2</v>
      </c>
      <c r="C4" s="1">
        <v>3</v>
      </c>
      <c r="D4" s="1">
        <v>9.24</v>
      </c>
      <c r="E4" s="1">
        <v>9.24</v>
      </c>
      <c r="F4" s="2">
        <f t="shared" si="0"/>
        <v>0</v>
      </c>
      <c r="G4" s="4">
        <v>19.13</v>
      </c>
      <c r="H4" s="5">
        <v>2.1000159904360771E-6</v>
      </c>
    </row>
    <row r="5" spans="1:8">
      <c r="A5" s="1" t="s">
        <v>23</v>
      </c>
      <c r="B5" s="1">
        <v>2</v>
      </c>
      <c r="C5" s="1">
        <v>4</v>
      </c>
      <c r="D5" s="1">
        <v>12.32</v>
      </c>
      <c r="E5" s="1">
        <v>12.32</v>
      </c>
      <c r="F5" s="2">
        <f t="shared" si="0"/>
        <v>0</v>
      </c>
      <c r="G5" s="4">
        <v>19.16</v>
      </c>
      <c r="H5" s="5">
        <v>2.0999577827751641E-6</v>
      </c>
    </row>
    <row r="6" spans="1:8">
      <c r="A6" s="1" t="s">
        <v>24</v>
      </c>
      <c r="B6" s="1">
        <v>2</v>
      </c>
      <c r="C6" s="1">
        <v>5</v>
      </c>
      <c r="D6" s="1">
        <v>15.4</v>
      </c>
      <c r="E6" s="1">
        <v>15.4</v>
      </c>
      <c r="F6" s="2">
        <f t="shared" si="0"/>
        <v>0</v>
      </c>
      <c r="G6" s="4">
        <v>18.95</v>
      </c>
      <c r="H6" s="5">
        <v>2.1000159904360771E-6</v>
      </c>
    </row>
    <row r="7" spans="1:8">
      <c r="A7" s="1" t="s">
        <v>25</v>
      </c>
      <c r="B7" s="1">
        <v>2</v>
      </c>
      <c r="C7" s="1">
        <v>6</v>
      </c>
      <c r="D7" s="1">
        <v>18.48</v>
      </c>
      <c r="E7" s="1">
        <v>18.48</v>
      </c>
      <c r="F7" s="2">
        <f t="shared" si="0"/>
        <v>0</v>
      </c>
      <c r="G7" s="4">
        <v>18.5</v>
      </c>
      <c r="H7" s="5">
        <v>2.0000152289867401E-6</v>
      </c>
    </row>
    <row r="8" spans="1:8">
      <c r="A8" s="1" t="s">
        <v>26</v>
      </c>
      <c r="B8" s="1">
        <v>2</v>
      </c>
      <c r="C8" s="1">
        <v>7</v>
      </c>
      <c r="D8" s="1">
        <v>21.559999000000001</v>
      </c>
      <c r="E8" s="1">
        <v>21.559999000000001</v>
      </c>
      <c r="F8" s="2">
        <f t="shared" si="0"/>
        <v>0</v>
      </c>
      <c r="G8" s="4">
        <v>18.86</v>
      </c>
      <c r="H8" s="5">
        <v>2.1000159904360771E-6</v>
      </c>
    </row>
    <row r="9" spans="1:8">
      <c r="A9" s="1" t="s">
        <v>27</v>
      </c>
      <c r="B9" s="1">
        <v>2</v>
      </c>
      <c r="C9" s="1">
        <v>8</v>
      </c>
      <c r="D9" s="1">
        <v>24.639999</v>
      </c>
      <c r="E9" s="1">
        <v>24.639999</v>
      </c>
      <c r="F9" s="2">
        <f t="shared" si="0"/>
        <v>0</v>
      </c>
      <c r="G9" s="4">
        <v>18.93</v>
      </c>
      <c r="H9" s="5">
        <v>2.0000152289867401E-6</v>
      </c>
    </row>
    <row r="10" spans="1:8">
      <c r="A10" s="1" t="s">
        <v>28</v>
      </c>
      <c r="B10" s="1">
        <v>2</v>
      </c>
      <c r="C10" s="1">
        <v>9</v>
      </c>
      <c r="D10" s="1">
        <v>27.719999000000001</v>
      </c>
      <c r="E10" s="1">
        <v>27.719999000000001</v>
      </c>
      <c r="F10" s="2">
        <f t="shared" si="0"/>
        <v>0</v>
      </c>
      <c r="G10" s="4">
        <v>18.649999999999999</v>
      </c>
      <c r="H10" s="5">
        <v>2.1000159904360771E-6</v>
      </c>
    </row>
    <row r="11" spans="1:8">
      <c r="A11" s="1" t="s">
        <v>29</v>
      </c>
      <c r="B11" s="1">
        <v>2</v>
      </c>
      <c r="C11" s="1">
        <v>10</v>
      </c>
      <c r="D11" s="1">
        <v>30.799999</v>
      </c>
      <c r="E11" s="1">
        <v>30.799999</v>
      </c>
      <c r="F11" s="2">
        <f t="shared" si="0"/>
        <v>0</v>
      </c>
      <c r="G11" s="4">
        <v>19.329999999999998</v>
      </c>
      <c r="H11" s="5">
        <v>2.0999577827751641E-6</v>
      </c>
    </row>
    <row r="12" spans="1:8">
      <c r="A12" s="1" t="s">
        <v>30</v>
      </c>
      <c r="B12" s="1">
        <v>2</v>
      </c>
      <c r="C12" s="1">
        <v>12</v>
      </c>
      <c r="D12" s="1">
        <v>36.959999000000003</v>
      </c>
      <c r="E12" s="1">
        <v>36.959999000000003</v>
      </c>
      <c r="F12" s="2">
        <f t="shared" si="0"/>
        <v>0</v>
      </c>
      <c r="G12" s="4">
        <v>19.25</v>
      </c>
      <c r="H12" s="5">
        <v>2.1000159904360771E-6</v>
      </c>
    </row>
    <row r="13" spans="1:8">
      <c r="A13" s="1" t="s">
        <v>31</v>
      </c>
      <c r="B13" s="1">
        <v>2</v>
      </c>
      <c r="C13" s="1">
        <v>16</v>
      </c>
      <c r="D13" s="1">
        <v>49.279998999999997</v>
      </c>
      <c r="E13" s="1">
        <v>49.279998999999997</v>
      </c>
      <c r="F13" s="2">
        <f t="shared" si="0"/>
        <v>0</v>
      </c>
      <c r="G13" s="4">
        <v>19.170000000000002</v>
      </c>
      <c r="H13" s="5">
        <v>2.0999577827751641E-6</v>
      </c>
    </row>
    <row r="14" spans="1:8">
      <c r="A14" s="1" t="s">
        <v>32</v>
      </c>
      <c r="B14" s="1">
        <v>2</v>
      </c>
      <c r="C14" s="1">
        <v>20</v>
      </c>
      <c r="D14" s="1">
        <v>61.599997999999999</v>
      </c>
      <c r="E14" s="1">
        <v>61.599997999999999</v>
      </c>
      <c r="F14" s="2">
        <f t="shared" si="0"/>
        <v>0</v>
      </c>
      <c r="G14" s="4">
        <v>19.03</v>
      </c>
      <c r="H14" s="5">
        <v>2.0000152289867401E-6</v>
      </c>
    </row>
    <row r="15" spans="1:8">
      <c r="A15" s="1" t="s">
        <v>33</v>
      </c>
      <c r="B15" s="1">
        <v>2</v>
      </c>
      <c r="C15" s="1">
        <v>24</v>
      </c>
      <c r="D15" s="1">
        <v>73.919998000000007</v>
      </c>
      <c r="E15" s="1">
        <v>73.919998000000007</v>
      </c>
      <c r="F15" s="2">
        <f t="shared" si="0"/>
        <v>0</v>
      </c>
      <c r="G15" s="4">
        <v>18.93</v>
      </c>
      <c r="H15" s="5">
        <v>2.0999577827751641E-6</v>
      </c>
    </row>
    <row r="16" spans="1:8">
      <c r="A16" s="1" t="s">
        <v>34</v>
      </c>
      <c r="B16" s="1">
        <v>2</v>
      </c>
      <c r="C16" s="1">
        <v>32</v>
      </c>
      <c r="D16" s="1">
        <v>98.559997999999993</v>
      </c>
      <c r="E16" s="1">
        <v>98.559997999999993</v>
      </c>
      <c r="F16" s="2">
        <f t="shared" si="0"/>
        <v>0</v>
      </c>
      <c r="G16" s="4">
        <v>19.11</v>
      </c>
      <c r="H16" s="5">
        <v>2.1000159904360771E-6</v>
      </c>
    </row>
    <row r="17" spans="1:8">
      <c r="A17" s="1" t="s">
        <v>35</v>
      </c>
      <c r="B17" s="1">
        <v>2</v>
      </c>
      <c r="C17" s="1">
        <v>40</v>
      </c>
      <c r="D17" s="1">
        <v>123.199997</v>
      </c>
      <c r="E17" s="1">
        <v>123.199997</v>
      </c>
      <c r="F17" s="2">
        <f t="shared" si="0"/>
        <v>0</v>
      </c>
      <c r="G17" s="4">
        <v>19.010000000000002</v>
      </c>
      <c r="H17" s="5">
        <v>2.0000152289867401E-6</v>
      </c>
    </row>
    <row r="18" spans="1:8">
      <c r="A18" s="1" t="s">
        <v>36</v>
      </c>
      <c r="B18" s="1">
        <v>2</v>
      </c>
      <c r="C18" s="1">
        <v>48</v>
      </c>
      <c r="D18" s="1">
        <v>147.83999600000001</v>
      </c>
      <c r="E18" s="1">
        <v>147.83999600000001</v>
      </c>
      <c r="F18" s="2">
        <f t="shared" si="0"/>
        <v>0</v>
      </c>
      <c r="G18" s="4">
        <v>18.5</v>
      </c>
      <c r="H18" s="5">
        <v>2.1000159904360771E-6</v>
      </c>
    </row>
    <row r="19" spans="1:8">
      <c r="A19" s="1" t="s">
        <v>37</v>
      </c>
      <c r="B19" s="1">
        <v>2</v>
      </c>
      <c r="C19" s="1">
        <v>56</v>
      </c>
      <c r="D19" s="1">
        <v>172.479996</v>
      </c>
      <c r="E19" s="1">
        <v>172.479996</v>
      </c>
      <c r="F19" s="2">
        <f t="shared" si="0"/>
        <v>0</v>
      </c>
      <c r="G19" s="4">
        <v>18.649999999999999</v>
      </c>
      <c r="H19" s="5">
        <v>2.0000152289867401E-6</v>
      </c>
    </row>
    <row r="20" spans="1:8">
      <c r="A20" s="1" t="s">
        <v>38</v>
      </c>
      <c r="B20" s="1">
        <v>2</v>
      </c>
      <c r="C20" s="1">
        <v>64</v>
      </c>
      <c r="D20" s="1">
        <v>197.11999499999999</v>
      </c>
      <c r="E20" s="1">
        <v>197.11999499999999</v>
      </c>
      <c r="F20" s="2">
        <f t="shared" si="0"/>
        <v>0</v>
      </c>
      <c r="G20" s="4">
        <v>18.84</v>
      </c>
      <c r="H20" s="5">
        <v>2.1000159904360771E-6</v>
      </c>
    </row>
    <row r="21" spans="1:8">
      <c r="A21" s="1" t="s">
        <v>39</v>
      </c>
      <c r="B21" s="1">
        <v>16</v>
      </c>
      <c r="C21" s="1">
        <v>4</v>
      </c>
      <c r="D21" s="1">
        <v>118.16</v>
      </c>
      <c r="E21" s="1">
        <v>115.030269</v>
      </c>
      <c r="F21" s="2">
        <f t="shared" si="0"/>
        <v>2.6487229180771774E-2</v>
      </c>
      <c r="G21" s="4">
        <v>18.68</v>
      </c>
      <c r="H21" s="5">
        <v>2.0999577827751641E-6</v>
      </c>
    </row>
    <row r="22" spans="1:8">
      <c r="A22" s="1" t="s">
        <v>40</v>
      </c>
      <c r="B22" s="1">
        <v>6</v>
      </c>
      <c r="C22" s="1">
        <v>9</v>
      </c>
      <c r="D22" s="1">
        <v>71.679998999999995</v>
      </c>
      <c r="E22" s="1">
        <v>71.306539000000001</v>
      </c>
      <c r="F22" s="2">
        <f t="shared" si="0"/>
        <v>5.2101005191140474E-3</v>
      </c>
      <c r="G22" s="4">
        <v>18.899999999999999</v>
      </c>
      <c r="H22" s="5">
        <v>2.1000159904360771E-6</v>
      </c>
    </row>
    <row r="23" spans="1:8">
      <c r="A23" s="1" t="s">
        <v>41</v>
      </c>
      <c r="B23" s="1">
        <v>9</v>
      </c>
      <c r="C23" s="1">
        <v>64</v>
      </c>
      <c r="D23" s="1">
        <v>703.360007</v>
      </c>
      <c r="E23" s="1">
        <v>704.43731200000002</v>
      </c>
      <c r="F23" s="2">
        <f t="shared" si="0"/>
        <v>1.5316551826638387E-3</v>
      </c>
      <c r="G23" s="4">
        <v>19.350000000000001</v>
      </c>
      <c r="H23" s="5">
        <v>2.0000152289867401E-6</v>
      </c>
    </row>
    <row r="24" spans="1:8">
      <c r="A24" s="1" t="s">
        <v>42</v>
      </c>
      <c r="B24" s="1">
        <v>4</v>
      </c>
      <c r="C24" s="1">
        <v>10</v>
      </c>
      <c r="D24" s="1">
        <v>56.280000999999999</v>
      </c>
      <c r="E24" s="1">
        <v>56.441079999999999</v>
      </c>
      <c r="F24" s="2">
        <f t="shared" si="0"/>
        <v>2.8621001623649733E-3</v>
      </c>
      <c r="G24" s="4">
        <v>19.079999999999998</v>
      </c>
      <c r="H24" s="5">
        <v>2.1000159904360771E-6</v>
      </c>
    </row>
    <row r="25" spans="1:8">
      <c r="A25" s="1" t="s">
        <v>43</v>
      </c>
      <c r="B25" s="1">
        <v>7</v>
      </c>
      <c r="C25" s="1">
        <v>20</v>
      </c>
      <c r="D25" s="1">
        <v>174.72</v>
      </c>
      <c r="E25" s="1">
        <v>174.735119</v>
      </c>
      <c r="F25" s="2">
        <f t="shared" si="0"/>
        <v>8.6532738095229796E-5</v>
      </c>
      <c r="G25" s="4">
        <v>18.95</v>
      </c>
      <c r="H25" s="5">
        <v>2.1000159904360771E-6</v>
      </c>
    </row>
    <row r="26" spans="1:8">
      <c r="A26" s="1" t="s">
        <v>44</v>
      </c>
      <c r="B26" s="1">
        <v>17</v>
      </c>
      <c r="C26" s="1">
        <v>64</v>
      </c>
      <c r="D26" s="1">
        <v>1417.640011</v>
      </c>
      <c r="E26" s="1">
        <v>1419.142638</v>
      </c>
      <c r="F26" s="2">
        <f t="shared" si="0"/>
        <v>1.0599496263794964E-3</v>
      </c>
      <c r="G26" s="4">
        <v>20.54</v>
      </c>
      <c r="H26" s="5">
        <v>2.1000159904360771E-6</v>
      </c>
    </row>
    <row r="27" spans="1:8">
      <c r="A27" s="1" t="s">
        <v>45</v>
      </c>
      <c r="B27" s="1">
        <v>8</v>
      </c>
      <c r="C27" s="1">
        <v>56</v>
      </c>
      <c r="D27" s="1">
        <v>563.92001100000004</v>
      </c>
      <c r="E27" s="1">
        <v>564.58639800000003</v>
      </c>
      <c r="F27" s="2">
        <f t="shared" si="0"/>
        <v>1.1817048287012925E-3</v>
      </c>
      <c r="G27" s="4">
        <v>19.34</v>
      </c>
      <c r="H27" s="5">
        <v>2.1000159904360771E-6</v>
      </c>
    </row>
    <row r="28" spans="1:8">
      <c r="A28" s="1" t="s">
        <v>46</v>
      </c>
      <c r="B28" s="1">
        <v>5</v>
      </c>
      <c r="C28" s="1">
        <v>40</v>
      </c>
      <c r="D28" s="1">
        <v>244.71999500000001</v>
      </c>
      <c r="E28" s="1">
        <v>244.623761</v>
      </c>
      <c r="F28" s="2">
        <f t="shared" si="0"/>
        <v>3.9324126334674736E-4</v>
      </c>
      <c r="G28" s="4">
        <v>19.22</v>
      </c>
      <c r="H28" s="5">
        <v>2.1000159904360771E-6</v>
      </c>
    </row>
    <row r="29" spans="1:8">
      <c r="A29" s="1" t="s">
        <v>47</v>
      </c>
      <c r="B29" s="1">
        <v>3</v>
      </c>
      <c r="C29" s="1">
        <v>12</v>
      </c>
      <c r="D29" s="1">
        <v>40.879998999999998</v>
      </c>
      <c r="E29" s="1">
        <v>41.541277999999998</v>
      </c>
      <c r="F29" s="2">
        <f t="shared" si="0"/>
        <v>1.6176101178476066E-2</v>
      </c>
      <c r="G29" s="4">
        <v>19.05</v>
      </c>
      <c r="H29" s="5">
        <v>2.1000159904360771E-6</v>
      </c>
    </row>
    <row r="30" spans="1:8">
      <c r="A30" s="1" t="s">
        <v>48</v>
      </c>
      <c r="B30" s="1">
        <v>12</v>
      </c>
      <c r="C30" s="1">
        <v>5</v>
      </c>
      <c r="D30" s="1">
        <v>92.399998999999994</v>
      </c>
      <c r="E30" s="1">
        <v>92.399998999999994</v>
      </c>
      <c r="F30" s="2">
        <f t="shared" si="0"/>
        <v>0</v>
      </c>
      <c r="G30" s="4">
        <v>18.98</v>
      </c>
      <c r="H30" s="5">
        <v>2.1999585442245011E-6</v>
      </c>
    </row>
    <row r="31" spans="1:8">
      <c r="A31" s="1" t="s">
        <v>49</v>
      </c>
      <c r="B31" s="1">
        <v>16</v>
      </c>
      <c r="C31" s="1">
        <v>2</v>
      </c>
      <c r="D31" s="1">
        <v>63.28</v>
      </c>
      <c r="E31" s="1">
        <v>72.868617999999998</v>
      </c>
      <c r="F31" s="2">
        <f t="shared" si="0"/>
        <v>0.15152683312262952</v>
      </c>
      <c r="G31" s="4">
        <v>19.079999999999998</v>
      </c>
      <c r="H31" s="5">
        <v>2.1000159904360771E-6</v>
      </c>
    </row>
    <row r="32" spans="1:8">
      <c r="A32" s="1" t="s">
        <v>50</v>
      </c>
      <c r="B32" s="1">
        <v>6</v>
      </c>
      <c r="C32" s="1">
        <v>20</v>
      </c>
      <c r="D32" s="1">
        <v>145.599998</v>
      </c>
      <c r="E32" s="1">
        <v>145.59400199999999</v>
      </c>
      <c r="F32" s="2">
        <f t="shared" si="0"/>
        <v>4.1181319247067066E-5</v>
      </c>
      <c r="G32" s="4">
        <v>19.45</v>
      </c>
      <c r="H32" s="5">
        <v>2.1999585442245011E-6</v>
      </c>
    </row>
    <row r="33" spans="1:8">
      <c r="A33" s="1" t="s">
        <v>51</v>
      </c>
      <c r="B33" s="1">
        <v>9</v>
      </c>
      <c r="C33" s="1">
        <v>20</v>
      </c>
      <c r="D33" s="1">
        <v>235.20000200000001</v>
      </c>
      <c r="E33" s="1">
        <v>233.830782</v>
      </c>
      <c r="F33" s="2">
        <f t="shared" si="0"/>
        <v>5.8215135559395647E-3</v>
      </c>
      <c r="G33" s="4">
        <v>19.28</v>
      </c>
      <c r="H33" s="5">
        <v>2.2000167518854141E-6</v>
      </c>
    </row>
    <row r="34" spans="1:8">
      <c r="A34" s="1" t="s">
        <v>52</v>
      </c>
      <c r="B34" s="1">
        <v>4</v>
      </c>
      <c r="C34" s="1">
        <v>2</v>
      </c>
      <c r="D34" s="1">
        <v>16.8</v>
      </c>
      <c r="E34" s="1">
        <v>16.224851999999998</v>
      </c>
      <c r="F34" s="2">
        <f t="shared" ref="F34:F65" si="1">ABS(E34-D34)/D34</f>
        <v>3.4235000000000133E-2</v>
      </c>
      <c r="G34" s="4">
        <v>18.93</v>
      </c>
      <c r="H34" s="5">
        <v>2.1000159904360771E-6</v>
      </c>
    </row>
    <row r="35" spans="1:8">
      <c r="A35" s="1" t="s">
        <v>53</v>
      </c>
      <c r="B35" s="1">
        <v>7</v>
      </c>
      <c r="C35" s="1">
        <v>12</v>
      </c>
      <c r="D35" s="1">
        <v>109.76</v>
      </c>
      <c r="E35" s="1">
        <v>109.968183</v>
      </c>
      <c r="F35" s="2">
        <f t="shared" si="1"/>
        <v>1.8967110058308229E-3</v>
      </c>
      <c r="G35" s="4">
        <v>19.100000000000001</v>
      </c>
      <c r="H35" s="5">
        <v>2.2000167518854141E-6</v>
      </c>
    </row>
    <row r="36" spans="1:8">
      <c r="A36" s="1" t="s">
        <v>54</v>
      </c>
      <c r="B36" s="1">
        <v>17</v>
      </c>
      <c r="C36" s="1">
        <v>8</v>
      </c>
      <c r="D36" s="1">
        <v>210.280001</v>
      </c>
      <c r="E36" s="1">
        <v>207.13421500000001</v>
      </c>
      <c r="F36" s="2">
        <f t="shared" si="1"/>
        <v>1.4959986613277536E-2</v>
      </c>
      <c r="G36" s="4">
        <v>19.079999999999998</v>
      </c>
      <c r="H36" s="5">
        <v>2.1000159904360771E-6</v>
      </c>
    </row>
    <row r="37" spans="1:8">
      <c r="A37" s="1" t="s">
        <v>55</v>
      </c>
      <c r="B37" s="1">
        <v>8</v>
      </c>
      <c r="C37" s="1">
        <v>40</v>
      </c>
      <c r="D37" s="1">
        <v>407.12000799999998</v>
      </c>
      <c r="E37" s="1">
        <v>407.21616299999999</v>
      </c>
      <c r="F37" s="2">
        <f t="shared" si="1"/>
        <v>2.3618343021846819E-4</v>
      </c>
      <c r="G37" s="4">
        <v>19.260000000000002</v>
      </c>
      <c r="H37" s="5">
        <v>2.1000159904360771E-6</v>
      </c>
    </row>
    <row r="38" spans="1:8">
      <c r="A38" s="1" t="s">
        <v>56</v>
      </c>
      <c r="B38" s="1">
        <v>5</v>
      </c>
      <c r="C38" s="1">
        <v>16</v>
      </c>
      <c r="D38" s="1">
        <v>103.599998</v>
      </c>
      <c r="E38" s="1">
        <v>104.001886</v>
      </c>
      <c r="F38" s="2">
        <f t="shared" si="1"/>
        <v>3.8792278741163642E-3</v>
      </c>
      <c r="G38" s="4">
        <v>19.05</v>
      </c>
      <c r="H38" s="5">
        <v>2.1000159904360771E-6</v>
      </c>
    </row>
    <row r="39" spans="1:8">
      <c r="A39" s="1" t="s">
        <v>57</v>
      </c>
      <c r="B39" s="1">
        <v>3</v>
      </c>
      <c r="C39" s="1">
        <v>3</v>
      </c>
      <c r="D39" s="1">
        <v>13.16</v>
      </c>
      <c r="E39" s="1">
        <v>14.07287</v>
      </c>
      <c r="F39" s="2">
        <f t="shared" si="1"/>
        <v>6.9367021276595733E-2</v>
      </c>
      <c r="G39" s="4">
        <v>18.850000000000001</v>
      </c>
      <c r="H39" s="5">
        <v>2.1000159904360771E-6</v>
      </c>
    </row>
    <row r="40" spans="1:8">
      <c r="A40" s="1" t="s">
        <v>58</v>
      </c>
      <c r="B40" s="1">
        <v>12</v>
      </c>
      <c r="C40" s="1">
        <v>64</v>
      </c>
      <c r="D40" s="1">
        <v>868.83998999999994</v>
      </c>
      <c r="E40" s="1">
        <v>868.83998999999994</v>
      </c>
      <c r="F40" s="2">
        <f t="shared" si="1"/>
        <v>0</v>
      </c>
      <c r="G40" s="4">
        <v>20.260000000000002</v>
      </c>
      <c r="H40" s="5">
        <v>2.1000159904360771E-6</v>
      </c>
    </row>
    <row r="41" spans="1:8">
      <c r="A41" s="1" t="s">
        <v>59</v>
      </c>
      <c r="B41" s="1">
        <v>16</v>
      </c>
      <c r="C41" s="1">
        <v>40</v>
      </c>
      <c r="D41" s="1">
        <v>874.44000900000003</v>
      </c>
      <c r="E41" s="1">
        <v>873.93999599999995</v>
      </c>
      <c r="F41" s="2">
        <f t="shared" si="1"/>
        <v>5.71809380693697E-4</v>
      </c>
      <c r="G41" s="4">
        <v>19.3</v>
      </c>
      <c r="H41" s="5">
        <v>2.2000167518854141E-6</v>
      </c>
    </row>
    <row r="42" spans="1:8">
      <c r="A42" s="1" t="s">
        <v>60</v>
      </c>
      <c r="B42" s="1">
        <v>6</v>
      </c>
      <c r="C42" s="1">
        <v>7</v>
      </c>
      <c r="D42" s="1">
        <v>58.239998999999997</v>
      </c>
      <c r="E42" s="1">
        <v>57.799726999999997</v>
      </c>
      <c r="F42" s="2">
        <f t="shared" si="1"/>
        <v>7.5596155144164795E-3</v>
      </c>
      <c r="G42" s="4">
        <v>18.82</v>
      </c>
      <c r="H42" s="5">
        <v>2.1000159904360771E-6</v>
      </c>
    </row>
    <row r="43" spans="1:8">
      <c r="A43" s="1" t="s">
        <v>61</v>
      </c>
      <c r="B43" s="1">
        <v>9</v>
      </c>
      <c r="C43" s="1">
        <v>1</v>
      </c>
      <c r="D43" s="1">
        <v>25.2</v>
      </c>
      <c r="E43" s="1">
        <v>30.614325999999998</v>
      </c>
      <c r="F43" s="2">
        <f t="shared" si="1"/>
        <v>0.21485420634920632</v>
      </c>
      <c r="G43" s="4">
        <v>18.690000000000001</v>
      </c>
      <c r="H43" s="5">
        <v>2.1000159904360771E-6</v>
      </c>
    </row>
    <row r="44" spans="1:8">
      <c r="A44" s="1" t="s">
        <v>62</v>
      </c>
      <c r="B44" s="1">
        <v>4</v>
      </c>
      <c r="C44" s="1">
        <v>7</v>
      </c>
      <c r="D44" s="1">
        <v>41.160001000000001</v>
      </c>
      <c r="E44" s="1">
        <v>41.359994</v>
      </c>
      <c r="F44" s="2">
        <f t="shared" si="1"/>
        <v>4.8589163056628496E-3</v>
      </c>
      <c r="G44" s="4">
        <v>18.79</v>
      </c>
      <c r="H44" s="5">
        <v>2.1000159904360771E-6</v>
      </c>
    </row>
    <row r="45" spans="1:8">
      <c r="A45" s="1" t="s">
        <v>63</v>
      </c>
      <c r="B45" s="1">
        <v>7</v>
      </c>
      <c r="C45" s="1">
        <v>6</v>
      </c>
      <c r="D45" s="1">
        <v>61.04</v>
      </c>
      <c r="E45" s="1">
        <v>61.392980000000001</v>
      </c>
      <c r="F45" s="2">
        <f t="shared" si="1"/>
        <v>5.7827653997379143E-3</v>
      </c>
      <c r="G45" s="4">
        <v>19.09</v>
      </c>
      <c r="H45" s="5">
        <v>2.1000159904360771E-6</v>
      </c>
    </row>
    <row r="46" spans="1:8">
      <c r="A46" s="1" t="s">
        <v>64</v>
      </c>
      <c r="B46" s="1">
        <v>17</v>
      </c>
      <c r="C46" s="1">
        <v>16</v>
      </c>
      <c r="D46" s="1">
        <v>382.76000199999999</v>
      </c>
      <c r="E46" s="1">
        <v>380.27827500000001</v>
      </c>
      <c r="F46" s="2">
        <f t="shared" si="1"/>
        <v>6.4837678624528224E-3</v>
      </c>
      <c r="G46" s="4">
        <v>19.36</v>
      </c>
      <c r="H46" s="5">
        <v>2.1000159904360771E-6</v>
      </c>
    </row>
    <row r="47" spans="1:8">
      <c r="A47" s="1" t="s">
        <v>65</v>
      </c>
      <c r="B47" s="1">
        <v>8</v>
      </c>
      <c r="C47" s="1">
        <v>1</v>
      </c>
      <c r="D47" s="1">
        <v>19.88</v>
      </c>
      <c r="E47" s="1">
        <v>23.626214000000001</v>
      </c>
      <c r="F47" s="2">
        <f t="shared" si="1"/>
        <v>0.1884413480885313</v>
      </c>
      <c r="G47" s="4">
        <v>18.95</v>
      </c>
      <c r="H47" s="5">
        <v>2.1000159904360771E-6</v>
      </c>
    </row>
    <row r="48" spans="1:8">
      <c r="A48" s="1" t="s">
        <v>66</v>
      </c>
      <c r="B48" s="1">
        <v>5</v>
      </c>
      <c r="C48" s="1">
        <v>2</v>
      </c>
      <c r="D48" s="1">
        <v>25.2</v>
      </c>
      <c r="E48" s="1">
        <v>21.972458</v>
      </c>
      <c r="F48" s="2">
        <f t="shared" si="1"/>
        <v>0.12807706349206349</v>
      </c>
      <c r="G48" s="4">
        <v>19.079999999999998</v>
      </c>
      <c r="H48" s="5">
        <v>2.1000159904360771E-6</v>
      </c>
    </row>
    <row r="49" spans="1:8">
      <c r="A49" s="1" t="s">
        <v>67</v>
      </c>
      <c r="B49" s="1">
        <v>3</v>
      </c>
      <c r="C49" s="1">
        <v>40</v>
      </c>
      <c r="D49" s="1">
        <v>127.119997</v>
      </c>
      <c r="E49" s="1">
        <v>126.998547</v>
      </c>
      <c r="F49" s="2">
        <f t="shared" si="1"/>
        <v>9.5539649831800921E-4</v>
      </c>
      <c r="G49" s="4">
        <v>19.5</v>
      </c>
      <c r="H49" s="5">
        <v>2.1000159904360771E-6</v>
      </c>
    </row>
    <row r="50" spans="1:8">
      <c r="A50" s="1" t="s">
        <v>68</v>
      </c>
      <c r="B50" s="1">
        <v>12</v>
      </c>
      <c r="C50" s="1">
        <v>7</v>
      </c>
      <c r="D50" s="1">
        <v>118.719999</v>
      </c>
      <c r="E50" s="1">
        <v>118.719999</v>
      </c>
      <c r="F50" s="2">
        <f t="shared" si="1"/>
        <v>0</v>
      </c>
      <c r="G50" s="4">
        <v>19.39</v>
      </c>
      <c r="H50" s="5">
        <v>2.1000159904360771E-6</v>
      </c>
    </row>
    <row r="51" spans="1:8">
      <c r="A51" s="1" t="s">
        <v>69</v>
      </c>
      <c r="B51" s="1">
        <v>16</v>
      </c>
      <c r="C51" s="1">
        <v>56</v>
      </c>
      <c r="D51" s="1">
        <v>1210.4400129999999</v>
      </c>
      <c r="E51" s="1">
        <v>1211.2332080000001</v>
      </c>
      <c r="F51" s="2">
        <f t="shared" si="1"/>
        <v>6.5529476180675153E-4</v>
      </c>
      <c r="G51" s="4">
        <v>19.87</v>
      </c>
      <c r="H51" s="5">
        <v>2.1000159904360771E-6</v>
      </c>
    </row>
    <row r="52" spans="1:8">
      <c r="A52" s="1" t="s">
        <v>70</v>
      </c>
      <c r="B52" s="1">
        <v>6</v>
      </c>
      <c r="C52" s="1">
        <v>32</v>
      </c>
      <c r="D52" s="1">
        <v>226.23999699999999</v>
      </c>
      <c r="E52" s="1">
        <v>226.634871</v>
      </c>
      <c r="F52" s="2">
        <f t="shared" si="1"/>
        <v>1.7453766143747595E-3</v>
      </c>
      <c r="G52" s="4">
        <v>19.53</v>
      </c>
      <c r="H52" s="5">
        <v>2.1000159904360771E-6</v>
      </c>
    </row>
    <row r="53" spans="1:8">
      <c r="A53" s="1" t="s">
        <v>71</v>
      </c>
      <c r="B53" s="1">
        <v>9</v>
      </c>
      <c r="C53" s="1">
        <v>56</v>
      </c>
      <c r="D53" s="1">
        <v>618.24000599999999</v>
      </c>
      <c r="E53" s="1">
        <v>618.87248799999998</v>
      </c>
      <c r="F53" s="2">
        <f t="shared" si="1"/>
        <v>1.0230363513550784E-3</v>
      </c>
      <c r="G53" s="4">
        <v>19.22</v>
      </c>
      <c r="H53" s="5">
        <v>2.1000159904360771E-6</v>
      </c>
    </row>
    <row r="54" spans="1:8">
      <c r="A54" s="1" t="s">
        <v>72</v>
      </c>
      <c r="B54" s="1">
        <v>4</v>
      </c>
      <c r="C54" s="1">
        <v>4</v>
      </c>
      <c r="D54" s="1">
        <v>26.32</v>
      </c>
      <c r="E54" s="1">
        <v>26.278908999999999</v>
      </c>
      <c r="F54" s="2">
        <f t="shared" si="1"/>
        <v>1.5612082066869886E-3</v>
      </c>
      <c r="G54" s="4">
        <v>19.39</v>
      </c>
      <c r="H54" s="5">
        <v>2.1000159904360771E-6</v>
      </c>
    </row>
    <row r="55" spans="1:8">
      <c r="A55" s="1" t="s">
        <v>73</v>
      </c>
      <c r="B55" s="1">
        <v>7</v>
      </c>
      <c r="C55" s="1">
        <v>3</v>
      </c>
      <c r="D55" s="1">
        <v>38.08</v>
      </c>
      <c r="E55" s="1">
        <v>37.105378999999999</v>
      </c>
      <c r="F55" s="2">
        <f t="shared" si="1"/>
        <v>2.5594038865546197E-2</v>
      </c>
      <c r="G55" s="4">
        <v>19.25</v>
      </c>
      <c r="H55" s="5">
        <v>2.1000159904360771E-6</v>
      </c>
    </row>
    <row r="56" spans="1:8">
      <c r="A56" s="1" t="s">
        <v>74</v>
      </c>
      <c r="B56" s="1">
        <v>17</v>
      </c>
      <c r="C56" s="1">
        <v>56</v>
      </c>
      <c r="D56" s="1">
        <v>1245.1600100000001</v>
      </c>
      <c r="E56" s="1">
        <v>1245.9985770000001</v>
      </c>
      <c r="F56" s="2">
        <f t="shared" si="1"/>
        <v>6.7346123652012552E-4</v>
      </c>
      <c r="G56" s="4">
        <v>20.48</v>
      </c>
      <c r="H56" s="5">
        <v>2.1000159904360771E-6</v>
      </c>
    </row>
    <row r="57" spans="1:8">
      <c r="A57" s="1" t="s">
        <v>75</v>
      </c>
      <c r="B57" s="1">
        <v>8</v>
      </c>
      <c r="C57" s="1">
        <v>7</v>
      </c>
      <c r="D57" s="1">
        <v>83.720000999999996</v>
      </c>
      <c r="E57" s="1">
        <v>82.640052999999995</v>
      </c>
      <c r="F57" s="2">
        <f t="shared" si="1"/>
        <v>1.2899522062834205E-2</v>
      </c>
      <c r="G57" s="4">
        <v>18.899999999999999</v>
      </c>
      <c r="H57" s="5">
        <v>2.1000159904360771E-6</v>
      </c>
    </row>
    <row r="58" spans="1:8">
      <c r="A58" s="1" t="s">
        <v>76</v>
      </c>
      <c r="B58" s="1">
        <v>5</v>
      </c>
      <c r="C58" s="1">
        <v>1</v>
      </c>
      <c r="D58" s="1">
        <v>14.28</v>
      </c>
      <c r="E58" s="1">
        <v>16.113213999999999</v>
      </c>
      <c r="F58" s="2">
        <f t="shared" si="1"/>
        <v>0.1283763305322129</v>
      </c>
      <c r="G58" s="4">
        <v>19.059999999999999</v>
      </c>
      <c r="H58" s="5">
        <v>2.1000159904360771E-6</v>
      </c>
    </row>
    <row r="59" spans="1:8">
      <c r="A59" s="1" t="s">
        <v>77</v>
      </c>
      <c r="B59" s="1">
        <v>3</v>
      </c>
      <c r="C59" s="1">
        <v>20</v>
      </c>
      <c r="D59" s="1">
        <v>65.519998000000001</v>
      </c>
      <c r="E59" s="1">
        <v>65.957639999999998</v>
      </c>
      <c r="F59" s="2">
        <f t="shared" si="1"/>
        <v>6.6795179084101425E-3</v>
      </c>
      <c r="G59" s="4">
        <v>18.940000000000001</v>
      </c>
      <c r="H59" s="5">
        <v>2.1000159904360771E-6</v>
      </c>
    </row>
    <row r="60" spans="1:8">
      <c r="A60" s="1" t="s">
        <v>78</v>
      </c>
      <c r="B60" s="1">
        <v>12</v>
      </c>
      <c r="C60" s="1">
        <v>24</v>
      </c>
      <c r="D60" s="1">
        <v>342.43999600000001</v>
      </c>
      <c r="E60" s="1">
        <v>342.43999600000001</v>
      </c>
      <c r="F60" s="2">
        <f t="shared" si="1"/>
        <v>0</v>
      </c>
      <c r="G60" s="4">
        <v>19.809999999999999</v>
      </c>
      <c r="H60" s="5">
        <v>2.1000159904360771E-6</v>
      </c>
    </row>
    <row r="61" spans="1:8">
      <c r="A61" s="1" t="s">
        <v>79</v>
      </c>
      <c r="B61" s="1">
        <v>16</v>
      </c>
      <c r="C61" s="1">
        <v>20</v>
      </c>
      <c r="D61" s="1">
        <v>454.16000400000001</v>
      </c>
      <c r="E61" s="1">
        <v>452.32348100000002</v>
      </c>
      <c r="F61" s="2">
        <f t="shared" si="1"/>
        <v>4.0437796895915114E-3</v>
      </c>
      <c r="G61" s="4">
        <v>19.670000000000002</v>
      </c>
      <c r="H61" s="5">
        <v>2.1000159904360771E-6</v>
      </c>
    </row>
    <row r="62" spans="1:8">
      <c r="A62" s="1" t="s">
        <v>80</v>
      </c>
      <c r="B62" s="1">
        <v>6</v>
      </c>
      <c r="C62" s="1">
        <v>4</v>
      </c>
      <c r="D62" s="1">
        <v>38.08</v>
      </c>
      <c r="E62" s="1">
        <v>37.53951</v>
      </c>
      <c r="F62" s="2">
        <f t="shared" si="1"/>
        <v>1.4193539915966344E-2</v>
      </c>
      <c r="G62" s="4">
        <v>19.32</v>
      </c>
      <c r="H62" s="5">
        <v>2.2000167518854141E-6</v>
      </c>
    </row>
    <row r="63" spans="1:8">
      <c r="A63" s="1" t="s">
        <v>81</v>
      </c>
      <c r="B63" s="1">
        <v>9</v>
      </c>
      <c r="C63" s="1">
        <v>24</v>
      </c>
      <c r="D63" s="1">
        <v>277.76000299999998</v>
      </c>
      <c r="E63" s="1">
        <v>276.61319400000002</v>
      </c>
      <c r="F63" s="2">
        <f t="shared" si="1"/>
        <v>4.1287765971112916E-3</v>
      </c>
      <c r="G63" s="4">
        <v>19.190000000000001</v>
      </c>
      <c r="H63" s="5">
        <v>2.1000159904360771E-6</v>
      </c>
    </row>
    <row r="64" spans="1:8">
      <c r="A64" s="1" t="s">
        <v>82</v>
      </c>
      <c r="B64" s="1">
        <v>4</v>
      </c>
      <c r="C64" s="1">
        <v>24</v>
      </c>
      <c r="D64" s="1">
        <v>126.840002</v>
      </c>
      <c r="E64" s="1">
        <v>126.819479</v>
      </c>
      <c r="F64" s="2">
        <f t="shared" si="1"/>
        <v>1.6180226802580138E-4</v>
      </c>
      <c r="G64" s="4">
        <v>19.34</v>
      </c>
      <c r="H64" s="5">
        <v>2.0999577827751641E-6</v>
      </c>
    </row>
    <row r="65" spans="1:8">
      <c r="A65" s="1" t="s">
        <v>83</v>
      </c>
      <c r="B65" s="1">
        <v>7</v>
      </c>
      <c r="C65" s="1">
        <v>32</v>
      </c>
      <c r="D65" s="1">
        <v>272.16000000000003</v>
      </c>
      <c r="E65" s="1">
        <v>271.88552399999998</v>
      </c>
      <c r="F65" s="2">
        <f t="shared" si="1"/>
        <v>1.0085097001765492E-3</v>
      </c>
      <c r="G65" s="4">
        <v>19</v>
      </c>
      <c r="H65" s="5">
        <v>2.1000159904360771E-6</v>
      </c>
    </row>
    <row r="66" spans="1:8">
      <c r="A66" s="1" t="s">
        <v>84</v>
      </c>
      <c r="B66" s="1">
        <v>17</v>
      </c>
      <c r="C66" s="1">
        <v>20</v>
      </c>
      <c r="D66" s="1">
        <v>469.00000299999999</v>
      </c>
      <c r="E66" s="1">
        <v>466.85030499999999</v>
      </c>
      <c r="F66" s="2">
        <f t="shared" ref="F66:F97" si="2">ABS(E66-D66)/D66</f>
        <v>4.5835777958406557E-3</v>
      </c>
      <c r="G66" s="4">
        <v>19.59</v>
      </c>
      <c r="H66" s="5">
        <v>2.1000159904360771E-6</v>
      </c>
    </row>
    <row r="67" spans="1:8">
      <c r="A67" s="1" t="s">
        <v>85</v>
      </c>
      <c r="B67" s="1">
        <v>8</v>
      </c>
      <c r="C67" s="1">
        <v>4</v>
      </c>
      <c r="D67" s="1">
        <v>54.320000999999998</v>
      </c>
      <c r="E67" s="1">
        <v>53.133133999999998</v>
      </c>
      <c r="F67" s="2">
        <f t="shared" si="2"/>
        <v>2.1849539362121872E-2</v>
      </c>
      <c r="G67" s="4">
        <v>18.940000000000001</v>
      </c>
      <c r="H67" s="5">
        <v>2.1000159904360771E-6</v>
      </c>
    </row>
    <row r="68" spans="1:8">
      <c r="A68" s="1" t="s">
        <v>86</v>
      </c>
      <c r="B68" s="1">
        <v>5</v>
      </c>
      <c r="C68" s="1">
        <v>5</v>
      </c>
      <c r="D68" s="1">
        <v>38.919998999999997</v>
      </c>
      <c r="E68" s="1">
        <v>39.550193</v>
      </c>
      <c r="F68" s="2">
        <f t="shared" si="2"/>
        <v>1.6192035359507667E-2</v>
      </c>
      <c r="G68" s="4">
        <v>19</v>
      </c>
      <c r="H68" s="5">
        <v>2.1000159904360771E-6</v>
      </c>
    </row>
    <row r="69" spans="1:8">
      <c r="A69" s="1" t="s">
        <v>87</v>
      </c>
      <c r="B69" s="1">
        <v>3</v>
      </c>
      <c r="C69" s="1">
        <v>4</v>
      </c>
      <c r="D69" s="1">
        <v>16.239999999999998</v>
      </c>
      <c r="E69" s="1">
        <v>17.124915000000001</v>
      </c>
      <c r="F69" s="2">
        <f t="shared" si="2"/>
        <v>5.4489839901478022E-2</v>
      </c>
      <c r="G69" s="4">
        <v>19.16</v>
      </c>
      <c r="H69" s="5">
        <v>2.1000159904360771E-6</v>
      </c>
    </row>
    <row r="70" spans="1:8">
      <c r="A70" s="1" t="s">
        <v>88</v>
      </c>
      <c r="B70" s="1">
        <v>12</v>
      </c>
      <c r="C70" s="1">
        <v>8</v>
      </c>
      <c r="D70" s="1">
        <v>131.879998</v>
      </c>
      <c r="E70" s="1">
        <v>131.879998</v>
      </c>
      <c r="F70" s="2">
        <f t="shared" si="2"/>
        <v>0</v>
      </c>
      <c r="G70" s="4">
        <v>19.510000000000002</v>
      </c>
      <c r="H70" s="5">
        <v>2.1000159904360771E-6</v>
      </c>
    </row>
    <row r="71" spans="1:8">
      <c r="A71" s="1" t="s">
        <v>89</v>
      </c>
      <c r="B71" s="1">
        <v>16</v>
      </c>
      <c r="C71" s="1">
        <v>16</v>
      </c>
      <c r="D71" s="1">
        <v>370.16000300000002</v>
      </c>
      <c r="E71" s="1">
        <v>368.00017800000001</v>
      </c>
      <c r="F71" s="2">
        <f t="shared" si="2"/>
        <v>5.8348416427909207E-3</v>
      </c>
      <c r="G71" s="4">
        <v>19.309999999999999</v>
      </c>
      <c r="H71" s="5">
        <v>2.1000159904360771E-6</v>
      </c>
    </row>
    <row r="72" spans="1:8">
      <c r="A72" s="1" t="s">
        <v>90</v>
      </c>
      <c r="B72" s="1">
        <v>6</v>
      </c>
      <c r="C72" s="1">
        <v>8</v>
      </c>
      <c r="D72" s="1">
        <v>64.959998999999996</v>
      </c>
      <c r="E72" s="1">
        <v>64.553133000000003</v>
      </c>
      <c r="F72" s="2">
        <f t="shared" si="2"/>
        <v>6.2633313772063595E-3</v>
      </c>
      <c r="G72" s="4">
        <v>19.260000000000002</v>
      </c>
      <c r="H72" s="5">
        <v>2.1000159904360771E-6</v>
      </c>
    </row>
    <row r="73" spans="1:8">
      <c r="A73" s="1" t="s">
        <v>91</v>
      </c>
      <c r="B73" s="1">
        <v>9</v>
      </c>
      <c r="C73" s="1">
        <v>32</v>
      </c>
      <c r="D73" s="1">
        <v>362.88000399999999</v>
      </c>
      <c r="E73" s="1">
        <v>362.17801800000001</v>
      </c>
      <c r="F73" s="2">
        <f t="shared" si="2"/>
        <v>1.9344852079531411E-3</v>
      </c>
      <c r="G73" s="4">
        <v>19.559999999999999</v>
      </c>
      <c r="H73" s="5">
        <v>2.1000159904360771E-6</v>
      </c>
    </row>
    <row r="74" spans="1:8">
      <c r="A74" s="1" t="s">
        <v>92</v>
      </c>
      <c r="B74" s="1">
        <v>4</v>
      </c>
      <c r="C74" s="1">
        <v>6</v>
      </c>
      <c r="D74" s="1">
        <v>36.119999999999997</v>
      </c>
      <c r="E74" s="1">
        <v>36.332965999999999</v>
      </c>
      <c r="F74" s="2">
        <f t="shared" si="2"/>
        <v>5.8960686600221914E-3</v>
      </c>
      <c r="G74" s="4">
        <v>19.36</v>
      </c>
      <c r="H74" s="5">
        <v>2.1000159904360771E-6</v>
      </c>
    </row>
    <row r="75" spans="1:8">
      <c r="A75" s="1" t="s">
        <v>93</v>
      </c>
      <c r="B75" s="1">
        <v>7</v>
      </c>
      <c r="C75" s="1">
        <v>10</v>
      </c>
      <c r="D75" s="1">
        <v>93.52</v>
      </c>
      <c r="E75" s="1">
        <v>93.776449</v>
      </c>
      <c r="F75" s="2">
        <f t="shared" si="2"/>
        <v>2.7421834901625694E-3</v>
      </c>
      <c r="G75" s="4">
        <v>19.28</v>
      </c>
      <c r="H75" s="5">
        <v>2.1000159904360771E-6</v>
      </c>
    </row>
    <row r="76" spans="1:8">
      <c r="A76" s="1" t="s">
        <v>94</v>
      </c>
      <c r="B76" s="1">
        <v>17</v>
      </c>
      <c r="C76" s="1">
        <v>40</v>
      </c>
      <c r="D76" s="1">
        <v>900.20000700000003</v>
      </c>
      <c r="E76" s="1">
        <v>899.71045600000002</v>
      </c>
      <c r="F76" s="2">
        <f t="shared" si="2"/>
        <v>5.438247013921716E-4</v>
      </c>
      <c r="G76" s="4">
        <v>20.079999999999998</v>
      </c>
      <c r="H76" s="5">
        <v>2.1000159904360771E-6</v>
      </c>
    </row>
    <row r="77" spans="1:8">
      <c r="A77" s="1" t="s">
        <v>95</v>
      </c>
      <c r="B77" s="1">
        <v>8</v>
      </c>
      <c r="C77" s="1">
        <v>16</v>
      </c>
      <c r="D77" s="1">
        <v>171.92000300000001</v>
      </c>
      <c r="E77" s="1">
        <v>171.16081</v>
      </c>
      <c r="F77" s="2">
        <f t="shared" si="2"/>
        <v>4.4159666516525734E-3</v>
      </c>
      <c r="G77" s="4">
        <v>19.03</v>
      </c>
      <c r="H77" s="5">
        <v>2.1000159904360771E-6</v>
      </c>
    </row>
    <row r="78" spans="1:8">
      <c r="A78" s="1" t="s">
        <v>96</v>
      </c>
      <c r="B78" s="1">
        <v>5</v>
      </c>
      <c r="C78" s="1">
        <v>48</v>
      </c>
      <c r="D78" s="1">
        <v>291.75999400000001</v>
      </c>
      <c r="E78" s="1">
        <v>291.49772000000002</v>
      </c>
      <c r="F78" s="2">
        <f t="shared" si="2"/>
        <v>8.9893750134910811E-4</v>
      </c>
      <c r="G78" s="4">
        <v>19.399999999999999</v>
      </c>
      <c r="H78" s="5">
        <v>2.1000159904360771E-6</v>
      </c>
    </row>
    <row r="79" spans="1:8">
      <c r="A79" s="1" t="s">
        <v>97</v>
      </c>
      <c r="B79" s="1">
        <v>3</v>
      </c>
      <c r="C79" s="1">
        <v>48</v>
      </c>
      <c r="D79" s="1">
        <v>151.759996</v>
      </c>
      <c r="E79" s="1">
        <v>151.41490999999999</v>
      </c>
      <c r="F79" s="2">
        <f t="shared" si="2"/>
        <v>2.2738930488638725E-3</v>
      </c>
      <c r="G79" s="4">
        <v>19.22</v>
      </c>
      <c r="H79" s="5">
        <v>2.1000159904360771E-6</v>
      </c>
    </row>
    <row r="80" spans="1:8">
      <c r="A80" s="1" t="s">
        <v>98</v>
      </c>
      <c r="B80" s="1">
        <v>12</v>
      </c>
      <c r="C80" s="1">
        <v>10</v>
      </c>
      <c r="D80" s="1">
        <v>158.19999799999999</v>
      </c>
      <c r="E80" s="1">
        <v>158.19999799999999</v>
      </c>
      <c r="F80" s="2">
        <f t="shared" si="2"/>
        <v>0</v>
      </c>
      <c r="G80" s="4">
        <v>18.8</v>
      </c>
      <c r="H80" s="5">
        <v>2.1000159904360771E-6</v>
      </c>
    </row>
    <row r="81" spans="1:8">
      <c r="A81" s="1" t="s">
        <v>99</v>
      </c>
      <c r="B81" s="1">
        <v>16</v>
      </c>
      <c r="C81" s="1">
        <v>64</v>
      </c>
      <c r="D81" s="1">
        <v>1378.4400149999999</v>
      </c>
      <c r="E81" s="1">
        <v>1379.8798139999999</v>
      </c>
      <c r="F81" s="2">
        <f t="shared" si="2"/>
        <v>1.0445133515657506E-3</v>
      </c>
      <c r="G81" s="4">
        <v>19.71</v>
      </c>
      <c r="H81" s="5">
        <v>2.1000159904360771E-6</v>
      </c>
    </row>
    <row r="82" spans="1:8">
      <c r="A82" s="1" t="s">
        <v>100</v>
      </c>
      <c r="B82" s="1">
        <v>6</v>
      </c>
      <c r="C82" s="1">
        <v>1</v>
      </c>
      <c r="D82" s="1">
        <v>15.4</v>
      </c>
      <c r="E82" s="1">
        <v>17.279292999999999</v>
      </c>
      <c r="F82" s="2">
        <f t="shared" si="2"/>
        <v>0.12203201298701291</v>
      </c>
      <c r="G82" s="4">
        <v>19.04</v>
      </c>
      <c r="H82" s="5">
        <v>2.1000159904360771E-6</v>
      </c>
    </row>
    <row r="83" spans="1:8">
      <c r="A83" s="1" t="s">
        <v>101</v>
      </c>
      <c r="B83" s="1">
        <v>9</v>
      </c>
      <c r="C83" s="1">
        <v>16</v>
      </c>
      <c r="D83" s="1">
        <v>192.64000200000001</v>
      </c>
      <c r="E83" s="1">
        <v>191.048371</v>
      </c>
      <c r="F83" s="2">
        <f t="shared" si="2"/>
        <v>8.2622040255170195E-3</v>
      </c>
      <c r="G83" s="4">
        <v>18.89</v>
      </c>
      <c r="H83" s="5">
        <v>2.0999577827751641E-6</v>
      </c>
    </row>
    <row r="84" spans="1:8">
      <c r="A84" s="1" t="s">
        <v>102</v>
      </c>
      <c r="B84" s="1">
        <v>4</v>
      </c>
      <c r="C84" s="1">
        <v>32</v>
      </c>
      <c r="D84" s="1">
        <v>167.16000299999999</v>
      </c>
      <c r="E84" s="1">
        <v>167.035707</v>
      </c>
      <c r="F84" s="2">
        <f t="shared" si="2"/>
        <v>7.4357500460194936E-4</v>
      </c>
      <c r="G84" s="4">
        <v>18.75</v>
      </c>
      <c r="H84" s="5">
        <v>2.1000159904360771E-6</v>
      </c>
    </row>
    <row r="85" spans="1:8">
      <c r="A85" s="1" t="s">
        <v>103</v>
      </c>
      <c r="B85" s="1">
        <v>7</v>
      </c>
      <c r="C85" s="1">
        <v>8</v>
      </c>
      <c r="D85" s="1">
        <v>77.28</v>
      </c>
      <c r="E85" s="1">
        <v>77.584714000000005</v>
      </c>
      <c r="F85" s="2">
        <f t="shared" si="2"/>
        <v>3.9429865424431181E-3</v>
      </c>
      <c r="G85" s="4">
        <v>18.89</v>
      </c>
      <c r="H85" s="5">
        <v>2.1000159904360771E-6</v>
      </c>
    </row>
    <row r="86" spans="1:8">
      <c r="A86" s="1" t="s">
        <v>104</v>
      </c>
      <c r="B86" s="1">
        <v>17</v>
      </c>
      <c r="C86" s="1">
        <v>32</v>
      </c>
      <c r="D86" s="1">
        <v>727.72000500000001</v>
      </c>
      <c r="E86" s="1">
        <v>726.56639600000005</v>
      </c>
      <c r="F86" s="2">
        <f t="shared" si="2"/>
        <v>1.5852374430739475E-3</v>
      </c>
      <c r="G86" s="4">
        <v>19.829999999999998</v>
      </c>
      <c r="H86" s="5">
        <v>2.1000159904360771E-6</v>
      </c>
    </row>
    <row r="87" spans="1:8">
      <c r="A87" s="1" t="s">
        <v>105</v>
      </c>
      <c r="B87" s="1">
        <v>8</v>
      </c>
      <c r="C87" s="1">
        <v>9</v>
      </c>
      <c r="D87" s="1">
        <v>103.320002</v>
      </c>
      <c r="E87" s="1">
        <v>102.31133199999999</v>
      </c>
      <c r="F87" s="2">
        <f t="shared" si="2"/>
        <v>9.7625820797023338E-3</v>
      </c>
      <c r="G87" s="4">
        <v>18.899999999999999</v>
      </c>
      <c r="H87" s="5">
        <v>2.1000159904360771E-6</v>
      </c>
    </row>
    <row r="88" spans="1:8">
      <c r="A88" s="1" t="s">
        <v>106</v>
      </c>
      <c r="B88" s="1">
        <v>5</v>
      </c>
      <c r="C88" s="1">
        <v>24</v>
      </c>
      <c r="D88" s="1">
        <v>150.63999699999999</v>
      </c>
      <c r="E88" s="1">
        <v>150.875844</v>
      </c>
      <c r="F88" s="2">
        <f t="shared" si="2"/>
        <v>1.5656333291085157E-3</v>
      </c>
      <c r="G88" s="4">
        <v>19.03</v>
      </c>
      <c r="H88" s="5">
        <v>2.1000159904360771E-6</v>
      </c>
    </row>
    <row r="89" spans="1:8">
      <c r="A89" s="1" t="s">
        <v>107</v>
      </c>
      <c r="B89" s="1">
        <v>3</v>
      </c>
      <c r="C89" s="1">
        <v>2</v>
      </c>
      <c r="D89" s="1">
        <v>14.28</v>
      </c>
      <c r="E89" s="1">
        <v>11.020823999999999</v>
      </c>
      <c r="F89" s="2">
        <f t="shared" si="2"/>
        <v>0.22823361344537815</v>
      </c>
      <c r="G89" s="4">
        <v>19.010000000000002</v>
      </c>
      <c r="H89" s="5">
        <v>2.1000159904360771E-6</v>
      </c>
    </row>
    <row r="90" spans="1:8">
      <c r="A90" s="1" t="s">
        <v>108</v>
      </c>
      <c r="B90" s="1">
        <v>12</v>
      </c>
      <c r="C90" s="1">
        <v>40</v>
      </c>
      <c r="D90" s="1">
        <v>552.99999400000002</v>
      </c>
      <c r="E90" s="1">
        <v>552.99999400000002</v>
      </c>
      <c r="F90" s="2">
        <f t="shared" si="2"/>
        <v>0</v>
      </c>
      <c r="G90" s="4">
        <v>19.14</v>
      </c>
      <c r="H90" s="5">
        <v>2.0000152289867401E-6</v>
      </c>
    </row>
    <row r="91" spans="1:8">
      <c r="A91" s="1" t="s">
        <v>109</v>
      </c>
      <c r="B91" s="1">
        <v>16</v>
      </c>
      <c r="C91" s="1">
        <v>32</v>
      </c>
      <c r="D91" s="1">
        <v>706.44000700000004</v>
      </c>
      <c r="E91" s="1">
        <v>705.29339000000004</v>
      </c>
      <c r="F91" s="2">
        <f t="shared" si="2"/>
        <v>1.6230918246961513E-3</v>
      </c>
      <c r="G91" s="4">
        <v>19.8</v>
      </c>
      <c r="H91" s="5">
        <v>2.1000159904360771E-6</v>
      </c>
    </row>
    <row r="92" spans="1:8">
      <c r="A92" s="1" t="s">
        <v>110</v>
      </c>
      <c r="B92" s="1">
        <v>6</v>
      </c>
      <c r="C92" s="1">
        <v>5</v>
      </c>
      <c r="D92" s="1">
        <v>44.799999</v>
      </c>
      <c r="E92" s="1">
        <v>44.292915999999998</v>
      </c>
      <c r="F92" s="2">
        <f t="shared" si="2"/>
        <v>1.1318817216937917E-2</v>
      </c>
      <c r="G92" s="4">
        <v>19.16</v>
      </c>
      <c r="H92" s="5">
        <v>2.1000159904360771E-6</v>
      </c>
    </row>
    <row r="93" spans="1:8">
      <c r="A93" s="1" t="s">
        <v>111</v>
      </c>
      <c r="B93" s="1">
        <v>9</v>
      </c>
      <c r="C93" s="1">
        <v>3</v>
      </c>
      <c r="D93" s="1">
        <v>54.32</v>
      </c>
      <c r="E93" s="1">
        <v>52.005532000000002</v>
      </c>
      <c r="F93" s="2">
        <f t="shared" si="2"/>
        <v>4.2608026509572863E-2</v>
      </c>
      <c r="G93" s="4">
        <v>18.760000000000002</v>
      </c>
      <c r="H93" s="5">
        <v>2.1000159904360771E-6</v>
      </c>
    </row>
    <row r="94" spans="1:8">
      <c r="A94" s="1" t="s">
        <v>112</v>
      </c>
      <c r="B94" s="1">
        <v>4</v>
      </c>
      <c r="C94" s="1">
        <v>8</v>
      </c>
      <c r="D94" s="1">
        <v>46.200001</v>
      </c>
      <c r="E94" s="1">
        <v>46.387022999999999</v>
      </c>
      <c r="F94" s="2">
        <f t="shared" si="2"/>
        <v>4.048095150474107E-3</v>
      </c>
      <c r="G94" s="4">
        <v>18.809999999999999</v>
      </c>
      <c r="H94" s="5">
        <v>2.1000159904360771E-6</v>
      </c>
    </row>
    <row r="95" spans="1:8">
      <c r="A95" s="1" t="s">
        <v>113</v>
      </c>
      <c r="B95" s="1">
        <v>7</v>
      </c>
      <c r="C95" s="1">
        <v>16</v>
      </c>
      <c r="D95" s="1">
        <v>142.24</v>
      </c>
      <c r="E95" s="1">
        <v>142.351651</v>
      </c>
      <c r="F95" s="2">
        <f t="shared" si="2"/>
        <v>7.8494797525305705E-4</v>
      </c>
      <c r="G95" s="4">
        <v>18.850000000000001</v>
      </c>
      <c r="H95" s="5">
        <v>2.1000159904360771E-6</v>
      </c>
    </row>
    <row r="96" spans="1:8">
      <c r="A96" s="1" t="s">
        <v>114</v>
      </c>
      <c r="B96" s="1">
        <v>17</v>
      </c>
      <c r="C96" s="1">
        <v>3</v>
      </c>
      <c r="D96" s="1">
        <v>91.84</v>
      </c>
      <c r="E96" s="1">
        <v>98.919177000000005</v>
      </c>
      <c r="F96" s="2">
        <f t="shared" si="2"/>
        <v>7.7081631097560985E-2</v>
      </c>
      <c r="G96" s="4">
        <v>18.86</v>
      </c>
      <c r="H96" s="5">
        <v>2.1000159904360771E-6</v>
      </c>
    </row>
    <row r="97" spans="1:8">
      <c r="A97" s="1" t="s">
        <v>115</v>
      </c>
      <c r="B97" s="1">
        <v>8</v>
      </c>
      <c r="C97" s="1">
        <v>24</v>
      </c>
      <c r="D97" s="1">
        <v>250.32000500000001</v>
      </c>
      <c r="E97" s="1">
        <v>249.84592799999999</v>
      </c>
      <c r="F97" s="2">
        <f t="shared" si="2"/>
        <v>1.8938837908701004E-3</v>
      </c>
      <c r="G97" s="4">
        <v>19.510000000000002</v>
      </c>
      <c r="H97" s="5">
        <v>2.2000167518854141E-6</v>
      </c>
    </row>
    <row r="98" spans="1:8">
      <c r="A98" s="1" t="s">
        <v>116</v>
      </c>
      <c r="B98" s="1">
        <v>5</v>
      </c>
      <c r="C98" s="1">
        <v>12</v>
      </c>
      <c r="D98" s="1">
        <v>80.079999000000001</v>
      </c>
      <c r="E98" s="1">
        <v>80.564905999999993</v>
      </c>
      <c r="F98" s="2">
        <f t="shared" ref="F98:F129" si="3">ABS(E98-D98)/D98</f>
        <v>6.0552822933975393E-3</v>
      </c>
      <c r="G98" s="4">
        <v>19.260000000000002</v>
      </c>
      <c r="H98" s="5">
        <v>2.1000159904360771E-6</v>
      </c>
    </row>
    <row r="99" spans="1:8">
      <c r="A99" s="1" t="s">
        <v>117</v>
      </c>
      <c r="B99" s="1">
        <v>3</v>
      </c>
      <c r="C99" s="1">
        <v>6</v>
      </c>
      <c r="D99" s="1">
        <v>22.399999000000001</v>
      </c>
      <c r="E99" s="1">
        <v>23.229005999999998</v>
      </c>
      <c r="F99" s="2">
        <f t="shared" si="3"/>
        <v>3.7009242723626781E-2</v>
      </c>
      <c r="G99" s="4">
        <v>18.940000000000001</v>
      </c>
      <c r="H99" s="5">
        <v>2.1000159904360771E-6</v>
      </c>
    </row>
    <row r="100" spans="1:8">
      <c r="A100" s="1" t="s">
        <v>118</v>
      </c>
      <c r="B100" s="1">
        <v>12</v>
      </c>
      <c r="C100" s="1">
        <v>48</v>
      </c>
      <c r="D100" s="1">
        <v>658.27999199999999</v>
      </c>
      <c r="E100" s="1">
        <v>658.27999199999999</v>
      </c>
      <c r="F100" s="2">
        <f t="shared" si="3"/>
        <v>0</v>
      </c>
      <c r="G100" s="4">
        <v>19.78</v>
      </c>
      <c r="H100" s="5">
        <v>2.1000159904360771E-6</v>
      </c>
    </row>
    <row r="101" spans="1:8">
      <c r="A101" s="1" t="s">
        <v>119</v>
      </c>
      <c r="B101" s="1">
        <v>16</v>
      </c>
      <c r="C101" s="1">
        <v>5</v>
      </c>
      <c r="D101" s="1">
        <v>139.16000099999999</v>
      </c>
      <c r="E101" s="1">
        <v>136.11109500000001</v>
      </c>
      <c r="F101" s="2">
        <f t="shared" si="3"/>
        <v>2.1909355979380801E-2</v>
      </c>
      <c r="G101" s="4">
        <v>18.46</v>
      </c>
      <c r="H101" s="5">
        <v>2.1000159904360771E-6</v>
      </c>
    </row>
    <row r="102" spans="1:8">
      <c r="F102" s="6">
        <f>AVERAGE(F2:F101)</f>
        <v>1.8067046139499859E-2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02"/>
  <sheetViews>
    <sheetView workbookViewId="0">
      <pane ySplit="1" topLeftCell="A78" activePane="bottomLeft" state="frozen"/>
      <selection pane="bottomLeft" activeCell="N103" sqref="N103"/>
    </sheetView>
  </sheetViews>
  <sheetFormatPr defaultRowHeight="14"/>
  <cols>
    <col min="1" max="1" width="6.6640625" customWidth="1"/>
    <col min="2" max="2" width="11.6640625" customWidth="1"/>
    <col min="3" max="3" width="12.25" customWidth="1"/>
    <col min="4" max="4" width="17" customWidth="1"/>
    <col min="5" max="5" width="13.5" customWidth="1"/>
    <col min="6" max="6" width="14.25" customWidth="1"/>
    <col min="7" max="7" width="18.9140625" customWidth="1"/>
    <col min="8" max="8" width="6.75" customWidth="1"/>
    <col min="9" max="9" width="9.9140625" customWidth="1"/>
    <col min="10" max="10" width="9.75" customWidth="1"/>
    <col min="11" max="11" width="9.1640625" customWidth="1"/>
    <col min="12" max="12" width="15" customWidth="1"/>
    <col min="13" max="13" width="9.25" customWidth="1"/>
    <col min="14" max="14" width="6" customWidth="1"/>
    <col min="15" max="15" width="9.914062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347</v>
      </c>
      <c r="N1" s="3" t="s">
        <v>13</v>
      </c>
      <c r="O1" s="3" t="s">
        <v>14</v>
      </c>
      <c r="P1" s="3" t="s">
        <v>15</v>
      </c>
    </row>
    <row r="2" spans="1:16">
      <c r="A2" s="1" t="s">
        <v>16</v>
      </c>
      <c r="B2" s="1">
        <v>8</v>
      </c>
      <c r="C2" s="1">
        <v>0</v>
      </c>
      <c r="D2" s="1" t="s">
        <v>17</v>
      </c>
      <c r="E2" s="1">
        <v>6</v>
      </c>
      <c r="F2" s="1">
        <v>1</v>
      </c>
      <c r="G2" s="1" t="s">
        <v>17</v>
      </c>
      <c r="H2" s="1">
        <v>6</v>
      </c>
      <c r="I2" s="1" t="s">
        <v>19</v>
      </c>
      <c r="J2" s="1" t="s">
        <v>20</v>
      </c>
      <c r="K2" s="1" t="s">
        <v>18</v>
      </c>
      <c r="L2" s="1">
        <v>202.44000299999999</v>
      </c>
      <c r="M2" s="1">
        <v>202.97233800000001</v>
      </c>
      <c r="N2" s="2">
        <f t="shared" ref="N2:N33" si="0">ABS(M2-L2)/L2</f>
        <v>2.6295939147956719E-3</v>
      </c>
      <c r="O2" s="4">
        <v>19.52</v>
      </c>
      <c r="P2" s="5">
        <v>9.199994383379817E-5</v>
      </c>
    </row>
    <row r="3" spans="1:16">
      <c r="A3" s="1" t="s">
        <v>21</v>
      </c>
      <c r="B3" s="1">
        <v>12</v>
      </c>
      <c r="C3" s="1">
        <v>3</v>
      </c>
      <c r="D3" s="1" t="s">
        <v>18</v>
      </c>
      <c r="E3" s="1">
        <v>16</v>
      </c>
      <c r="F3" s="1">
        <v>0</v>
      </c>
      <c r="G3" s="1" t="s">
        <v>18</v>
      </c>
      <c r="H3" s="1">
        <v>2</v>
      </c>
      <c r="I3" s="1" t="s">
        <v>19</v>
      </c>
      <c r="J3" s="1" t="s">
        <v>20</v>
      </c>
      <c r="K3" s="1" t="s">
        <v>18</v>
      </c>
      <c r="L3" s="1">
        <v>254.240004</v>
      </c>
      <c r="M3" s="1">
        <v>256.233205</v>
      </c>
      <c r="N3" s="2">
        <f t="shared" si="0"/>
        <v>7.8398401850245381E-3</v>
      </c>
      <c r="O3" s="4">
        <v>19.25</v>
      </c>
      <c r="P3" s="5">
        <v>1.479999627918005E-4</v>
      </c>
    </row>
    <row r="4" spans="1:16">
      <c r="A4" s="1" t="s">
        <v>22</v>
      </c>
      <c r="B4" s="1">
        <v>10</v>
      </c>
      <c r="C4" s="1">
        <v>3</v>
      </c>
      <c r="D4" s="1" t="s">
        <v>17</v>
      </c>
      <c r="E4" s="1">
        <v>12</v>
      </c>
      <c r="F4" s="1">
        <v>6</v>
      </c>
      <c r="G4" s="1" t="s">
        <v>17</v>
      </c>
      <c r="H4" s="1">
        <v>6</v>
      </c>
      <c r="I4" s="1" t="s">
        <v>19</v>
      </c>
      <c r="J4" s="1" t="s">
        <v>20</v>
      </c>
      <c r="K4" s="1" t="s">
        <v>17</v>
      </c>
      <c r="L4" s="1">
        <v>421.67998899999998</v>
      </c>
      <c r="M4" s="1">
        <v>415.75371899999999</v>
      </c>
      <c r="N4" s="2">
        <f t="shared" si="0"/>
        <v>1.4053951229827007E-2</v>
      </c>
      <c r="O4" s="4">
        <v>19.420000000000002</v>
      </c>
      <c r="P4" s="5">
        <v>1.496000331826508E-4</v>
      </c>
    </row>
    <row r="5" spans="1:16">
      <c r="A5" s="1" t="s">
        <v>23</v>
      </c>
      <c r="B5" s="1">
        <v>5</v>
      </c>
      <c r="C5" s="1">
        <v>0</v>
      </c>
      <c r="D5" s="1" t="s">
        <v>18</v>
      </c>
      <c r="E5" s="1">
        <v>16</v>
      </c>
      <c r="F5" s="1">
        <v>3</v>
      </c>
      <c r="G5" s="1" t="s">
        <v>18</v>
      </c>
      <c r="H5" s="1">
        <v>1</v>
      </c>
      <c r="I5" s="1" t="s">
        <v>19</v>
      </c>
      <c r="J5" s="1" t="s">
        <v>20</v>
      </c>
      <c r="K5" s="1" t="s">
        <v>18</v>
      </c>
      <c r="L5" s="1">
        <v>115.08000199999999</v>
      </c>
      <c r="M5" s="1">
        <v>115.834688</v>
      </c>
      <c r="N5" s="2">
        <f t="shared" si="0"/>
        <v>6.5579248078220112E-3</v>
      </c>
      <c r="O5" s="4">
        <v>19.13</v>
      </c>
      <c r="P5" s="5">
        <v>1.4749995898455379E-4</v>
      </c>
    </row>
    <row r="6" spans="1:16">
      <c r="A6" s="1" t="s">
        <v>24</v>
      </c>
      <c r="B6" s="1">
        <v>12</v>
      </c>
      <c r="C6" s="1">
        <v>2</v>
      </c>
      <c r="D6" s="1" t="s">
        <v>17</v>
      </c>
      <c r="E6" s="1">
        <v>8</v>
      </c>
      <c r="F6" s="1">
        <v>0</v>
      </c>
      <c r="G6" s="1" t="s">
        <v>17</v>
      </c>
      <c r="H6" s="1">
        <v>1</v>
      </c>
      <c r="I6" s="1" t="s">
        <v>19</v>
      </c>
      <c r="J6" s="1" t="s">
        <v>20</v>
      </c>
      <c r="K6" s="1" t="s">
        <v>18</v>
      </c>
      <c r="L6" s="1">
        <v>97.720000999999996</v>
      </c>
      <c r="M6" s="1">
        <v>96.551659000000001</v>
      </c>
      <c r="N6" s="2">
        <f t="shared" si="0"/>
        <v>1.1956017069627288E-2</v>
      </c>
      <c r="O6" s="4">
        <v>19.25</v>
      </c>
      <c r="P6" s="5">
        <v>1.4760001795366409E-4</v>
      </c>
    </row>
    <row r="7" spans="1:16">
      <c r="A7" s="1" t="s">
        <v>25</v>
      </c>
      <c r="B7" s="1">
        <v>14</v>
      </c>
      <c r="C7" s="1">
        <v>4</v>
      </c>
      <c r="D7" s="1" t="s">
        <v>18</v>
      </c>
      <c r="E7" s="1">
        <v>8</v>
      </c>
      <c r="F7" s="1">
        <v>0</v>
      </c>
      <c r="G7" s="1" t="s">
        <v>18</v>
      </c>
      <c r="H7" s="1">
        <v>4</v>
      </c>
      <c r="I7" s="1" t="s">
        <v>19</v>
      </c>
      <c r="J7" s="1" t="s">
        <v>20</v>
      </c>
      <c r="K7" s="1" t="s">
        <v>18</v>
      </c>
      <c r="L7" s="1">
        <v>241.360004</v>
      </c>
      <c r="M7" s="1">
        <v>242.98494500000001</v>
      </c>
      <c r="N7" s="2">
        <f t="shared" si="0"/>
        <v>6.7324369119583158E-3</v>
      </c>
      <c r="O7" s="4">
        <v>20.38</v>
      </c>
      <c r="P7" s="5">
        <v>1.534000039100647E-4</v>
      </c>
    </row>
    <row r="8" spans="1:16">
      <c r="A8" s="1" t="s">
        <v>26</v>
      </c>
      <c r="B8" s="1">
        <v>9</v>
      </c>
      <c r="C8" s="1">
        <v>0</v>
      </c>
      <c r="D8" s="1" t="s">
        <v>18</v>
      </c>
      <c r="E8" s="1">
        <v>12</v>
      </c>
      <c r="F8" s="1">
        <v>6</v>
      </c>
      <c r="G8" s="1" t="s">
        <v>18</v>
      </c>
      <c r="H8" s="1">
        <v>1</v>
      </c>
      <c r="I8" s="1" t="s">
        <v>19</v>
      </c>
      <c r="J8" s="1" t="s">
        <v>20</v>
      </c>
      <c r="K8" s="1" t="s">
        <v>17</v>
      </c>
      <c r="L8" s="1">
        <v>76.439999</v>
      </c>
      <c r="M8" s="1">
        <v>77.247682999999995</v>
      </c>
      <c r="N8" s="2">
        <f t="shared" si="0"/>
        <v>1.0566248175905846E-2</v>
      </c>
      <c r="O8" s="4">
        <v>19.37</v>
      </c>
      <c r="P8" s="5">
        <v>1.5310000162571671E-4</v>
      </c>
    </row>
    <row r="9" spans="1:16">
      <c r="A9" s="1" t="s">
        <v>27</v>
      </c>
      <c r="B9" s="1">
        <v>12</v>
      </c>
      <c r="C9" s="1">
        <v>4</v>
      </c>
      <c r="D9" s="1" t="s">
        <v>17</v>
      </c>
      <c r="E9" s="1">
        <v>16</v>
      </c>
      <c r="F9" s="1">
        <v>0</v>
      </c>
      <c r="G9" s="1" t="s">
        <v>17</v>
      </c>
      <c r="H9" s="1">
        <v>2</v>
      </c>
      <c r="I9" s="1" t="s">
        <v>19</v>
      </c>
      <c r="J9" s="1" t="s">
        <v>20</v>
      </c>
      <c r="K9" s="1" t="s">
        <v>17</v>
      </c>
      <c r="L9" s="1">
        <v>279.43999400000001</v>
      </c>
      <c r="M9" s="1">
        <v>281.007296</v>
      </c>
      <c r="N9" s="2">
        <f t="shared" si="0"/>
        <v>5.6087247124689803E-3</v>
      </c>
      <c r="O9" s="4">
        <v>19.420000000000002</v>
      </c>
      <c r="P9" s="5">
        <v>1.5129998791962859E-4</v>
      </c>
    </row>
    <row r="10" spans="1:16">
      <c r="A10" s="1" t="s">
        <v>28</v>
      </c>
      <c r="B10" s="1">
        <v>8</v>
      </c>
      <c r="C10" s="1">
        <v>6</v>
      </c>
      <c r="D10" s="1" t="s">
        <v>17</v>
      </c>
      <c r="E10" s="1">
        <v>5</v>
      </c>
      <c r="F10" s="1">
        <v>2</v>
      </c>
      <c r="G10" s="1" t="s">
        <v>17</v>
      </c>
      <c r="H10" s="1">
        <v>0</v>
      </c>
      <c r="I10" s="1" t="s">
        <v>19</v>
      </c>
      <c r="J10" s="1" t="s">
        <v>20</v>
      </c>
      <c r="K10" s="1" t="s">
        <v>17</v>
      </c>
      <c r="L10" s="1">
        <v>38.64</v>
      </c>
      <c r="M10" s="1">
        <v>37.196357999999996</v>
      </c>
      <c r="N10" s="2">
        <f t="shared" si="0"/>
        <v>3.7361335403726811E-2</v>
      </c>
      <c r="O10" s="4">
        <v>19.68</v>
      </c>
      <c r="P10" s="5">
        <v>1.4489999739453199E-4</v>
      </c>
    </row>
    <row r="11" spans="1:16">
      <c r="A11" s="1" t="s">
        <v>29</v>
      </c>
      <c r="B11" s="1">
        <v>10</v>
      </c>
      <c r="C11" s="1">
        <v>1</v>
      </c>
      <c r="D11" s="1" t="s">
        <v>18</v>
      </c>
      <c r="E11" s="1">
        <v>10</v>
      </c>
      <c r="F11" s="1">
        <v>1</v>
      </c>
      <c r="G11" s="1" t="s">
        <v>18</v>
      </c>
      <c r="H11" s="1">
        <v>1</v>
      </c>
      <c r="I11" s="1" t="s">
        <v>19</v>
      </c>
      <c r="J11" s="1" t="s">
        <v>20</v>
      </c>
      <c r="K11" s="1" t="s">
        <v>17</v>
      </c>
      <c r="L11" s="1">
        <v>121.799998</v>
      </c>
      <c r="M11" s="1">
        <v>123.709064</v>
      </c>
      <c r="N11" s="2">
        <f t="shared" si="0"/>
        <v>1.5673776940456071E-2</v>
      </c>
      <c r="O11" s="4">
        <v>19.86</v>
      </c>
      <c r="P11" s="5">
        <v>1.475000171922147E-4</v>
      </c>
    </row>
    <row r="12" spans="1:16">
      <c r="A12" s="1" t="s">
        <v>30</v>
      </c>
      <c r="B12" s="1">
        <v>5</v>
      </c>
      <c r="C12" s="1">
        <v>0</v>
      </c>
      <c r="D12" s="1" t="s">
        <v>17</v>
      </c>
      <c r="E12" s="1">
        <v>6</v>
      </c>
      <c r="F12" s="1">
        <v>3</v>
      </c>
      <c r="G12" s="1" t="s">
        <v>17</v>
      </c>
      <c r="H12" s="1">
        <v>3</v>
      </c>
      <c r="I12" s="1" t="s">
        <v>19</v>
      </c>
      <c r="J12" s="1" t="s">
        <v>20</v>
      </c>
      <c r="K12" s="1" t="s">
        <v>18</v>
      </c>
      <c r="L12" s="1">
        <v>68.880000999999993</v>
      </c>
      <c r="M12" s="1">
        <v>68.861647000000005</v>
      </c>
      <c r="N12" s="2">
        <f t="shared" si="0"/>
        <v>2.664634107654556E-4</v>
      </c>
      <c r="O12" s="4">
        <v>19.62</v>
      </c>
      <c r="P12" s="5">
        <v>1.4949997421354061E-4</v>
      </c>
    </row>
    <row r="13" spans="1:16">
      <c r="A13" s="1" t="s">
        <v>31</v>
      </c>
      <c r="B13" s="1">
        <v>12</v>
      </c>
      <c r="C13" s="1">
        <v>2</v>
      </c>
      <c r="D13" s="1" t="s">
        <v>18</v>
      </c>
      <c r="E13" s="1">
        <v>16</v>
      </c>
      <c r="F13" s="1">
        <v>4</v>
      </c>
      <c r="G13" s="1" t="s">
        <v>18</v>
      </c>
      <c r="H13" s="1">
        <v>3</v>
      </c>
      <c r="I13" s="1" t="s">
        <v>19</v>
      </c>
      <c r="J13" s="1" t="s">
        <v>20</v>
      </c>
      <c r="K13" s="1" t="s">
        <v>18</v>
      </c>
      <c r="L13" s="1">
        <v>319.20000499999998</v>
      </c>
      <c r="M13" s="1">
        <v>320.24534199999999</v>
      </c>
      <c r="N13" s="2">
        <f t="shared" si="0"/>
        <v>3.2748652369225927E-3</v>
      </c>
      <c r="O13" s="4">
        <v>19.68</v>
      </c>
      <c r="P13" s="5">
        <v>1.4720001490786669E-4</v>
      </c>
    </row>
    <row r="14" spans="1:16">
      <c r="A14" s="1" t="s">
        <v>32</v>
      </c>
      <c r="B14" s="1">
        <v>4</v>
      </c>
      <c r="C14" s="1">
        <v>0</v>
      </c>
      <c r="D14" s="1" t="s">
        <v>18</v>
      </c>
      <c r="E14" s="1">
        <v>12</v>
      </c>
      <c r="F14" s="1">
        <v>0</v>
      </c>
      <c r="G14" s="1" t="s">
        <v>18</v>
      </c>
      <c r="H14" s="1">
        <v>6</v>
      </c>
      <c r="I14" s="1" t="s">
        <v>19</v>
      </c>
      <c r="J14" s="1" t="s">
        <v>20</v>
      </c>
      <c r="K14" s="1" t="s">
        <v>17</v>
      </c>
      <c r="L14" s="1">
        <v>520.79998499999999</v>
      </c>
      <c r="M14" s="1">
        <v>514.55934300000001</v>
      </c>
      <c r="N14" s="2">
        <f t="shared" si="0"/>
        <v>1.1982799884297193E-2</v>
      </c>
      <c r="O14" s="4">
        <v>19.850000000000001</v>
      </c>
      <c r="P14" s="5">
        <v>1.4530000044032931E-4</v>
      </c>
    </row>
    <row r="15" spans="1:16">
      <c r="A15" s="1" t="s">
        <v>33</v>
      </c>
      <c r="B15" s="1">
        <v>14</v>
      </c>
      <c r="C15" s="1">
        <v>2</v>
      </c>
      <c r="D15" s="1" t="s">
        <v>18</v>
      </c>
      <c r="E15" s="1">
        <v>10</v>
      </c>
      <c r="F15" s="1">
        <v>4</v>
      </c>
      <c r="G15" s="1" t="s">
        <v>18</v>
      </c>
      <c r="H15" s="1">
        <v>2</v>
      </c>
      <c r="I15" s="1" t="s">
        <v>19</v>
      </c>
      <c r="J15" s="1" t="s">
        <v>20</v>
      </c>
      <c r="K15" s="1" t="s">
        <v>17</v>
      </c>
      <c r="L15" s="1">
        <v>157.07999699999999</v>
      </c>
      <c r="M15" s="1">
        <v>153.39837399999999</v>
      </c>
      <c r="N15" s="2">
        <f t="shared" si="0"/>
        <v>2.3437885601691234E-2</v>
      </c>
      <c r="O15" s="4">
        <v>19.52</v>
      </c>
      <c r="P15" s="5">
        <v>1.4740001643076539E-4</v>
      </c>
    </row>
    <row r="16" spans="1:16">
      <c r="A16" s="1" t="s">
        <v>34</v>
      </c>
      <c r="B16" s="1">
        <v>14</v>
      </c>
      <c r="C16" s="1">
        <v>6</v>
      </c>
      <c r="D16" s="1" t="s">
        <v>17</v>
      </c>
      <c r="E16" s="1">
        <v>12</v>
      </c>
      <c r="F16" s="1">
        <v>8</v>
      </c>
      <c r="G16" s="1" t="s">
        <v>17</v>
      </c>
      <c r="H16" s="1">
        <v>0</v>
      </c>
      <c r="I16" s="1" t="s">
        <v>19</v>
      </c>
      <c r="J16" s="1" t="s">
        <v>20</v>
      </c>
      <c r="K16" s="1" t="s">
        <v>18</v>
      </c>
      <c r="L16" s="1">
        <v>70.84</v>
      </c>
      <c r="M16" s="1">
        <v>69.389064000000005</v>
      </c>
      <c r="N16" s="2">
        <f t="shared" si="0"/>
        <v>2.0481874647092019E-2</v>
      </c>
      <c r="O16" s="4">
        <v>19.5</v>
      </c>
      <c r="P16" s="5">
        <v>1.5059998258948329E-4</v>
      </c>
    </row>
    <row r="17" spans="1:16">
      <c r="A17" s="1" t="s">
        <v>35</v>
      </c>
      <c r="B17" s="1">
        <v>12</v>
      </c>
      <c r="C17" s="1">
        <v>6</v>
      </c>
      <c r="D17" s="1" t="s">
        <v>17</v>
      </c>
      <c r="E17" s="1">
        <v>16</v>
      </c>
      <c r="F17" s="1">
        <v>1</v>
      </c>
      <c r="G17" s="1" t="s">
        <v>17</v>
      </c>
      <c r="H17" s="1">
        <v>6</v>
      </c>
      <c r="I17" s="1" t="s">
        <v>19</v>
      </c>
      <c r="J17" s="1" t="s">
        <v>20</v>
      </c>
      <c r="K17" s="1" t="s">
        <v>18</v>
      </c>
      <c r="L17" s="1">
        <v>626.36001099999999</v>
      </c>
      <c r="M17" s="1">
        <v>628.34138800000005</v>
      </c>
      <c r="N17" s="2">
        <f t="shared" si="0"/>
        <v>3.1633197605267713E-3</v>
      </c>
      <c r="O17" s="4">
        <v>19.760000000000002</v>
      </c>
      <c r="P17" s="5">
        <v>1.512000453658402E-4</v>
      </c>
    </row>
    <row r="18" spans="1:16">
      <c r="A18" s="1" t="s">
        <v>36</v>
      </c>
      <c r="B18" s="1">
        <v>14</v>
      </c>
      <c r="C18" s="1">
        <v>1</v>
      </c>
      <c r="D18" s="1" t="s">
        <v>17</v>
      </c>
      <c r="E18" s="1">
        <v>9</v>
      </c>
      <c r="F18" s="1">
        <v>0</v>
      </c>
      <c r="G18" s="1" t="s">
        <v>17</v>
      </c>
      <c r="H18" s="1">
        <v>4</v>
      </c>
      <c r="I18" s="1" t="s">
        <v>19</v>
      </c>
      <c r="J18" s="1" t="s">
        <v>20</v>
      </c>
      <c r="K18" s="1" t="s">
        <v>17</v>
      </c>
      <c r="L18" s="1">
        <v>297.91999299999998</v>
      </c>
      <c r="M18" s="1">
        <v>294.930362</v>
      </c>
      <c r="N18" s="2">
        <f t="shared" si="0"/>
        <v>1.0035012990887035E-2</v>
      </c>
      <c r="O18" s="4">
        <v>19.52</v>
      </c>
      <c r="P18" s="5">
        <v>1.4670001110062E-4</v>
      </c>
    </row>
    <row r="19" spans="1:16">
      <c r="A19" s="1" t="s">
        <v>37</v>
      </c>
      <c r="B19" s="1">
        <v>5</v>
      </c>
      <c r="C19" s="1">
        <v>4</v>
      </c>
      <c r="D19" s="1" t="s">
        <v>18</v>
      </c>
      <c r="E19" s="1">
        <v>16</v>
      </c>
      <c r="F19" s="1">
        <v>2</v>
      </c>
      <c r="G19" s="1" t="s">
        <v>18</v>
      </c>
      <c r="H19" s="1">
        <v>2</v>
      </c>
      <c r="I19" s="1" t="s">
        <v>19</v>
      </c>
      <c r="J19" s="1" t="s">
        <v>20</v>
      </c>
      <c r="K19" s="1" t="s">
        <v>17</v>
      </c>
      <c r="L19" s="1">
        <v>251.15999299999999</v>
      </c>
      <c r="M19" s="1">
        <v>251.88125299999999</v>
      </c>
      <c r="N19" s="2">
        <f t="shared" si="0"/>
        <v>2.8717153213171213E-3</v>
      </c>
      <c r="O19" s="4">
        <v>19.420000000000002</v>
      </c>
      <c r="P19" s="5">
        <v>1.3890000991523271E-4</v>
      </c>
    </row>
    <row r="20" spans="1:16">
      <c r="A20" s="1" t="s">
        <v>38</v>
      </c>
      <c r="B20" s="1">
        <v>9</v>
      </c>
      <c r="C20" s="1">
        <v>4</v>
      </c>
      <c r="D20" s="1" t="s">
        <v>17</v>
      </c>
      <c r="E20" s="1">
        <v>6</v>
      </c>
      <c r="F20" s="1">
        <v>1</v>
      </c>
      <c r="G20" s="1" t="s">
        <v>17</v>
      </c>
      <c r="H20" s="1">
        <v>4</v>
      </c>
      <c r="I20" s="1" t="s">
        <v>19</v>
      </c>
      <c r="J20" s="1" t="s">
        <v>20</v>
      </c>
      <c r="K20" s="1" t="s">
        <v>18</v>
      </c>
      <c r="L20" s="1">
        <v>179.76000300000001</v>
      </c>
      <c r="M20" s="1">
        <v>180.97761199999999</v>
      </c>
      <c r="N20" s="2">
        <f t="shared" si="0"/>
        <v>6.7735256991511153E-3</v>
      </c>
      <c r="O20" s="4">
        <v>19.420000000000002</v>
      </c>
      <c r="P20" s="5">
        <v>1.147000002674758E-4</v>
      </c>
    </row>
    <row r="21" spans="1:16">
      <c r="A21" s="1" t="s">
        <v>39</v>
      </c>
      <c r="B21" s="1">
        <v>8</v>
      </c>
      <c r="C21" s="1">
        <v>1</v>
      </c>
      <c r="D21" s="1" t="s">
        <v>18</v>
      </c>
      <c r="E21" s="1">
        <v>12</v>
      </c>
      <c r="F21" s="1">
        <v>8</v>
      </c>
      <c r="G21" s="1" t="s">
        <v>18</v>
      </c>
      <c r="H21" s="1">
        <v>1</v>
      </c>
      <c r="I21" s="1" t="s">
        <v>19</v>
      </c>
      <c r="J21" s="1" t="s">
        <v>20</v>
      </c>
      <c r="K21" s="1" t="s">
        <v>17</v>
      </c>
      <c r="L21" s="1">
        <v>64.679998999999995</v>
      </c>
      <c r="M21" s="1">
        <v>65.212338000000003</v>
      </c>
      <c r="N21" s="2">
        <f t="shared" si="0"/>
        <v>8.2303495397395947E-3</v>
      </c>
      <c r="O21" s="4">
        <v>19.41</v>
      </c>
      <c r="P21" s="5">
        <v>1.110999728552997E-4</v>
      </c>
    </row>
    <row r="22" spans="1:16">
      <c r="A22" s="1" t="s">
        <v>40</v>
      </c>
      <c r="B22" s="1">
        <v>8</v>
      </c>
      <c r="C22" s="1">
        <v>0</v>
      </c>
      <c r="D22" s="1" t="s">
        <v>18</v>
      </c>
      <c r="E22" s="1">
        <v>5</v>
      </c>
      <c r="F22" s="1">
        <v>1</v>
      </c>
      <c r="G22" s="1" t="s">
        <v>18</v>
      </c>
      <c r="H22" s="1">
        <v>6</v>
      </c>
      <c r="I22" s="1" t="s">
        <v>19</v>
      </c>
      <c r="J22" s="1" t="s">
        <v>20</v>
      </c>
      <c r="K22" s="1" t="s">
        <v>17</v>
      </c>
      <c r="L22" s="1">
        <v>181.43999500000001</v>
      </c>
      <c r="M22" s="1">
        <v>181.69699199999999</v>
      </c>
      <c r="N22" s="2">
        <f t="shared" si="0"/>
        <v>1.4164297127542587E-3</v>
      </c>
      <c r="O22" s="4">
        <v>18.86</v>
      </c>
      <c r="P22" s="5">
        <v>1.086000120267272E-4</v>
      </c>
    </row>
    <row r="23" spans="1:16">
      <c r="A23" s="1" t="s">
        <v>41</v>
      </c>
      <c r="B23" s="1">
        <v>12</v>
      </c>
      <c r="C23" s="1">
        <v>6</v>
      </c>
      <c r="D23" s="1" t="s">
        <v>18</v>
      </c>
      <c r="E23" s="1">
        <v>10</v>
      </c>
      <c r="F23" s="1">
        <v>1</v>
      </c>
      <c r="G23" s="1" t="s">
        <v>18</v>
      </c>
      <c r="H23" s="1">
        <v>4</v>
      </c>
      <c r="I23" s="1" t="s">
        <v>19</v>
      </c>
      <c r="J23" s="1" t="s">
        <v>20</v>
      </c>
      <c r="K23" s="1" t="s">
        <v>17</v>
      </c>
      <c r="L23" s="1">
        <v>325.35999199999998</v>
      </c>
      <c r="M23" s="1">
        <v>324.30462499999999</v>
      </c>
      <c r="N23" s="2">
        <f t="shared" si="0"/>
        <v>3.2436901461443046E-3</v>
      </c>
      <c r="O23" s="4">
        <v>19.27</v>
      </c>
      <c r="P23" s="5">
        <v>1.190999755635858E-4</v>
      </c>
    </row>
    <row r="24" spans="1:16">
      <c r="A24" s="1" t="s">
        <v>42</v>
      </c>
      <c r="B24" s="1">
        <v>6</v>
      </c>
      <c r="C24" s="1">
        <v>0</v>
      </c>
      <c r="D24" s="1" t="s">
        <v>18</v>
      </c>
      <c r="E24" s="1">
        <v>5</v>
      </c>
      <c r="F24" s="1">
        <v>0</v>
      </c>
      <c r="G24" s="1" t="s">
        <v>18</v>
      </c>
      <c r="H24" s="1">
        <v>1</v>
      </c>
      <c r="I24" s="1" t="s">
        <v>19</v>
      </c>
      <c r="J24" s="1" t="s">
        <v>20</v>
      </c>
      <c r="K24" s="1" t="s">
        <v>17</v>
      </c>
      <c r="L24" s="1">
        <v>58.799999</v>
      </c>
      <c r="M24" s="1">
        <v>59.332338</v>
      </c>
      <c r="N24" s="2">
        <f t="shared" si="0"/>
        <v>9.0533845077106264E-3</v>
      </c>
      <c r="O24" s="4">
        <v>19.07</v>
      </c>
      <c r="P24" s="5">
        <v>9.970000246539712E-5</v>
      </c>
    </row>
    <row r="25" spans="1:16">
      <c r="A25" s="1" t="s">
        <v>43</v>
      </c>
      <c r="B25" s="1">
        <v>4</v>
      </c>
      <c r="C25" s="1">
        <v>2</v>
      </c>
      <c r="D25" s="1" t="s">
        <v>18</v>
      </c>
      <c r="E25" s="1">
        <v>16</v>
      </c>
      <c r="F25" s="1">
        <v>8</v>
      </c>
      <c r="G25" s="1" t="s">
        <v>18</v>
      </c>
      <c r="H25" s="1">
        <v>1</v>
      </c>
      <c r="I25" s="1" t="s">
        <v>19</v>
      </c>
      <c r="J25" s="1" t="s">
        <v>20</v>
      </c>
      <c r="K25" s="1" t="s">
        <v>18</v>
      </c>
      <c r="L25" s="1">
        <v>91.840001000000001</v>
      </c>
      <c r="M25" s="1">
        <v>91.773754999999994</v>
      </c>
      <c r="N25" s="2">
        <f t="shared" si="0"/>
        <v>7.2131967855713203E-4</v>
      </c>
      <c r="O25" s="4">
        <v>19</v>
      </c>
      <c r="P25" s="5">
        <v>7.5499992817640305E-5</v>
      </c>
    </row>
    <row r="26" spans="1:16">
      <c r="A26" s="1" t="s">
        <v>44</v>
      </c>
      <c r="B26" s="1">
        <v>9</v>
      </c>
      <c r="C26" s="1">
        <v>4</v>
      </c>
      <c r="D26" s="1" t="s">
        <v>18</v>
      </c>
      <c r="E26" s="1">
        <v>10</v>
      </c>
      <c r="F26" s="1">
        <v>4</v>
      </c>
      <c r="G26" s="1" t="s">
        <v>18</v>
      </c>
      <c r="H26" s="1">
        <v>1</v>
      </c>
      <c r="I26" s="1" t="s">
        <v>19</v>
      </c>
      <c r="J26" s="1" t="s">
        <v>20</v>
      </c>
      <c r="K26" s="1" t="s">
        <v>17</v>
      </c>
      <c r="L26" s="1">
        <v>118.99999800000001</v>
      </c>
      <c r="M26" s="1">
        <v>118.946513</v>
      </c>
      <c r="N26" s="2">
        <f t="shared" si="0"/>
        <v>4.4945378906652674E-4</v>
      </c>
      <c r="O26" s="4">
        <v>19.28</v>
      </c>
      <c r="P26" s="5">
        <v>7.3799979873001575E-5</v>
      </c>
    </row>
    <row r="27" spans="1:16">
      <c r="A27" s="1" t="s">
        <v>45</v>
      </c>
      <c r="B27" s="1">
        <v>10</v>
      </c>
      <c r="C27" s="1">
        <v>0</v>
      </c>
      <c r="D27" s="1" t="s">
        <v>18</v>
      </c>
      <c r="E27" s="1">
        <v>8</v>
      </c>
      <c r="F27" s="1">
        <v>3</v>
      </c>
      <c r="G27" s="1" t="s">
        <v>18</v>
      </c>
      <c r="H27" s="1">
        <v>2</v>
      </c>
      <c r="I27" s="1" t="s">
        <v>19</v>
      </c>
      <c r="J27" s="1" t="s">
        <v>20</v>
      </c>
      <c r="K27" s="1" t="s">
        <v>18</v>
      </c>
      <c r="L27" s="1">
        <v>86.520000999999993</v>
      </c>
      <c r="M27" s="1">
        <v>87.052338000000006</v>
      </c>
      <c r="N27" s="2">
        <f t="shared" si="0"/>
        <v>6.1527622959691424E-3</v>
      </c>
      <c r="O27" s="4">
        <v>19.52</v>
      </c>
      <c r="P27" s="5">
        <v>7.3400035034865141E-5</v>
      </c>
    </row>
    <row r="28" spans="1:16">
      <c r="A28" s="1" t="s">
        <v>46</v>
      </c>
      <c r="B28" s="1">
        <v>4</v>
      </c>
      <c r="C28" s="1">
        <v>1</v>
      </c>
      <c r="D28" s="1" t="s">
        <v>17</v>
      </c>
      <c r="E28" s="1">
        <v>12</v>
      </c>
      <c r="F28" s="1">
        <v>8</v>
      </c>
      <c r="G28" s="1" t="s">
        <v>17</v>
      </c>
      <c r="H28" s="1">
        <v>2</v>
      </c>
      <c r="I28" s="1" t="s">
        <v>19</v>
      </c>
      <c r="J28" s="1" t="s">
        <v>20</v>
      </c>
      <c r="K28" s="1" t="s">
        <v>18</v>
      </c>
      <c r="L28" s="1">
        <v>89.040001000000004</v>
      </c>
      <c r="M28" s="1">
        <v>85.649786000000006</v>
      </c>
      <c r="N28" s="2">
        <f t="shared" si="0"/>
        <v>3.8075190497807804E-2</v>
      </c>
      <c r="O28" s="4">
        <v>19.579999999999998</v>
      </c>
      <c r="P28" s="5">
        <v>7.3799979873001575E-5</v>
      </c>
    </row>
    <row r="29" spans="1:16">
      <c r="A29" s="1" t="s">
        <v>47</v>
      </c>
      <c r="B29" s="1">
        <v>6</v>
      </c>
      <c r="C29" s="1">
        <v>1</v>
      </c>
      <c r="D29" s="1" t="s">
        <v>17</v>
      </c>
      <c r="E29" s="1">
        <v>16</v>
      </c>
      <c r="F29" s="1">
        <v>1</v>
      </c>
      <c r="G29" s="1" t="s">
        <v>17</v>
      </c>
      <c r="H29" s="1">
        <v>4</v>
      </c>
      <c r="I29" s="1" t="s">
        <v>19</v>
      </c>
      <c r="J29" s="1" t="s">
        <v>20</v>
      </c>
      <c r="K29" s="1" t="s">
        <v>18</v>
      </c>
      <c r="L29" s="1">
        <v>422.52000800000002</v>
      </c>
      <c r="M29" s="1">
        <v>422.13562100000001</v>
      </c>
      <c r="N29" s="2">
        <f t="shared" si="0"/>
        <v>9.0974863372624904E-4</v>
      </c>
      <c r="O29" s="4">
        <v>19.739999999999998</v>
      </c>
      <c r="P29" s="5">
        <v>7.3599978350102901E-5</v>
      </c>
    </row>
    <row r="30" spans="1:16">
      <c r="A30" s="1" t="s">
        <v>48</v>
      </c>
      <c r="B30" s="1">
        <v>6</v>
      </c>
      <c r="C30" s="1">
        <v>2</v>
      </c>
      <c r="D30" s="1" t="s">
        <v>18</v>
      </c>
      <c r="E30" s="1">
        <v>8</v>
      </c>
      <c r="F30" s="1">
        <v>4</v>
      </c>
      <c r="G30" s="1" t="s">
        <v>18</v>
      </c>
      <c r="H30" s="1">
        <v>3</v>
      </c>
      <c r="I30" s="1" t="s">
        <v>19</v>
      </c>
      <c r="J30" s="1" t="s">
        <v>20</v>
      </c>
      <c r="K30" s="1" t="s">
        <v>18</v>
      </c>
      <c r="L30" s="1">
        <v>138.60000199999999</v>
      </c>
      <c r="M30" s="1">
        <v>139.40768299999999</v>
      </c>
      <c r="N30" s="2">
        <f t="shared" si="0"/>
        <v>5.8274241583344448E-3</v>
      </c>
      <c r="O30" s="4">
        <v>19.32</v>
      </c>
      <c r="P30" s="5">
        <v>7.2900031227618456E-5</v>
      </c>
    </row>
    <row r="31" spans="1:16">
      <c r="A31" s="1" t="s">
        <v>49</v>
      </c>
      <c r="B31" s="1">
        <v>6</v>
      </c>
      <c r="C31" s="1">
        <v>4</v>
      </c>
      <c r="D31" s="1" t="s">
        <v>17</v>
      </c>
      <c r="E31" s="1">
        <v>10</v>
      </c>
      <c r="F31" s="1">
        <v>2</v>
      </c>
      <c r="G31" s="1" t="s">
        <v>17</v>
      </c>
      <c r="H31" s="1">
        <v>0</v>
      </c>
      <c r="I31" s="1" t="s">
        <v>19</v>
      </c>
      <c r="J31" s="1" t="s">
        <v>20</v>
      </c>
      <c r="K31" s="1" t="s">
        <v>18</v>
      </c>
      <c r="L31" s="1">
        <v>41.72</v>
      </c>
      <c r="M31" s="1">
        <v>44.447040999999999</v>
      </c>
      <c r="N31" s="2">
        <f t="shared" si="0"/>
        <v>6.5365316395014375E-2</v>
      </c>
      <c r="O31" s="4">
        <v>19.52</v>
      </c>
      <c r="P31" s="5">
        <v>7.3300034273415804E-5</v>
      </c>
    </row>
    <row r="32" spans="1:16">
      <c r="A32" s="1" t="s">
        <v>50</v>
      </c>
      <c r="B32" s="1">
        <v>12</v>
      </c>
      <c r="C32" s="1">
        <v>1</v>
      </c>
      <c r="D32" s="1" t="s">
        <v>17</v>
      </c>
      <c r="E32" s="1">
        <v>16</v>
      </c>
      <c r="F32" s="1">
        <v>0</v>
      </c>
      <c r="G32" s="1" t="s">
        <v>17</v>
      </c>
      <c r="H32" s="1">
        <v>4</v>
      </c>
      <c r="I32" s="1" t="s">
        <v>19</v>
      </c>
      <c r="J32" s="1" t="s">
        <v>20</v>
      </c>
      <c r="K32" s="1" t="s">
        <v>17</v>
      </c>
      <c r="L32" s="1">
        <v>512.95998699999996</v>
      </c>
      <c r="M32" s="1">
        <v>502.36502200000001</v>
      </c>
      <c r="N32" s="2">
        <f t="shared" si="0"/>
        <v>2.0654564232121961E-2</v>
      </c>
      <c r="O32" s="4">
        <v>19.29</v>
      </c>
      <c r="P32" s="5">
        <v>7.4200041126459837E-5</v>
      </c>
    </row>
    <row r="33" spans="1:16">
      <c r="A33" s="1" t="s">
        <v>51</v>
      </c>
      <c r="B33" s="1">
        <v>10</v>
      </c>
      <c r="C33" s="1">
        <v>6</v>
      </c>
      <c r="D33" s="1" t="s">
        <v>17</v>
      </c>
      <c r="E33" s="1">
        <v>8</v>
      </c>
      <c r="F33" s="1">
        <v>4</v>
      </c>
      <c r="G33" s="1" t="s">
        <v>17</v>
      </c>
      <c r="H33" s="1">
        <v>6</v>
      </c>
      <c r="I33" s="1" t="s">
        <v>19</v>
      </c>
      <c r="J33" s="1" t="s">
        <v>20</v>
      </c>
      <c r="K33" s="1" t="s">
        <v>18</v>
      </c>
      <c r="L33" s="1">
        <v>331.24000599999999</v>
      </c>
      <c r="M33" s="1">
        <v>331.75165900000002</v>
      </c>
      <c r="N33" s="2">
        <f t="shared" si="0"/>
        <v>1.5446594334381938E-3</v>
      </c>
      <c r="O33" s="4">
        <v>19.46</v>
      </c>
      <c r="P33" s="5">
        <v>7.3399976827204227E-5</v>
      </c>
    </row>
    <row r="34" spans="1:16">
      <c r="A34" s="1" t="s">
        <v>52</v>
      </c>
      <c r="B34" s="1">
        <v>14</v>
      </c>
      <c r="C34" s="1">
        <v>2</v>
      </c>
      <c r="D34" s="1" t="s">
        <v>17</v>
      </c>
      <c r="E34" s="1">
        <v>9</v>
      </c>
      <c r="F34" s="1">
        <v>3</v>
      </c>
      <c r="G34" s="1" t="s">
        <v>17</v>
      </c>
      <c r="H34" s="1">
        <v>4</v>
      </c>
      <c r="I34" s="1" t="s">
        <v>19</v>
      </c>
      <c r="J34" s="1" t="s">
        <v>20</v>
      </c>
      <c r="K34" s="1" t="s">
        <v>17</v>
      </c>
      <c r="L34" s="1">
        <v>263.75999300000001</v>
      </c>
      <c r="M34" s="1">
        <v>260.078374</v>
      </c>
      <c r="N34" s="2">
        <f t="shared" ref="N34:N65" si="1">ABS(M34-L34)/L34</f>
        <v>1.3958216172685492E-2</v>
      </c>
      <c r="O34" s="4">
        <v>19.21</v>
      </c>
      <c r="P34" s="5">
        <v>7.0800015237182379E-5</v>
      </c>
    </row>
    <row r="35" spans="1:16">
      <c r="A35" s="1" t="s">
        <v>53</v>
      </c>
      <c r="B35" s="1">
        <v>12</v>
      </c>
      <c r="C35" s="1">
        <v>0</v>
      </c>
      <c r="D35" s="1" t="s">
        <v>17</v>
      </c>
      <c r="E35" s="1">
        <v>10</v>
      </c>
      <c r="F35" s="1">
        <v>8</v>
      </c>
      <c r="G35" s="1" t="s">
        <v>17</v>
      </c>
      <c r="H35" s="1">
        <v>4</v>
      </c>
      <c r="I35" s="1" t="s">
        <v>19</v>
      </c>
      <c r="J35" s="1" t="s">
        <v>20</v>
      </c>
      <c r="K35" s="1" t="s">
        <v>18</v>
      </c>
      <c r="L35" s="1">
        <v>61.320000999999998</v>
      </c>
      <c r="M35" s="1">
        <v>61.026302000000001</v>
      </c>
      <c r="N35" s="2">
        <f t="shared" si="1"/>
        <v>4.7896117940375866E-3</v>
      </c>
      <c r="O35" s="4">
        <v>19.32</v>
      </c>
      <c r="P35" s="5">
        <v>7.0700014475733042E-5</v>
      </c>
    </row>
    <row r="36" spans="1:16">
      <c r="A36" s="1" t="s">
        <v>54</v>
      </c>
      <c r="B36" s="1">
        <v>9</v>
      </c>
      <c r="C36" s="1">
        <v>1</v>
      </c>
      <c r="D36" s="1" t="s">
        <v>18</v>
      </c>
      <c r="E36" s="1">
        <v>9</v>
      </c>
      <c r="F36" s="1">
        <v>6</v>
      </c>
      <c r="G36" s="1" t="s">
        <v>18</v>
      </c>
      <c r="H36" s="1">
        <v>1</v>
      </c>
      <c r="I36" s="1" t="s">
        <v>19</v>
      </c>
      <c r="J36" s="1" t="s">
        <v>20</v>
      </c>
      <c r="K36" s="1" t="s">
        <v>18</v>
      </c>
      <c r="L36" s="1">
        <v>47.04</v>
      </c>
      <c r="M36" s="1">
        <v>47.296992000000003</v>
      </c>
      <c r="N36" s="2">
        <f t="shared" si="1"/>
        <v>5.463265306122532E-3</v>
      </c>
      <c r="O36" s="4">
        <v>19.010000000000002</v>
      </c>
      <c r="P36" s="5">
        <v>7.1900023613125086E-5</v>
      </c>
    </row>
    <row r="37" spans="1:16">
      <c r="A37" s="1" t="s">
        <v>55</v>
      </c>
      <c r="B37" s="1">
        <v>9</v>
      </c>
      <c r="C37" s="1">
        <v>6</v>
      </c>
      <c r="D37" s="1" t="s">
        <v>17</v>
      </c>
      <c r="E37" s="1">
        <v>12</v>
      </c>
      <c r="F37" s="1">
        <v>6</v>
      </c>
      <c r="G37" s="1" t="s">
        <v>17</v>
      </c>
      <c r="H37" s="1">
        <v>1</v>
      </c>
      <c r="I37" s="1" t="s">
        <v>19</v>
      </c>
      <c r="J37" s="1" t="s">
        <v>20</v>
      </c>
      <c r="K37" s="1" t="s">
        <v>17</v>
      </c>
      <c r="L37" s="1">
        <v>136.63999799999999</v>
      </c>
      <c r="M37" s="1">
        <v>135.1721</v>
      </c>
      <c r="N37" s="2">
        <f t="shared" si="1"/>
        <v>1.0742813389092637E-2</v>
      </c>
      <c r="O37" s="4">
        <v>19.559999999999999</v>
      </c>
      <c r="P37" s="5">
        <v>7.1400019805878401E-5</v>
      </c>
    </row>
    <row r="38" spans="1:16">
      <c r="A38" s="1" t="s">
        <v>56</v>
      </c>
      <c r="B38" s="1">
        <v>8</v>
      </c>
      <c r="C38" s="1">
        <v>4</v>
      </c>
      <c r="D38" s="1" t="s">
        <v>17</v>
      </c>
      <c r="E38" s="1">
        <v>12</v>
      </c>
      <c r="F38" s="1">
        <v>3</v>
      </c>
      <c r="G38" s="1" t="s">
        <v>17</v>
      </c>
      <c r="H38" s="1">
        <v>6</v>
      </c>
      <c r="I38" s="1" t="s">
        <v>19</v>
      </c>
      <c r="J38" s="1" t="s">
        <v>20</v>
      </c>
      <c r="K38" s="1" t="s">
        <v>17</v>
      </c>
      <c r="L38" s="1">
        <v>540.95998499999996</v>
      </c>
      <c r="M38" s="1">
        <v>531.50364000000002</v>
      </c>
      <c r="N38" s="2">
        <f t="shared" si="1"/>
        <v>1.7480673732272346E-2</v>
      </c>
      <c r="O38" s="4">
        <v>19.600000000000001</v>
      </c>
      <c r="P38" s="5">
        <v>7.0800015237182379E-5</v>
      </c>
    </row>
    <row r="39" spans="1:16">
      <c r="A39" s="1" t="s">
        <v>57</v>
      </c>
      <c r="B39" s="1">
        <v>10</v>
      </c>
      <c r="C39" s="1">
        <v>0</v>
      </c>
      <c r="D39" s="1" t="s">
        <v>17</v>
      </c>
      <c r="E39" s="1">
        <v>9</v>
      </c>
      <c r="F39" s="1">
        <v>6</v>
      </c>
      <c r="G39" s="1" t="s">
        <v>17</v>
      </c>
      <c r="H39" s="1">
        <v>3</v>
      </c>
      <c r="I39" s="1" t="s">
        <v>19</v>
      </c>
      <c r="J39" s="1" t="s">
        <v>20</v>
      </c>
      <c r="K39" s="1" t="s">
        <v>18</v>
      </c>
      <c r="L39" s="1">
        <v>71.400001000000003</v>
      </c>
      <c r="M39" s="1">
        <v>71.381647000000001</v>
      </c>
      <c r="N39" s="2">
        <f t="shared" si="1"/>
        <v>2.5705881992917903E-4</v>
      </c>
      <c r="O39" s="4">
        <v>19.420000000000002</v>
      </c>
      <c r="P39" s="5">
        <v>7.0699956268072128E-5</v>
      </c>
    </row>
    <row r="40" spans="1:16">
      <c r="A40" s="1" t="s">
        <v>58</v>
      </c>
      <c r="B40" s="1">
        <v>14</v>
      </c>
      <c r="C40" s="1">
        <v>0</v>
      </c>
      <c r="D40" s="1" t="s">
        <v>17</v>
      </c>
      <c r="E40" s="1">
        <v>12</v>
      </c>
      <c r="F40" s="1">
        <v>8</v>
      </c>
      <c r="G40" s="1" t="s">
        <v>17</v>
      </c>
      <c r="H40" s="1">
        <v>3</v>
      </c>
      <c r="I40" s="1" t="s">
        <v>19</v>
      </c>
      <c r="J40" s="1" t="s">
        <v>20</v>
      </c>
      <c r="K40" s="1" t="s">
        <v>17</v>
      </c>
      <c r="L40" s="1">
        <v>106.679997</v>
      </c>
      <c r="M40" s="1">
        <v>106.936992</v>
      </c>
      <c r="N40" s="2">
        <f t="shared" si="1"/>
        <v>2.4090270643708717E-3</v>
      </c>
      <c r="O40" s="4">
        <v>19.57</v>
      </c>
      <c r="P40" s="5">
        <v>7.2800030466169119E-5</v>
      </c>
    </row>
    <row r="41" spans="1:16">
      <c r="A41" s="1" t="s">
        <v>59</v>
      </c>
      <c r="B41" s="1">
        <v>10</v>
      </c>
      <c r="C41" s="1">
        <v>6</v>
      </c>
      <c r="D41" s="1" t="s">
        <v>18</v>
      </c>
      <c r="E41" s="1">
        <v>10</v>
      </c>
      <c r="F41" s="1">
        <v>3</v>
      </c>
      <c r="G41" s="1" t="s">
        <v>18</v>
      </c>
      <c r="H41" s="1">
        <v>2</v>
      </c>
      <c r="I41" s="1" t="s">
        <v>19</v>
      </c>
      <c r="J41" s="1" t="s">
        <v>20</v>
      </c>
      <c r="K41" s="1" t="s">
        <v>17</v>
      </c>
      <c r="L41" s="1">
        <v>184.23999599999999</v>
      </c>
      <c r="M41" s="1">
        <v>184.591339</v>
      </c>
      <c r="N41" s="2">
        <f t="shared" si="1"/>
        <v>1.9069854951582511E-3</v>
      </c>
      <c r="O41" s="4">
        <v>19.329999999999998</v>
      </c>
      <c r="P41" s="5">
        <v>7.2999973781406879E-5</v>
      </c>
    </row>
    <row r="42" spans="1:16">
      <c r="A42" s="1" t="s">
        <v>60</v>
      </c>
      <c r="B42" s="1">
        <v>8</v>
      </c>
      <c r="C42" s="1">
        <v>2</v>
      </c>
      <c r="D42" s="1" t="s">
        <v>17</v>
      </c>
      <c r="E42" s="1">
        <v>6</v>
      </c>
      <c r="F42" s="1">
        <v>1</v>
      </c>
      <c r="G42" s="1" t="s">
        <v>17</v>
      </c>
      <c r="H42" s="1">
        <v>6</v>
      </c>
      <c r="I42" s="1" t="s">
        <v>19</v>
      </c>
      <c r="J42" s="1" t="s">
        <v>20</v>
      </c>
      <c r="K42" s="1" t="s">
        <v>18</v>
      </c>
      <c r="L42" s="1">
        <v>247.520004</v>
      </c>
      <c r="M42" s="1">
        <v>246.22432599999999</v>
      </c>
      <c r="N42" s="2">
        <f t="shared" si="1"/>
        <v>5.2346395404874405E-3</v>
      </c>
      <c r="O42" s="4">
        <v>19.11</v>
      </c>
      <c r="P42" s="5">
        <v>7.2699971497058868E-5</v>
      </c>
    </row>
    <row r="43" spans="1:16">
      <c r="A43" s="1" t="s">
        <v>61</v>
      </c>
      <c r="B43" s="1">
        <v>9</v>
      </c>
      <c r="C43" s="1">
        <v>3</v>
      </c>
      <c r="D43" s="1" t="s">
        <v>18</v>
      </c>
      <c r="E43" s="1">
        <v>12</v>
      </c>
      <c r="F43" s="1">
        <v>2</v>
      </c>
      <c r="G43" s="1" t="s">
        <v>18</v>
      </c>
      <c r="H43" s="1">
        <v>3</v>
      </c>
      <c r="I43" s="1" t="s">
        <v>19</v>
      </c>
      <c r="J43" s="1" t="s">
        <v>20</v>
      </c>
      <c r="K43" s="1" t="s">
        <v>18</v>
      </c>
      <c r="L43" s="1">
        <v>264.88000499999998</v>
      </c>
      <c r="M43" s="1">
        <v>264.10619200000002</v>
      </c>
      <c r="N43" s="2">
        <f t="shared" si="1"/>
        <v>2.9213718868661359E-3</v>
      </c>
      <c r="O43" s="4">
        <v>19.43</v>
      </c>
      <c r="P43" s="5">
        <v>7.2599970735609531E-5</v>
      </c>
    </row>
    <row r="44" spans="1:16">
      <c r="A44" s="1" t="s">
        <v>62</v>
      </c>
      <c r="B44" s="1">
        <v>14</v>
      </c>
      <c r="C44" s="1">
        <v>0</v>
      </c>
      <c r="D44" s="1" t="s">
        <v>18</v>
      </c>
      <c r="E44" s="1">
        <v>8</v>
      </c>
      <c r="F44" s="1">
        <v>3</v>
      </c>
      <c r="G44" s="1" t="s">
        <v>18</v>
      </c>
      <c r="H44" s="1">
        <v>6</v>
      </c>
      <c r="I44" s="1" t="s">
        <v>19</v>
      </c>
      <c r="J44" s="1" t="s">
        <v>20</v>
      </c>
      <c r="K44" s="1" t="s">
        <v>18</v>
      </c>
      <c r="L44" s="1">
        <v>204.120003</v>
      </c>
      <c r="M44" s="1">
        <v>204.65233799999999</v>
      </c>
      <c r="N44" s="2">
        <f t="shared" si="1"/>
        <v>2.607951166843698E-3</v>
      </c>
      <c r="O44" s="4">
        <v>19.670000000000002</v>
      </c>
      <c r="P44" s="5">
        <v>7.3899980634450912E-5</v>
      </c>
    </row>
    <row r="45" spans="1:16">
      <c r="A45" s="1" t="s">
        <v>63</v>
      </c>
      <c r="B45" s="1">
        <v>9</v>
      </c>
      <c r="C45" s="1">
        <v>2</v>
      </c>
      <c r="D45" s="1" t="s">
        <v>17</v>
      </c>
      <c r="E45" s="1">
        <v>9</v>
      </c>
      <c r="F45" s="1">
        <v>8</v>
      </c>
      <c r="G45" s="1" t="s">
        <v>17</v>
      </c>
      <c r="H45" s="1">
        <v>3</v>
      </c>
      <c r="I45" s="1" t="s">
        <v>19</v>
      </c>
      <c r="J45" s="1" t="s">
        <v>20</v>
      </c>
      <c r="K45" s="1" t="s">
        <v>18</v>
      </c>
      <c r="L45" s="1">
        <v>71.400001000000003</v>
      </c>
      <c r="M45" s="1">
        <v>71.381647000000001</v>
      </c>
      <c r="N45" s="2">
        <f t="shared" si="1"/>
        <v>2.5705881992917903E-4</v>
      </c>
      <c r="O45" s="4">
        <v>19.32</v>
      </c>
      <c r="P45" s="5">
        <v>7.0699956268072128E-5</v>
      </c>
    </row>
    <row r="46" spans="1:16">
      <c r="A46" s="1" t="s">
        <v>64</v>
      </c>
      <c r="B46" s="1">
        <v>4</v>
      </c>
      <c r="C46" s="1">
        <v>0</v>
      </c>
      <c r="D46" s="1" t="s">
        <v>17</v>
      </c>
      <c r="E46" s="1">
        <v>12</v>
      </c>
      <c r="F46" s="1">
        <v>1</v>
      </c>
      <c r="G46" s="1" t="s">
        <v>17</v>
      </c>
      <c r="H46" s="1">
        <v>2</v>
      </c>
      <c r="I46" s="1" t="s">
        <v>19</v>
      </c>
      <c r="J46" s="1" t="s">
        <v>20</v>
      </c>
      <c r="K46" s="1" t="s">
        <v>17</v>
      </c>
      <c r="L46" s="1">
        <v>179.759995</v>
      </c>
      <c r="M46" s="1">
        <v>178.00654900000001</v>
      </c>
      <c r="N46" s="2">
        <f t="shared" si="1"/>
        <v>9.7543727679787525E-3</v>
      </c>
      <c r="O46" s="4">
        <v>19.23</v>
      </c>
      <c r="P46" s="5">
        <v>7.0900015998631716E-5</v>
      </c>
    </row>
    <row r="47" spans="1:16">
      <c r="A47" s="1" t="s">
        <v>65</v>
      </c>
      <c r="B47" s="1">
        <v>14</v>
      </c>
      <c r="C47" s="1">
        <v>3</v>
      </c>
      <c r="D47" s="1" t="s">
        <v>18</v>
      </c>
      <c r="E47" s="1">
        <v>9</v>
      </c>
      <c r="F47" s="1">
        <v>8</v>
      </c>
      <c r="G47" s="1" t="s">
        <v>18</v>
      </c>
      <c r="H47" s="1">
        <v>1</v>
      </c>
      <c r="I47" s="1" t="s">
        <v>19</v>
      </c>
      <c r="J47" s="1" t="s">
        <v>20</v>
      </c>
      <c r="K47" s="1" t="s">
        <v>17</v>
      </c>
      <c r="L47" s="1">
        <v>50.399999000000001</v>
      </c>
      <c r="M47" s="1">
        <v>50.656992000000002</v>
      </c>
      <c r="N47" s="2">
        <f t="shared" si="1"/>
        <v>5.0990675614894622E-3</v>
      </c>
      <c r="O47" s="4">
        <v>18.89</v>
      </c>
      <c r="P47" s="5">
        <v>7.3499977588653564E-5</v>
      </c>
    </row>
    <row r="48" spans="1:16">
      <c r="A48" s="1" t="s">
        <v>66</v>
      </c>
      <c r="B48" s="1">
        <v>5</v>
      </c>
      <c r="C48" s="1">
        <v>4</v>
      </c>
      <c r="D48" s="1" t="s">
        <v>17</v>
      </c>
      <c r="E48" s="1">
        <v>12</v>
      </c>
      <c r="F48" s="1">
        <v>8</v>
      </c>
      <c r="G48" s="1" t="s">
        <v>17</v>
      </c>
      <c r="H48" s="1">
        <v>1</v>
      </c>
      <c r="I48" s="1" t="s">
        <v>19</v>
      </c>
      <c r="J48" s="1" t="s">
        <v>20</v>
      </c>
      <c r="K48" s="1" t="s">
        <v>18</v>
      </c>
      <c r="L48" s="1">
        <v>82.880000999999993</v>
      </c>
      <c r="M48" s="1">
        <v>80.310719000000006</v>
      </c>
      <c r="N48" s="2">
        <f t="shared" si="1"/>
        <v>3.100002375723894E-2</v>
      </c>
      <c r="O48" s="4">
        <v>19.21</v>
      </c>
      <c r="P48" s="5">
        <v>1.783000188879669E-4</v>
      </c>
    </row>
    <row r="49" spans="1:16">
      <c r="A49" s="1" t="s">
        <v>67</v>
      </c>
      <c r="B49" s="1">
        <v>6</v>
      </c>
      <c r="C49" s="1">
        <v>2</v>
      </c>
      <c r="D49" s="1" t="s">
        <v>17</v>
      </c>
      <c r="E49" s="1">
        <v>6</v>
      </c>
      <c r="F49" s="1">
        <v>0</v>
      </c>
      <c r="G49" s="1" t="s">
        <v>17</v>
      </c>
      <c r="H49" s="1">
        <v>3</v>
      </c>
      <c r="I49" s="1" t="s">
        <v>19</v>
      </c>
      <c r="J49" s="1" t="s">
        <v>20</v>
      </c>
      <c r="K49" s="1" t="s">
        <v>18</v>
      </c>
      <c r="L49" s="1">
        <v>137.48000200000001</v>
      </c>
      <c r="M49" s="1">
        <v>133.51586599999999</v>
      </c>
      <c r="N49" s="2">
        <f t="shared" si="1"/>
        <v>2.8834273656760816E-2</v>
      </c>
      <c r="O49" s="4">
        <v>19.079999999999998</v>
      </c>
      <c r="P49" s="5">
        <v>1.477000187151134E-4</v>
      </c>
    </row>
    <row r="50" spans="1:16">
      <c r="A50" s="1" t="s">
        <v>68</v>
      </c>
      <c r="B50" s="1">
        <v>9</v>
      </c>
      <c r="C50" s="1">
        <v>3</v>
      </c>
      <c r="D50" s="1" t="s">
        <v>17</v>
      </c>
      <c r="E50" s="1">
        <v>9</v>
      </c>
      <c r="F50" s="1">
        <v>1</v>
      </c>
      <c r="G50" s="1" t="s">
        <v>17</v>
      </c>
      <c r="H50" s="1">
        <v>3</v>
      </c>
      <c r="I50" s="1" t="s">
        <v>19</v>
      </c>
      <c r="J50" s="1" t="s">
        <v>20</v>
      </c>
      <c r="K50" s="1" t="s">
        <v>18</v>
      </c>
      <c r="L50" s="1">
        <v>208.04000300000001</v>
      </c>
      <c r="M50" s="1">
        <v>204.90190200000001</v>
      </c>
      <c r="N50" s="2">
        <f t="shared" si="1"/>
        <v>1.5084123028012097E-2</v>
      </c>
      <c r="O50" s="4">
        <v>19.3</v>
      </c>
      <c r="P50" s="5">
        <v>1.4620000729337329E-4</v>
      </c>
    </row>
    <row r="51" spans="1:16">
      <c r="A51" s="1" t="s">
        <v>69</v>
      </c>
      <c r="B51" s="1">
        <v>5</v>
      </c>
      <c r="C51" s="1">
        <v>1</v>
      </c>
      <c r="D51" s="1" t="s">
        <v>17</v>
      </c>
      <c r="E51" s="1">
        <v>10</v>
      </c>
      <c r="F51" s="1">
        <v>6</v>
      </c>
      <c r="G51" s="1" t="s">
        <v>17</v>
      </c>
      <c r="H51" s="1">
        <v>6</v>
      </c>
      <c r="I51" s="1" t="s">
        <v>19</v>
      </c>
      <c r="J51" s="1" t="s">
        <v>20</v>
      </c>
      <c r="K51" s="1" t="s">
        <v>18</v>
      </c>
      <c r="L51" s="1">
        <v>205.800003</v>
      </c>
      <c r="M51" s="1">
        <v>206.33233799999999</v>
      </c>
      <c r="N51" s="2">
        <f t="shared" si="1"/>
        <v>2.5866617698736822E-3</v>
      </c>
      <c r="O51" s="4">
        <v>19.47</v>
      </c>
      <c r="P51" s="5">
        <v>1.3709999620914459E-4</v>
      </c>
    </row>
    <row r="52" spans="1:16">
      <c r="A52" s="1" t="s">
        <v>70</v>
      </c>
      <c r="B52" s="1">
        <v>5</v>
      </c>
      <c r="C52" s="1">
        <v>3</v>
      </c>
      <c r="D52" s="1" t="s">
        <v>18</v>
      </c>
      <c r="E52" s="1">
        <v>6</v>
      </c>
      <c r="F52" s="1">
        <v>3</v>
      </c>
      <c r="G52" s="1" t="s">
        <v>18</v>
      </c>
      <c r="H52" s="1">
        <v>6</v>
      </c>
      <c r="I52" s="1" t="s">
        <v>19</v>
      </c>
      <c r="J52" s="1" t="s">
        <v>20</v>
      </c>
      <c r="K52" s="1" t="s">
        <v>17</v>
      </c>
      <c r="L52" s="1">
        <v>270.19999300000001</v>
      </c>
      <c r="M52" s="1">
        <v>269.04513100000003</v>
      </c>
      <c r="N52" s="2">
        <f t="shared" si="1"/>
        <v>4.2741007769011305E-3</v>
      </c>
      <c r="O52" s="4">
        <v>19.440000000000001</v>
      </c>
      <c r="P52" s="5">
        <v>1.3619998935610061E-4</v>
      </c>
    </row>
    <row r="53" spans="1:16">
      <c r="A53" s="1" t="s">
        <v>71</v>
      </c>
      <c r="B53" s="1">
        <v>4</v>
      </c>
      <c r="C53" s="1">
        <v>3</v>
      </c>
      <c r="D53" s="1" t="s">
        <v>17</v>
      </c>
      <c r="E53" s="1">
        <v>12</v>
      </c>
      <c r="F53" s="1">
        <v>6</v>
      </c>
      <c r="G53" s="1" t="s">
        <v>17</v>
      </c>
      <c r="H53" s="1">
        <v>0</v>
      </c>
      <c r="I53" s="1" t="s">
        <v>19</v>
      </c>
      <c r="J53" s="1" t="s">
        <v>20</v>
      </c>
      <c r="K53" s="1" t="s">
        <v>17</v>
      </c>
      <c r="L53" s="1">
        <v>35.840000000000003</v>
      </c>
      <c r="M53" s="1">
        <v>39.140960999999997</v>
      </c>
      <c r="N53" s="2">
        <f t="shared" si="1"/>
        <v>9.2102706473214099E-2</v>
      </c>
      <c r="O53" s="4">
        <v>19.84</v>
      </c>
      <c r="P53" s="5">
        <v>1.4749995898455379E-4</v>
      </c>
    </row>
    <row r="54" spans="1:16">
      <c r="A54" s="1" t="s">
        <v>72</v>
      </c>
      <c r="B54" s="1">
        <v>5</v>
      </c>
      <c r="C54" s="1">
        <v>3</v>
      </c>
      <c r="D54" s="1" t="s">
        <v>17</v>
      </c>
      <c r="E54" s="1">
        <v>10</v>
      </c>
      <c r="F54" s="1">
        <v>0</v>
      </c>
      <c r="G54" s="1" t="s">
        <v>17</v>
      </c>
      <c r="H54" s="1">
        <v>4</v>
      </c>
      <c r="I54" s="1" t="s">
        <v>19</v>
      </c>
      <c r="J54" s="1" t="s">
        <v>20</v>
      </c>
      <c r="K54" s="1" t="s">
        <v>17</v>
      </c>
      <c r="L54" s="1">
        <v>300.15999199999999</v>
      </c>
      <c r="M54" s="1">
        <v>295.17858100000001</v>
      </c>
      <c r="N54" s="2">
        <f t="shared" si="1"/>
        <v>1.6595852654473619E-2</v>
      </c>
      <c r="O54" s="4">
        <v>19.399999999999999</v>
      </c>
      <c r="P54" s="5">
        <v>1.487000263296068E-4</v>
      </c>
    </row>
    <row r="55" spans="1:16">
      <c r="A55" s="1" t="s">
        <v>73</v>
      </c>
      <c r="B55" s="1">
        <v>10</v>
      </c>
      <c r="C55" s="1">
        <v>2</v>
      </c>
      <c r="D55" s="1" t="s">
        <v>18</v>
      </c>
      <c r="E55" s="1">
        <v>12</v>
      </c>
      <c r="F55" s="1">
        <v>2</v>
      </c>
      <c r="G55" s="1" t="s">
        <v>18</v>
      </c>
      <c r="H55" s="1">
        <v>4</v>
      </c>
      <c r="I55" s="1" t="s">
        <v>19</v>
      </c>
      <c r="J55" s="1" t="s">
        <v>20</v>
      </c>
      <c r="K55" s="1" t="s">
        <v>17</v>
      </c>
      <c r="L55" s="1">
        <v>385.83999</v>
      </c>
      <c r="M55" s="1">
        <v>381.85465199999999</v>
      </c>
      <c r="N55" s="2">
        <f t="shared" si="1"/>
        <v>1.0328991559428593E-2</v>
      </c>
      <c r="O55" s="4">
        <v>19.149999999999999</v>
      </c>
      <c r="P55" s="5">
        <v>1.430999836884439E-4</v>
      </c>
    </row>
    <row r="56" spans="1:16">
      <c r="A56" s="1" t="s">
        <v>74</v>
      </c>
      <c r="B56" s="1">
        <v>10</v>
      </c>
      <c r="C56" s="1">
        <v>1</v>
      </c>
      <c r="D56" s="1" t="s">
        <v>17</v>
      </c>
      <c r="E56" s="1">
        <v>10</v>
      </c>
      <c r="F56" s="1">
        <v>8</v>
      </c>
      <c r="G56" s="1" t="s">
        <v>17</v>
      </c>
      <c r="H56" s="1">
        <v>1</v>
      </c>
      <c r="I56" s="1" t="s">
        <v>19</v>
      </c>
      <c r="J56" s="1" t="s">
        <v>20</v>
      </c>
      <c r="K56" s="1" t="s">
        <v>18</v>
      </c>
      <c r="L56" s="1">
        <v>36.96</v>
      </c>
      <c r="M56" s="1">
        <v>36.941647000000003</v>
      </c>
      <c r="N56" s="2">
        <f t="shared" si="1"/>
        <v>4.9656385281378844E-4</v>
      </c>
      <c r="O56" s="4">
        <v>19.760000000000002</v>
      </c>
      <c r="P56" s="5">
        <v>1.3930001296103001E-4</v>
      </c>
    </row>
    <row r="57" spans="1:16">
      <c r="A57" s="1" t="s">
        <v>75</v>
      </c>
      <c r="B57" s="1">
        <v>5</v>
      </c>
      <c r="C57" s="1">
        <v>2</v>
      </c>
      <c r="D57" s="1" t="s">
        <v>18</v>
      </c>
      <c r="E57" s="1">
        <v>16</v>
      </c>
      <c r="F57" s="1">
        <v>6</v>
      </c>
      <c r="G57" s="1" t="s">
        <v>18</v>
      </c>
      <c r="H57" s="1">
        <v>3</v>
      </c>
      <c r="I57" s="1" t="s">
        <v>19</v>
      </c>
      <c r="J57" s="1" t="s">
        <v>20</v>
      </c>
      <c r="K57" s="1" t="s">
        <v>17</v>
      </c>
      <c r="L57" s="1">
        <v>284.75999300000001</v>
      </c>
      <c r="M57" s="1">
        <v>280.76189399999998</v>
      </c>
      <c r="N57" s="2">
        <f t="shared" si="1"/>
        <v>1.4040241249760195E-2</v>
      </c>
      <c r="O57" s="4">
        <v>19.93</v>
      </c>
      <c r="P57" s="5">
        <v>1.4720001490786669E-4</v>
      </c>
    </row>
    <row r="58" spans="1:16">
      <c r="A58" s="1" t="s">
        <v>76</v>
      </c>
      <c r="B58" s="1">
        <v>8</v>
      </c>
      <c r="C58" s="1">
        <v>6</v>
      </c>
      <c r="D58" s="1" t="s">
        <v>18</v>
      </c>
      <c r="E58" s="1">
        <v>5</v>
      </c>
      <c r="F58" s="1">
        <v>4</v>
      </c>
      <c r="G58" s="1" t="s">
        <v>18</v>
      </c>
      <c r="H58" s="1">
        <v>4</v>
      </c>
      <c r="I58" s="1" t="s">
        <v>19</v>
      </c>
      <c r="J58" s="1" t="s">
        <v>20</v>
      </c>
      <c r="K58" s="1" t="s">
        <v>18</v>
      </c>
      <c r="L58" s="1">
        <v>148.960002</v>
      </c>
      <c r="M58" s="1">
        <v>148.645624</v>
      </c>
      <c r="N58" s="2">
        <f t="shared" si="1"/>
        <v>2.110486008183626E-3</v>
      </c>
      <c r="O58" s="4">
        <v>19.48</v>
      </c>
      <c r="P58" s="5">
        <v>1.5540001913905141E-4</v>
      </c>
    </row>
    <row r="59" spans="1:16">
      <c r="A59" s="1" t="s">
        <v>77</v>
      </c>
      <c r="B59" s="1">
        <v>5</v>
      </c>
      <c r="C59" s="1">
        <v>1</v>
      </c>
      <c r="D59" s="1" t="s">
        <v>18</v>
      </c>
      <c r="E59" s="1">
        <v>10</v>
      </c>
      <c r="F59" s="1">
        <v>2</v>
      </c>
      <c r="G59" s="1" t="s">
        <v>18</v>
      </c>
      <c r="H59" s="1">
        <v>3</v>
      </c>
      <c r="I59" s="1" t="s">
        <v>19</v>
      </c>
      <c r="J59" s="1" t="s">
        <v>20</v>
      </c>
      <c r="K59" s="1" t="s">
        <v>17</v>
      </c>
      <c r="L59" s="1">
        <v>213.919994</v>
      </c>
      <c r="M59" s="1">
        <v>213.58351300000001</v>
      </c>
      <c r="N59" s="2">
        <f t="shared" si="1"/>
        <v>1.5729291765032118E-3</v>
      </c>
      <c r="O59" s="4">
        <v>19.46</v>
      </c>
      <c r="P59" s="5">
        <v>1.449999981559813E-4</v>
      </c>
    </row>
    <row r="60" spans="1:16">
      <c r="A60" s="1" t="s">
        <v>78</v>
      </c>
      <c r="B60" s="1">
        <v>6</v>
      </c>
      <c r="C60" s="1">
        <v>1</v>
      </c>
      <c r="D60" s="1" t="s">
        <v>18</v>
      </c>
      <c r="E60" s="1">
        <v>10</v>
      </c>
      <c r="F60" s="1">
        <v>8</v>
      </c>
      <c r="G60" s="1" t="s">
        <v>18</v>
      </c>
      <c r="H60" s="1">
        <v>1</v>
      </c>
      <c r="I60" s="1" t="s">
        <v>19</v>
      </c>
      <c r="J60" s="1" t="s">
        <v>20</v>
      </c>
      <c r="K60" s="1" t="s">
        <v>18</v>
      </c>
      <c r="L60" s="1">
        <v>36.96</v>
      </c>
      <c r="M60" s="1">
        <v>36.941647000000003</v>
      </c>
      <c r="N60" s="2">
        <f t="shared" si="1"/>
        <v>4.9656385281378844E-4</v>
      </c>
      <c r="O60" s="4">
        <v>19.32</v>
      </c>
      <c r="P60" s="5">
        <v>1.4489999739453199E-4</v>
      </c>
    </row>
    <row r="61" spans="1:16">
      <c r="A61" s="1" t="s">
        <v>79</v>
      </c>
      <c r="B61" s="1">
        <v>6</v>
      </c>
      <c r="C61" s="1">
        <v>0</v>
      </c>
      <c r="D61" s="1" t="s">
        <v>17</v>
      </c>
      <c r="E61" s="1">
        <v>16</v>
      </c>
      <c r="F61" s="1">
        <v>4</v>
      </c>
      <c r="G61" s="1" t="s">
        <v>17</v>
      </c>
      <c r="H61" s="1">
        <v>0</v>
      </c>
      <c r="I61" s="1" t="s">
        <v>19</v>
      </c>
      <c r="J61" s="1" t="s">
        <v>20</v>
      </c>
      <c r="K61" s="1" t="s">
        <v>17</v>
      </c>
      <c r="L61" s="1">
        <v>52.36</v>
      </c>
      <c r="M61" s="1">
        <v>57.044446000000001</v>
      </c>
      <c r="N61" s="2">
        <f t="shared" si="1"/>
        <v>8.9466119174942724E-2</v>
      </c>
      <c r="O61" s="4">
        <v>19.850000000000001</v>
      </c>
      <c r="P61" s="5">
        <v>1.4349998673424119E-4</v>
      </c>
    </row>
    <row r="62" spans="1:16">
      <c r="A62" s="1" t="s">
        <v>80</v>
      </c>
      <c r="B62" s="1">
        <v>10</v>
      </c>
      <c r="C62" s="1">
        <v>4</v>
      </c>
      <c r="D62" s="1" t="s">
        <v>17</v>
      </c>
      <c r="E62" s="1">
        <v>5</v>
      </c>
      <c r="F62" s="1">
        <v>3</v>
      </c>
      <c r="G62" s="1" t="s">
        <v>17</v>
      </c>
      <c r="H62" s="1">
        <v>6</v>
      </c>
      <c r="I62" s="1" t="s">
        <v>19</v>
      </c>
      <c r="J62" s="1" t="s">
        <v>20</v>
      </c>
      <c r="K62" s="1" t="s">
        <v>17</v>
      </c>
      <c r="L62" s="1">
        <v>230.71999400000001</v>
      </c>
      <c r="M62" s="1">
        <v>229.988981</v>
      </c>
      <c r="N62" s="2">
        <f t="shared" si="1"/>
        <v>3.1683990075000545E-3</v>
      </c>
      <c r="O62" s="4">
        <v>19.82</v>
      </c>
      <c r="P62" s="5">
        <v>1.4660001033917069E-4</v>
      </c>
    </row>
    <row r="63" spans="1:16">
      <c r="A63" s="1" t="s">
        <v>81</v>
      </c>
      <c r="B63" s="1">
        <v>8</v>
      </c>
      <c r="C63" s="1">
        <v>4</v>
      </c>
      <c r="D63" s="1" t="s">
        <v>18</v>
      </c>
      <c r="E63" s="1">
        <v>9</v>
      </c>
      <c r="F63" s="1">
        <v>1</v>
      </c>
      <c r="G63" s="1" t="s">
        <v>18</v>
      </c>
      <c r="H63" s="1">
        <v>6</v>
      </c>
      <c r="I63" s="1" t="s">
        <v>19</v>
      </c>
      <c r="J63" s="1" t="s">
        <v>20</v>
      </c>
      <c r="K63" s="1" t="s">
        <v>17</v>
      </c>
      <c r="L63" s="1">
        <v>411.03998899999999</v>
      </c>
      <c r="M63" s="1">
        <v>402.15344199999998</v>
      </c>
      <c r="N63" s="2">
        <f t="shared" si="1"/>
        <v>2.1619665331394332E-2</v>
      </c>
      <c r="O63" s="4">
        <v>19.100000000000001</v>
      </c>
      <c r="P63" s="5">
        <v>1.4720001490786669E-4</v>
      </c>
    </row>
    <row r="64" spans="1:16">
      <c r="A64" s="1" t="s">
        <v>82</v>
      </c>
      <c r="B64" s="1">
        <v>9</v>
      </c>
      <c r="C64" s="1">
        <v>0</v>
      </c>
      <c r="D64" s="1" t="s">
        <v>17</v>
      </c>
      <c r="E64" s="1">
        <v>8</v>
      </c>
      <c r="F64" s="1">
        <v>0</v>
      </c>
      <c r="G64" s="1" t="s">
        <v>17</v>
      </c>
      <c r="H64" s="1">
        <v>6</v>
      </c>
      <c r="I64" s="1" t="s">
        <v>19</v>
      </c>
      <c r="J64" s="1" t="s">
        <v>20</v>
      </c>
      <c r="K64" s="1" t="s">
        <v>17</v>
      </c>
      <c r="L64" s="1">
        <v>370.71999</v>
      </c>
      <c r="M64" s="1">
        <v>366.758374</v>
      </c>
      <c r="N64" s="2">
        <f t="shared" si="1"/>
        <v>1.0686275644321182E-2</v>
      </c>
      <c r="O64" s="4">
        <v>19.010000000000002</v>
      </c>
      <c r="P64" s="5">
        <v>1.4259997988119719E-4</v>
      </c>
    </row>
    <row r="65" spans="1:16">
      <c r="A65" s="1" t="s">
        <v>83</v>
      </c>
      <c r="B65" s="1">
        <v>10</v>
      </c>
      <c r="C65" s="1">
        <v>4</v>
      </c>
      <c r="D65" s="1" t="s">
        <v>18</v>
      </c>
      <c r="E65" s="1">
        <v>6</v>
      </c>
      <c r="F65" s="1">
        <v>4</v>
      </c>
      <c r="G65" s="1" t="s">
        <v>18</v>
      </c>
      <c r="H65" s="1">
        <v>2</v>
      </c>
      <c r="I65" s="1" t="s">
        <v>19</v>
      </c>
      <c r="J65" s="1" t="s">
        <v>20</v>
      </c>
      <c r="K65" s="1" t="s">
        <v>17</v>
      </c>
      <c r="L65" s="1">
        <v>111.719998</v>
      </c>
      <c r="M65" s="1">
        <v>112.527683</v>
      </c>
      <c r="N65" s="2">
        <f t="shared" si="1"/>
        <v>7.2295472114132352E-3</v>
      </c>
      <c r="O65" s="4">
        <v>19.510000000000002</v>
      </c>
      <c r="P65" s="5">
        <v>9.3700014986097813E-5</v>
      </c>
    </row>
    <row r="66" spans="1:16">
      <c r="A66" s="1" t="s">
        <v>84</v>
      </c>
      <c r="B66" s="1">
        <v>8</v>
      </c>
      <c r="C66" s="1">
        <v>1</v>
      </c>
      <c r="D66" s="1" t="s">
        <v>17</v>
      </c>
      <c r="E66" s="1">
        <v>10</v>
      </c>
      <c r="F66" s="1">
        <v>4</v>
      </c>
      <c r="G66" s="1" t="s">
        <v>17</v>
      </c>
      <c r="H66" s="1">
        <v>4</v>
      </c>
      <c r="I66" s="1" t="s">
        <v>19</v>
      </c>
      <c r="J66" s="1" t="s">
        <v>20</v>
      </c>
      <c r="K66" s="1" t="s">
        <v>17</v>
      </c>
      <c r="L66" s="1">
        <v>231.83999399999999</v>
      </c>
      <c r="M66" s="1">
        <v>228.723028</v>
      </c>
      <c r="N66" s="2">
        <f t="shared" ref="N66:N97" si="2">ABS(M66-L66)/L66</f>
        <v>1.3444470672303378E-2</v>
      </c>
      <c r="O66" s="4">
        <v>19.350000000000001</v>
      </c>
      <c r="P66" s="5">
        <v>7.8500015661120415E-5</v>
      </c>
    </row>
    <row r="67" spans="1:16">
      <c r="A67" s="1" t="s">
        <v>85</v>
      </c>
      <c r="B67" s="1">
        <v>12</v>
      </c>
      <c r="C67" s="1">
        <v>4</v>
      </c>
      <c r="D67" s="1" t="s">
        <v>18</v>
      </c>
      <c r="E67" s="1">
        <v>8</v>
      </c>
      <c r="F67" s="1">
        <v>2</v>
      </c>
      <c r="G67" s="1" t="s">
        <v>18</v>
      </c>
      <c r="H67" s="1">
        <v>6</v>
      </c>
      <c r="I67" s="1" t="s">
        <v>19</v>
      </c>
      <c r="J67" s="1" t="s">
        <v>20</v>
      </c>
      <c r="K67" s="1" t="s">
        <v>17</v>
      </c>
      <c r="L67" s="1">
        <v>377.71999</v>
      </c>
      <c r="M67" s="1">
        <v>372.07165900000001</v>
      </c>
      <c r="N67" s="2">
        <f t="shared" si="2"/>
        <v>1.4953751852000168E-2</v>
      </c>
      <c r="O67" s="4">
        <v>19.7</v>
      </c>
      <c r="P67" s="5">
        <v>7.7500008046627045E-5</v>
      </c>
    </row>
    <row r="68" spans="1:16">
      <c r="A68" s="1" t="s">
        <v>86</v>
      </c>
      <c r="B68" s="1">
        <v>8</v>
      </c>
      <c r="C68" s="1">
        <v>3</v>
      </c>
      <c r="D68" s="1" t="s">
        <v>17</v>
      </c>
      <c r="E68" s="1">
        <v>6</v>
      </c>
      <c r="F68" s="1">
        <v>4</v>
      </c>
      <c r="G68" s="1" t="s">
        <v>17</v>
      </c>
      <c r="H68" s="1">
        <v>1</v>
      </c>
      <c r="I68" s="1" t="s">
        <v>19</v>
      </c>
      <c r="J68" s="1" t="s">
        <v>20</v>
      </c>
      <c r="K68" s="1" t="s">
        <v>18</v>
      </c>
      <c r="L68" s="1">
        <v>55.440001000000002</v>
      </c>
      <c r="M68" s="1">
        <v>55.972338000000001</v>
      </c>
      <c r="N68" s="2">
        <f t="shared" si="2"/>
        <v>9.602038066341273E-3</v>
      </c>
      <c r="O68" s="4">
        <v>19.46</v>
      </c>
      <c r="P68" s="5">
        <v>7.3500035796314478E-5</v>
      </c>
    </row>
    <row r="69" spans="1:16">
      <c r="A69" s="1" t="s">
        <v>87</v>
      </c>
      <c r="B69" s="1">
        <v>6</v>
      </c>
      <c r="C69" s="1">
        <v>3</v>
      </c>
      <c r="D69" s="1" t="s">
        <v>17</v>
      </c>
      <c r="E69" s="1">
        <v>10</v>
      </c>
      <c r="F69" s="1">
        <v>4</v>
      </c>
      <c r="G69" s="1" t="s">
        <v>17</v>
      </c>
      <c r="H69" s="1">
        <v>4</v>
      </c>
      <c r="I69" s="1" t="s">
        <v>19</v>
      </c>
      <c r="J69" s="1" t="s">
        <v>20</v>
      </c>
      <c r="K69" s="1" t="s">
        <v>17</v>
      </c>
      <c r="L69" s="1">
        <v>284.47999299999998</v>
      </c>
      <c r="M69" s="1">
        <v>278.82606399999997</v>
      </c>
      <c r="N69" s="2">
        <f t="shared" si="2"/>
        <v>1.9874610303438827E-2</v>
      </c>
      <c r="O69" s="4">
        <v>19.14</v>
      </c>
      <c r="P69" s="5">
        <v>9.9400000181049109E-5</v>
      </c>
    </row>
    <row r="70" spans="1:16">
      <c r="A70" s="1" t="s">
        <v>88</v>
      </c>
      <c r="B70" s="1">
        <v>4</v>
      </c>
      <c r="C70" s="1">
        <v>3</v>
      </c>
      <c r="D70" s="1" t="s">
        <v>18</v>
      </c>
      <c r="E70" s="1">
        <v>9</v>
      </c>
      <c r="F70" s="1">
        <v>4</v>
      </c>
      <c r="G70" s="1" t="s">
        <v>18</v>
      </c>
      <c r="H70" s="1">
        <v>6</v>
      </c>
      <c r="I70" s="1" t="s">
        <v>19</v>
      </c>
      <c r="J70" s="1" t="s">
        <v>20</v>
      </c>
      <c r="K70" s="1" t="s">
        <v>17</v>
      </c>
      <c r="L70" s="1">
        <v>356.99999000000003</v>
      </c>
      <c r="M70" s="1">
        <v>348.54816799999998</v>
      </c>
      <c r="N70" s="2">
        <f t="shared" si="2"/>
        <v>2.3674572091724844E-2</v>
      </c>
      <c r="O70" s="4">
        <v>20.3</v>
      </c>
      <c r="P70" s="5">
        <v>7.5199990533292294E-5</v>
      </c>
    </row>
    <row r="71" spans="1:16">
      <c r="A71" s="1" t="s">
        <v>89</v>
      </c>
      <c r="B71" s="1">
        <v>14</v>
      </c>
      <c r="C71" s="1">
        <v>3</v>
      </c>
      <c r="D71" s="1" t="s">
        <v>17</v>
      </c>
      <c r="E71" s="1">
        <v>9</v>
      </c>
      <c r="F71" s="1">
        <v>4</v>
      </c>
      <c r="G71" s="1" t="s">
        <v>17</v>
      </c>
      <c r="H71" s="1">
        <v>4</v>
      </c>
      <c r="I71" s="1" t="s">
        <v>19</v>
      </c>
      <c r="J71" s="1" t="s">
        <v>20</v>
      </c>
      <c r="K71" s="1" t="s">
        <v>18</v>
      </c>
      <c r="L71" s="1">
        <v>236.88000400000001</v>
      </c>
      <c r="M71" s="1">
        <v>233.198374</v>
      </c>
      <c r="N71" s="2">
        <f t="shared" si="2"/>
        <v>1.5542172989831647E-2</v>
      </c>
      <c r="O71" s="4">
        <v>19.649999999999999</v>
      </c>
      <c r="P71" s="5">
        <v>7.2699971497058868E-5</v>
      </c>
    </row>
    <row r="72" spans="1:16">
      <c r="A72" s="1" t="s">
        <v>90</v>
      </c>
      <c r="B72" s="1">
        <v>12</v>
      </c>
      <c r="C72" s="1">
        <v>1</v>
      </c>
      <c r="D72" s="1" t="s">
        <v>18</v>
      </c>
      <c r="E72" s="1">
        <v>10</v>
      </c>
      <c r="F72" s="1">
        <v>4</v>
      </c>
      <c r="G72" s="1" t="s">
        <v>18</v>
      </c>
      <c r="H72" s="1">
        <v>2</v>
      </c>
      <c r="I72" s="1" t="s">
        <v>19</v>
      </c>
      <c r="J72" s="1" t="s">
        <v>20</v>
      </c>
      <c r="K72" s="1" t="s">
        <v>17</v>
      </c>
      <c r="L72" s="1">
        <v>137.759997</v>
      </c>
      <c r="M72" s="1">
        <v>134.64302799999999</v>
      </c>
      <c r="N72" s="2">
        <f t="shared" si="2"/>
        <v>2.2626082083901409E-2</v>
      </c>
      <c r="O72" s="4">
        <v>19.61</v>
      </c>
      <c r="P72" s="5">
        <v>7.1899965405464172E-5</v>
      </c>
    </row>
    <row r="73" spans="1:16">
      <c r="A73" s="1" t="s">
        <v>91</v>
      </c>
      <c r="B73" s="1">
        <v>9</v>
      </c>
      <c r="C73" s="1">
        <v>6</v>
      </c>
      <c r="D73" s="1" t="s">
        <v>18</v>
      </c>
      <c r="E73" s="1">
        <v>16</v>
      </c>
      <c r="F73" s="1">
        <v>8</v>
      </c>
      <c r="G73" s="1" t="s">
        <v>18</v>
      </c>
      <c r="H73" s="1">
        <v>1</v>
      </c>
      <c r="I73" s="1" t="s">
        <v>19</v>
      </c>
      <c r="J73" s="1" t="s">
        <v>20</v>
      </c>
      <c r="K73" s="1" t="s">
        <v>17</v>
      </c>
      <c r="L73" s="1">
        <v>152.039997</v>
      </c>
      <c r="M73" s="1">
        <v>153.07768799999999</v>
      </c>
      <c r="N73" s="2">
        <f t="shared" si="2"/>
        <v>6.8251185245682116E-3</v>
      </c>
      <c r="O73" s="4">
        <v>19.34</v>
      </c>
      <c r="P73" s="5">
        <v>7.0700014475733042E-5</v>
      </c>
    </row>
    <row r="74" spans="1:16">
      <c r="A74" s="1" t="s">
        <v>92</v>
      </c>
      <c r="B74" s="1">
        <v>8</v>
      </c>
      <c r="C74" s="1">
        <v>2</v>
      </c>
      <c r="D74" s="1" t="s">
        <v>18</v>
      </c>
      <c r="E74" s="1">
        <v>10</v>
      </c>
      <c r="F74" s="1">
        <v>3</v>
      </c>
      <c r="G74" s="1" t="s">
        <v>18</v>
      </c>
      <c r="H74" s="1">
        <v>1</v>
      </c>
      <c r="I74" s="1" t="s">
        <v>19</v>
      </c>
      <c r="J74" s="1" t="s">
        <v>20</v>
      </c>
      <c r="K74" s="1" t="s">
        <v>18</v>
      </c>
      <c r="L74" s="1">
        <v>99.680001000000004</v>
      </c>
      <c r="M74" s="1">
        <v>99.351167000000004</v>
      </c>
      <c r="N74" s="2">
        <f t="shared" si="2"/>
        <v>3.2988964356049765E-3</v>
      </c>
      <c r="O74" s="4">
        <v>19.14</v>
      </c>
      <c r="P74" s="5">
        <v>6.9700006861239672E-5</v>
      </c>
    </row>
    <row r="75" spans="1:16">
      <c r="A75" s="1" t="s">
        <v>93</v>
      </c>
      <c r="B75" s="1">
        <v>4</v>
      </c>
      <c r="C75" s="1">
        <v>1</v>
      </c>
      <c r="D75" s="1" t="s">
        <v>18</v>
      </c>
      <c r="E75" s="1">
        <v>5</v>
      </c>
      <c r="F75" s="1">
        <v>3</v>
      </c>
      <c r="G75" s="1" t="s">
        <v>18</v>
      </c>
      <c r="H75" s="1">
        <v>0</v>
      </c>
      <c r="I75" s="1" t="s">
        <v>19</v>
      </c>
      <c r="J75" s="1" t="s">
        <v>20</v>
      </c>
      <c r="K75" s="1" t="s">
        <v>18</v>
      </c>
      <c r="L75" s="1">
        <v>15.4</v>
      </c>
      <c r="M75" s="1">
        <v>18.461646999999999</v>
      </c>
      <c r="N75" s="2">
        <f t="shared" si="2"/>
        <v>0.19880824675324668</v>
      </c>
      <c r="O75" s="4">
        <v>19.27</v>
      </c>
      <c r="P75" s="5">
        <v>7.41000403650105E-5</v>
      </c>
    </row>
    <row r="76" spans="1:16">
      <c r="A76" s="1" t="s">
        <v>94</v>
      </c>
      <c r="B76" s="1">
        <v>10</v>
      </c>
      <c r="C76" s="1">
        <v>3</v>
      </c>
      <c r="D76" s="1" t="s">
        <v>18</v>
      </c>
      <c r="E76" s="1">
        <v>8</v>
      </c>
      <c r="F76" s="1">
        <v>6</v>
      </c>
      <c r="G76" s="1" t="s">
        <v>18</v>
      </c>
      <c r="H76" s="1">
        <v>2</v>
      </c>
      <c r="I76" s="1" t="s">
        <v>19</v>
      </c>
      <c r="J76" s="1" t="s">
        <v>20</v>
      </c>
      <c r="K76" s="1" t="s">
        <v>18</v>
      </c>
      <c r="L76" s="1">
        <v>86.520000999999993</v>
      </c>
      <c r="M76" s="1">
        <v>87.052338000000006</v>
      </c>
      <c r="N76" s="2">
        <f t="shared" si="2"/>
        <v>6.1527622959691424E-3</v>
      </c>
      <c r="O76" s="4">
        <v>19.04</v>
      </c>
      <c r="P76" s="5">
        <v>7.5399992056190968E-5</v>
      </c>
    </row>
    <row r="77" spans="1:16">
      <c r="A77" s="1" t="s">
        <v>95</v>
      </c>
      <c r="B77" s="1">
        <v>14</v>
      </c>
      <c r="C77" s="1">
        <v>4</v>
      </c>
      <c r="D77" s="1" t="s">
        <v>17</v>
      </c>
      <c r="E77" s="1">
        <v>10</v>
      </c>
      <c r="F77" s="1">
        <v>8</v>
      </c>
      <c r="G77" s="1" t="s">
        <v>17</v>
      </c>
      <c r="H77" s="1">
        <v>2</v>
      </c>
      <c r="I77" s="1" t="s">
        <v>19</v>
      </c>
      <c r="J77" s="1" t="s">
        <v>20</v>
      </c>
      <c r="K77" s="1" t="s">
        <v>17</v>
      </c>
      <c r="L77" s="1">
        <v>115.07999700000001</v>
      </c>
      <c r="M77" s="1">
        <v>115.887683</v>
      </c>
      <c r="N77" s="2">
        <f t="shared" si="2"/>
        <v>7.0184742879337205E-3</v>
      </c>
      <c r="O77" s="4">
        <v>19.25</v>
      </c>
      <c r="P77" s="5">
        <v>7.6299998909235001E-5</v>
      </c>
    </row>
    <row r="78" spans="1:16">
      <c r="A78" s="1" t="s">
        <v>96</v>
      </c>
      <c r="B78" s="1">
        <v>12</v>
      </c>
      <c r="C78" s="1">
        <v>0</v>
      </c>
      <c r="D78" s="1" t="s">
        <v>18</v>
      </c>
      <c r="E78" s="1">
        <v>16</v>
      </c>
      <c r="F78" s="1">
        <v>6</v>
      </c>
      <c r="G78" s="1" t="s">
        <v>18</v>
      </c>
      <c r="H78" s="1">
        <v>6</v>
      </c>
      <c r="I78" s="1" t="s">
        <v>19</v>
      </c>
      <c r="J78" s="1" t="s">
        <v>20</v>
      </c>
      <c r="K78" s="1" t="s">
        <v>17</v>
      </c>
      <c r="L78" s="1">
        <v>477.95998800000001</v>
      </c>
      <c r="M78" s="1">
        <v>464.74906399999998</v>
      </c>
      <c r="N78" s="2">
        <f t="shared" si="2"/>
        <v>2.7640230001847003E-2</v>
      </c>
      <c r="O78" s="4">
        <v>19.940000000000001</v>
      </c>
      <c r="P78" s="5">
        <v>8.0500030890107155E-5</v>
      </c>
    </row>
    <row r="79" spans="1:16">
      <c r="A79" s="1" t="s">
        <v>97</v>
      </c>
      <c r="B79" s="1">
        <v>9</v>
      </c>
      <c r="C79" s="1">
        <v>1</v>
      </c>
      <c r="D79" s="1" t="s">
        <v>17</v>
      </c>
      <c r="E79" s="1">
        <v>10</v>
      </c>
      <c r="F79" s="1">
        <v>6</v>
      </c>
      <c r="G79" s="1" t="s">
        <v>17</v>
      </c>
      <c r="H79" s="1">
        <v>0</v>
      </c>
      <c r="I79" s="1" t="s">
        <v>19</v>
      </c>
      <c r="J79" s="1" t="s">
        <v>20</v>
      </c>
      <c r="K79" s="1" t="s">
        <v>18</v>
      </c>
      <c r="L79" s="1">
        <v>30.8</v>
      </c>
      <c r="M79" s="1">
        <v>35.532338000000003</v>
      </c>
      <c r="N79" s="2">
        <f t="shared" si="2"/>
        <v>0.15364733766233774</v>
      </c>
      <c r="O79" s="4">
        <v>19.38</v>
      </c>
      <c r="P79" s="5">
        <v>7.2899973019957542E-5</v>
      </c>
    </row>
    <row r="80" spans="1:16">
      <c r="A80" s="1" t="s">
        <v>98</v>
      </c>
      <c r="B80" s="1">
        <v>6</v>
      </c>
      <c r="C80" s="1">
        <v>3</v>
      </c>
      <c r="D80" s="1" t="s">
        <v>18</v>
      </c>
      <c r="E80" s="1">
        <v>12</v>
      </c>
      <c r="F80" s="1">
        <v>0</v>
      </c>
      <c r="G80" s="1" t="s">
        <v>18</v>
      </c>
      <c r="H80" s="1">
        <v>3</v>
      </c>
      <c r="I80" s="1" t="s">
        <v>19</v>
      </c>
      <c r="J80" s="1" t="s">
        <v>20</v>
      </c>
      <c r="K80" s="1" t="s">
        <v>17</v>
      </c>
      <c r="L80" s="1">
        <v>274.959993</v>
      </c>
      <c r="M80" s="1">
        <v>275.846721</v>
      </c>
      <c r="N80" s="2">
        <f t="shared" si="2"/>
        <v>3.2249346180337046E-3</v>
      </c>
      <c r="O80" s="4">
        <v>19.47</v>
      </c>
      <c r="P80" s="5">
        <v>7.1999966166913509E-5</v>
      </c>
    </row>
    <row r="81" spans="1:16">
      <c r="A81" s="1" t="s">
        <v>99</v>
      </c>
      <c r="B81" s="1">
        <v>14</v>
      </c>
      <c r="C81" s="1">
        <v>1</v>
      </c>
      <c r="D81" s="1" t="s">
        <v>18</v>
      </c>
      <c r="E81" s="1">
        <v>9</v>
      </c>
      <c r="F81" s="1">
        <v>0</v>
      </c>
      <c r="G81" s="1" t="s">
        <v>18</v>
      </c>
      <c r="H81" s="1">
        <v>1</v>
      </c>
      <c r="I81" s="1" t="s">
        <v>19</v>
      </c>
      <c r="J81" s="1" t="s">
        <v>20</v>
      </c>
      <c r="K81" s="1" t="s">
        <v>18</v>
      </c>
      <c r="L81" s="1">
        <v>108.920001</v>
      </c>
      <c r="M81" s="1">
        <v>105.930362</v>
      </c>
      <c r="N81" s="2">
        <f t="shared" si="2"/>
        <v>2.744802582218115E-2</v>
      </c>
      <c r="O81" s="4">
        <v>19.03</v>
      </c>
      <c r="P81" s="5">
        <v>7.4300041887909174E-5</v>
      </c>
    </row>
    <row r="82" spans="1:16">
      <c r="A82" s="1" t="s">
        <v>100</v>
      </c>
      <c r="B82" s="1">
        <v>9</v>
      </c>
      <c r="C82" s="1">
        <v>2</v>
      </c>
      <c r="D82" s="1" t="s">
        <v>18</v>
      </c>
      <c r="E82" s="1">
        <v>5</v>
      </c>
      <c r="F82" s="1">
        <v>3</v>
      </c>
      <c r="G82" s="1" t="s">
        <v>18</v>
      </c>
      <c r="H82" s="1">
        <v>4</v>
      </c>
      <c r="I82" s="1" t="s">
        <v>19</v>
      </c>
      <c r="J82" s="1" t="s">
        <v>20</v>
      </c>
      <c r="K82" s="1" t="s">
        <v>17</v>
      </c>
      <c r="L82" s="1">
        <v>127.679997</v>
      </c>
      <c r="M82" s="1">
        <v>127.936992</v>
      </c>
      <c r="N82" s="2">
        <f t="shared" si="2"/>
        <v>2.0128054984212087E-3</v>
      </c>
      <c r="O82" s="4">
        <v>19.260000000000002</v>
      </c>
      <c r="P82" s="5">
        <v>7.2500028181821108E-5</v>
      </c>
    </row>
    <row r="83" spans="1:16">
      <c r="A83" s="1" t="s">
        <v>101</v>
      </c>
      <c r="B83" s="1">
        <v>10</v>
      </c>
      <c r="C83" s="1">
        <v>2</v>
      </c>
      <c r="D83" s="1" t="s">
        <v>17</v>
      </c>
      <c r="E83" s="1">
        <v>9</v>
      </c>
      <c r="F83" s="1">
        <v>2</v>
      </c>
      <c r="G83" s="1" t="s">
        <v>17</v>
      </c>
      <c r="H83" s="1">
        <v>3</v>
      </c>
      <c r="I83" s="1" t="s">
        <v>19</v>
      </c>
      <c r="J83" s="1" t="s">
        <v>20</v>
      </c>
      <c r="K83" s="1" t="s">
        <v>18</v>
      </c>
      <c r="L83" s="1">
        <v>208.32000300000001</v>
      </c>
      <c r="M83" s="1">
        <v>209.113719</v>
      </c>
      <c r="N83" s="2">
        <f t="shared" si="2"/>
        <v>3.8100805902925661E-3</v>
      </c>
      <c r="O83" s="4">
        <v>19.649999999999999</v>
      </c>
      <c r="P83" s="5">
        <v>6.9500005338340998E-5</v>
      </c>
    </row>
    <row r="84" spans="1:16">
      <c r="A84" s="1" t="s">
        <v>102</v>
      </c>
      <c r="B84" s="1">
        <v>5</v>
      </c>
      <c r="C84" s="1">
        <v>2</v>
      </c>
      <c r="D84" s="1" t="s">
        <v>17</v>
      </c>
      <c r="E84" s="1">
        <v>8</v>
      </c>
      <c r="F84" s="1">
        <v>3</v>
      </c>
      <c r="G84" s="1" t="s">
        <v>17</v>
      </c>
      <c r="H84" s="1">
        <v>6</v>
      </c>
      <c r="I84" s="1" t="s">
        <v>19</v>
      </c>
      <c r="J84" s="1" t="s">
        <v>20</v>
      </c>
      <c r="K84" s="1" t="s">
        <v>18</v>
      </c>
      <c r="L84" s="1">
        <v>279.16000500000001</v>
      </c>
      <c r="M84" s="1">
        <v>276.317925</v>
      </c>
      <c r="N84" s="2">
        <f t="shared" si="2"/>
        <v>1.0180828016534853E-2</v>
      </c>
      <c r="O84" s="4">
        <v>19.350000000000001</v>
      </c>
      <c r="P84" s="5">
        <v>6.9300003815442324E-5</v>
      </c>
    </row>
    <row r="85" spans="1:16">
      <c r="A85" s="1" t="s">
        <v>103</v>
      </c>
      <c r="B85" s="1">
        <v>6</v>
      </c>
      <c r="C85" s="1">
        <v>4</v>
      </c>
      <c r="D85" s="1" t="s">
        <v>18</v>
      </c>
      <c r="E85" s="1">
        <v>10</v>
      </c>
      <c r="F85" s="1">
        <v>4</v>
      </c>
      <c r="G85" s="1" t="s">
        <v>18</v>
      </c>
      <c r="H85" s="1">
        <v>3</v>
      </c>
      <c r="I85" s="1" t="s">
        <v>19</v>
      </c>
      <c r="J85" s="1" t="s">
        <v>20</v>
      </c>
      <c r="K85" s="1" t="s">
        <v>18</v>
      </c>
      <c r="L85" s="1">
        <v>213.92000400000001</v>
      </c>
      <c r="M85" s="1">
        <v>213.858858</v>
      </c>
      <c r="N85" s="2">
        <f t="shared" si="2"/>
        <v>2.858358211325011E-4</v>
      </c>
      <c r="O85" s="4">
        <v>19.28</v>
      </c>
      <c r="P85" s="5">
        <v>7.5799995101988316E-5</v>
      </c>
    </row>
    <row r="86" spans="1:16">
      <c r="A86" s="1" t="s">
        <v>104</v>
      </c>
      <c r="B86" s="1">
        <v>4</v>
      </c>
      <c r="C86" s="1">
        <v>2</v>
      </c>
      <c r="D86" s="1" t="s">
        <v>17</v>
      </c>
      <c r="E86" s="1">
        <v>16</v>
      </c>
      <c r="F86" s="1">
        <v>1</v>
      </c>
      <c r="G86" s="1" t="s">
        <v>17</v>
      </c>
      <c r="H86" s="1">
        <v>1</v>
      </c>
      <c r="I86" s="1" t="s">
        <v>19</v>
      </c>
      <c r="J86" s="1" t="s">
        <v>20</v>
      </c>
      <c r="K86" s="1" t="s">
        <v>18</v>
      </c>
      <c r="L86" s="1">
        <v>129.92000200000001</v>
      </c>
      <c r="M86" s="1">
        <v>128.26461</v>
      </c>
      <c r="N86" s="2">
        <f t="shared" si="2"/>
        <v>1.2741625419617882E-2</v>
      </c>
      <c r="O86" s="4">
        <v>19.11</v>
      </c>
      <c r="P86" s="5">
        <v>7.0600013714283705E-5</v>
      </c>
    </row>
    <row r="87" spans="1:16">
      <c r="A87" s="1" t="s">
        <v>105</v>
      </c>
      <c r="B87" s="1">
        <v>8</v>
      </c>
      <c r="C87" s="1">
        <v>3</v>
      </c>
      <c r="D87" s="1" t="s">
        <v>18</v>
      </c>
      <c r="E87" s="1">
        <v>12</v>
      </c>
      <c r="F87" s="1">
        <v>1</v>
      </c>
      <c r="G87" s="1" t="s">
        <v>18</v>
      </c>
      <c r="H87" s="1">
        <v>2</v>
      </c>
      <c r="I87" s="1" t="s">
        <v>19</v>
      </c>
      <c r="J87" s="1" t="s">
        <v>20</v>
      </c>
      <c r="K87" s="1" t="s">
        <v>18</v>
      </c>
      <c r="L87" s="1">
        <v>187.04000300000001</v>
      </c>
      <c r="M87" s="1">
        <v>186.67773199999999</v>
      </c>
      <c r="N87" s="2">
        <f t="shared" si="2"/>
        <v>1.9368637413891673E-3</v>
      </c>
      <c r="O87" s="4">
        <v>19.53</v>
      </c>
      <c r="P87" s="5">
        <v>7.5399992056190968E-5</v>
      </c>
    </row>
    <row r="88" spans="1:16">
      <c r="A88" s="1" t="s">
        <v>106</v>
      </c>
      <c r="B88" s="1">
        <v>12</v>
      </c>
      <c r="C88" s="1">
        <v>3</v>
      </c>
      <c r="D88" s="1" t="s">
        <v>17</v>
      </c>
      <c r="E88" s="1">
        <v>16</v>
      </c>
      <c r="F88" s="1">
        <v>8</v>
      </c>
      <c r="G88" s="1" t="s">
        <v>17</v>
      </c>
      <c r="H88" s="1">
        <v>4</v>
      </c>
      <c r="I88" s="1" t="s">
        <v>19</v>
      </c>
      <c r="J88" s="1" t="s">
        <v>20</v>
      </c>
      <c r="K88" s="1" t="s">
        <v>18</v>
      </c>
      <c r="L88" s="1">
        <v>324.240005</v>
      </c>
      <c r="M88" s="1">
        <v>325.58440899999999</v>
      </c>
      <c r="N88" s="2">
        <f t="shared" si="2"/>
        <v>4.1463236468923604E-3</v>
      </c>
      <c r="O88" s="4">
        <v>19.420000000000002</v>
      </c>
      <c r="P88" s="5">
        <v>7.1399961598217487E-5</v>
      </c>
    </row>
    <row r="89" spans="1:16">
      <c r="A89" s="1" t="s">
        <v>107</v>
      </c>
      <c r="B89" s="1">
        <v>14</v>
      </c>
      <c r="C89" s="1">
        <v>6</v>
      </c>
      <c r="D89" s="1" t="s">
        <v>18</v>
      </c>
      <c r="E89" s="1">
        <v>8</v>
      </c>
      <c r="F89" s="1">
        <v>1</v>
      </c>
      <c r="G89" s="1" t="s">
        <v>18</v>
      </c>
      <c r="H89" s="1">
        <v>0</v>
      </c>
      <c r="I89" s="1" t="s">
        <v>19</v>
      </c>
      <c r="J89" s="1" t="s">
        <v>20</v>
      </c>
      <c r="K89" s="1" t="s">
        <v>18</v>
      </c>
      <c r="L89" s="1">
        <v>63.56</v>
      </c>
      <c r="M89" s="1">
        <v>66.441587999999996</v>
      </c>
      <c r="N89" s="2">
        <f t="shared" si="2"/>
        <v>4.5336500943989826E-2</v>
      </c>
      <c r="O89" s="4">
        <v>19.920000000000002</v>
      </c>
      <c r="P89" s="5">
        <v>7.1000016760081053E-5</v>
      </c>
    </row>
    <row r="90" spans="1:16">
      <c r="A90" s="1" t="s">
        <v>108</v>
      </c>
      <c r="B90" s="1">
        <v>8</v>
      </c>
      <c r="C90" s="1">
        <v>0</v>
      </c>
      <c r="D90" s="1" t="s">
        <v>17</v>
      </c>
      <c r="E90" s="1">
        <v>6</v>
      </c>
      <c r="F90" s="1">
        <v>1</v>
      </c>
      <c r="G90" s="1" t="s">
        <v>17</v>
      </c>
      <c r="H90" s="1">
        <v>2</v>
      </c>
      <c r="I90" s="1" t="s">
        <v>19</v>
      </c>
      <c r="J90" s="1" t="s">
        <v>20</v>
      </c>
      <c r="K90" s="1" t="s">
        <v>18</v>
      </c>
      <c r="L90" s="1">
        <v>84.840001000000001</v>
      </c>
      <c r="M90" s="1">
        <v>85.372337999999999</v>
      </c>
      <c r="N90" s="2">
        <f t="shared" si="2"/>
        <v>6.2745991716808003E-3</v>
      </c>
      <c r="O90" s="4">
        <v>19.21</v>
      </c>
      <c r="P90" s="5">
        <v>6.9600006099790335E-5</v>
      </c>
    </row>
    <row r="91" spans="1:16">
      <c r="A91" s="1" t="s">
        <v>109</v>
      </c>
      <c r="B91" s="1">
        <v>12</v>
      </c>
      <c r="C91" s="1">
        <v>3</v>
      </c>
      <c r="D91" s="1" t="s">
        <v>18</v>
      </c>
      <c r="E91" s="1">
        <v>12</v>
      </c>
      <c r="F91" s="1">
        <v>1</v>
      </c>
      <c r="G91" s="1" t="s">
        <v>18</v>
      </c>
      <c r="H91" s="1">
        <v>6</v>
      </c>
      <c r="I91" s="1" t="s">
        <v>19</v>
      </c>
      <c r="J91" s="1" t="s">
        <v>20</v>
      </c>
      <c r="K91" s="1" t="s">
        <v>17</v>
      </c>
      <c r="L91" s="1">
        <v>555.51998500000002</v>
      </c>
      <c r="M91" s="1">
        <v>548.44793800000002</v>
      </c>
      <c r="N91" s="2">
        <f t="shared" si="2"/>
        <v>1.2730499695704013E-2</v>
      </c>
      <c r="O91" s="4">
        <v>19.28</v>
      </c>
      <c r="P91" s="5">
        <v>7.0800015237182379E-5</v>
      </c>
    </row>
    <row r="92" spans="1:16">
      <c r="A92" s="1" t="s">
        <v>110</v>
      </c>
      <c r="B92" s="1">
        <v>10</v>
      </c>
      <c r="C92" s="1">
        <v>3</v>
      </c>
      <c r="D92" s="1" t="s">
        <v>17</v>
      </c>
      <c r="E92" s="1">
        <v>9</v>
      </c>
      <c r="F92" s="1">
        <v>6</v>
      </c>
      <c r="G92" s="1" t="s">
        <v>17</v>
      </c>
      <c r="H92" s="1">
        <v>0</v>
      </c>
      <c r="I92" s="1" t="s">
        <v>19</v>
      </c>
      <c r="J92" s="1" t="s">
        <v>20</v>
      </c>
      <c r="K92" s="1" t="s">
        <v>17</v>
      </c>
      <c r="L92" s="1">
        <v>35.56</v>
      </c>
      <c r="M92" s="1">
        <v>41.127682999999998</v>
      </c>
      <c r="N92" s="2">
        <f t="shared" si="2"/>
        <v>0.15657151293588287</v>
      </c>
      <c r="O92" s="4">
        <v>19.54</v>
      </c>
      <c r="P92" s="5">
        <v>7.110001752153039E-5</v>
      </c>
    </row>
    <row r="93" spans="1:16">
      <c r="A93" s="1" t="s">
        <v>111</v>
      </c>
      <c r="B93" s="1">
        <v>5</v>
      </c>
      <c r="C93" s="1">
        <v>0</v>
      </c>
      <c r="D93" s="1" t="s">
        <v>18</v>
      </c>
      <c r="E93" s="1">
        <v>16</v>
      </c>
      <c r="F93" s="1">
        <v>6</v>
      </c>
      <c r="G93" s="1" t="s">
        <v>18</v>
      </c>
      <c r="H93" s="1">
        <v>2</v>
      </c>
      <c r="I93" s="1" t="s">
        <v>19</v>
      </c>
      <c r="J93" s="1" t="s">
        <v>20</v>
      </c>
      <c r="K93" s="1" t="s">
        <v>18</v>
      </c>
      <c r="L93" s="1">
        <v>155.400002</v>
      </c>
      <c r="M93" s="1">
        <v>155.33630700000001</v>
      </c>
      <c r="N93" s="2">
        <f t="shared" si="2"/>
        <v>4.0987772960257503E-4</v>
      </c>
      <c r="O93" s="4">
        <v>19.28</v>
      </c>
      <c r="P93" s="5">
        <v>7.1999966166913509E-5</v>
      </c>
    </row>
    <row r="94" spans="1:16">
      <c r="A94" s="1" t="s">
        <v>112</v>
      </c>
      <c r="B94" s="1">
        <v>12</v>
      </c>
      <c r="C94" s="1">
        <v>2</v>
      </c>
      <c r="D94" s="1" t="s">
        <v>17</v>
      </c>
      <c r="E94" s="1">
        <v>8</v>
      </c>
      <c r="F94" s="1">
        <v>4</v>
      </c>
      <c r="G94" s="1" t="s">
        <v>17</v>
      </c>
      <c r="H94" s="1">
        <v>3</v>
      </c>
      <c r="I94" s="1" t="s">
        <v>19</v>
      </c>
      <c r="J94" s="1" t="s">
        <v>20</v>
      </c>
      <c r="K94" s="1" t="s">
        <v>17</v>
      </c>
      <c r="L94" s="1">
        <v>153.71999600000001</v>
      </c>
      <c r="M94" s="1">
        <v>154.527683</v>
      </c>
      <c r="N94" s="2">
        <f t="shared" si="2"/>
        <v>5.2542741414069978E-3</v>
      </c>
      <c r="O94" s="4">
        <v>19.440000000000001</v>
      </c>
      <c r="P94" s="5">
        <v>7.0700014475733042E-5</v>
      </c>
    </row>
    <row r="95" spans="1:16">
      <c r="A95" s="1" t="s">
        <v>113</v>
      </c>
      <c r="B95" s="1">
        <v>14</v>
      </c>
      <c r="C95" s="1">
        <v>4</v>
      </c>
      <c r="D95" s="1" t="s">
        <v>18</v>
      </c>
      <c r="E95" s="1">
        <v>16</v>
      </c>
      <c r="F95" s="1">
        <v>4</v>
      </c>
      <c r="G95" s="1" t="s">
        <v>18</v>
      </c>
      <c r="H95" s="1">
        <v>3</v>
      </c>
      <c r="I95" s="1" t="s">
        <v>19</v>
      </c>
      <c r="J95" s="1" t="s">
        <v>20</v>
      </c>
      <c r="K95" s="1" t="s">
        <v>17</v>
      </c>
      <c r="L95" s="1">
        <v>409.35999099999998</v>
      </c>
      <c r="M95" s="1">
        <v>406.47603299999997</v>
      </c>
      <c r="N95" s="2">
        <f t="shared" si="2"/>
        <v>7.0450411945607236E-3</v>
      </c>
      <c r="O95" s="4">
        <v>19.34</v>
      </c>
      <c r="P95" s="5">
        <v>7.0400012191385031E-5</v>
      </c>
    </row>
    <row r="96" spans="1:16">
      <c r="A96" s="1" t="s">
        <v>114</v>
      </c>
      <c r="B96" s="1">
        <v>9</v>
      </c>
      <c r="C96" s="1">
        <v>0</v>
      </c>
      <c r="D96" s="1" t="s">
        <v>18</v>
      </c>
      <c r="E96" s="1">
        <v>16</v>
      </c>
      <c r="F96" s="1">
        <v>6</v>
      </c>
      <c r="G96" s="1" t="s">
        <v>18</v>
      </c>
      <c r="H96" s="1">
        <v>2</v>
      </c>
      <c r="I96" s="1" t="s">
        <v>19</v>
      </c>
      <c r="J96" s="1" t="s">
        <v>20</v>
      </c>
      <c r="K96" s="1" t="s">
        <v>18</v>
      </c>
      <c r="L96" s="1">
        <v>174.44000299999999</v>
      </c>
      <c r="M96" s="1">
        <v>174.38651300000001</v>
      </c>
      <c r="N96" s="2">
        <f t="shared" si="2"/>
        <v>3.0663838041772036E-4</v>
      </c>
      <c r="O96" s="4">
        <v>19.13</v>
      </c>
      <c r="P96" s="5">
        <v>8.0499972682446241E-5</v>
      </c>
    </row>
    <row r="97" spans="1:16">
      <c r="A97" s="1" t="s">
        <v>115</v>
      </c>
      <c r="B97" s="1">
        <v>12</v>
      </c>
      <c r="C97" s="1">
        <v>4</v>
      </c>
      <c r="D97" s="1" t="s">
        <v>17</v>
      </c>
      <c r="E97" s="1">
        <v>10</v>
      </c>
      <c r="F97" s="1">
        <v>4</v>
      </c>
      <c r="G97" s="1" t="s">
        <v>17</v>
      </c>
      <c r="H97" s="1">
        <v>1</v>
      </c>
      <c r="I97" s="1" t="s">
        <v>19</v>
      </c>
      <c r="J97" s="1" t="s">
        <v>20</v>
      </c>
      <c r="K97" s="1" t="s">
        <v>18</v>
      </c>
      <c r="L97" s="1">
        <v>115.080001</v>
      </c>
      <c r="M97" s="1">
        <v>115.30906400000001</v>
      </c>
      <c r="N97" s="2">
        <f t="shared" si="2"/>
        <v>1.9904674835726729E-3</v>
      </c>
      <c r="O97" s="4">
        <v>18.7</v>
      </c>
      <c r="P97" s="5">
        <v>7.4900046456605196E-5</v>
      </c>
    </row>
    <row r="98" spans="1:16">
      <c r="A98" s="1" t="s">
        <v>116</v>
      </c>
      <c r="B98" s="1">
        <v>8</v>
      </c>
      <c r="C98" s="1">
        <v>6</v>
      </c>
      <c r="D98" s="1" t="s">
        <v>17</v>
      </c>
      <c r="E98" s="1">
        <v>10</v>
      </c>
      <c r="F98" s="1">
        <v>3</v>
      </c>
      <c r="G98" s="1" t="s">
        <v>17</v>
      </c>
      <c r="H98" s="1">
        <v>0</v>
      </c>
      <c r="I98" s="1" t="s">
        <v>19</v>
      </c>
      <c r="J98" s="1" t="s">
        <v>20</v>
      </c>
      <c r="K98" s="1" t="s">
        <v>18</v>
      </c>
      <c r="L98" s="1">
        <v>53.48</v>
      </c>
      <c r="M98" s="1">
        <v>51.866236000000001</v>
      </c>
      <c r="N98" s="2">
        <f t="shared" ref="N98:N129" si="3">ABS(M98-L98)/L98</f>
        <v>3.0175093492894472E-2</v>
      </c>
      <c r="O98" s="4">
        <v>19.920000000000002</v>
      </c>
      <c r="P98" s="5">
        <v>7.3999981395900249E-5</v>
      </c>
    </row>
    <row r="99" spans="1:16">
      <c r="A99" s="1" t="s">
        <v>117</v>
      </c>
      <c r="B99" s="1">
        <v>10</v>
      </c>
      <c r="C99" s="1">
        <v>1</v>
      </c>
      <c r="D99" s="1" t="s">
        <v>18</v>
      </c>
      <c r="E99" s="1">
        <v>10</v>
      </c>
      <c r="F99" s="1">
        <v>6</v>
      </c>
      <c r="G99" s="1" t="s">
        <v>18</v>
      </c>
      <c r="H99" s="1">
        <v>6</v>
      </c>
      <c r="I99" s="1" t="s">
        <v>19</v>
      </c>
      <c r="J99" s="1" t="s">
        <v>20</v>
      </c>
      <c r="K99" s="1" t="s">
        <v>17</v>
      </c>
      <c r="L99" s="1">
        <v>239.95999399999999</v>
      </c>
      <c r="M99" s="1">
        <v>231.53233800000001</v>
      </c>
      <c r="N99" s="2">
        <f t="shared" si="3"/>
        <v>3.5121087725981458E-2</v>
      </c>
      <c r="O99" s="4">
        <v>18.899999999999999</v>
      </c>
      <c r="P99" s="5">
        <v>7.3600036557763815E-5</v>
      </c>
    </row>
    <row r="100" spans="1:16">
      <c r="A100" s="1" t="s">
        <v>118</v>
      </c>
      <c r="B100" s="1">
        <v>5</v>
      </c>
      <c r="C100" s="1">
        <v>0</v>
      </c>
      <c r="D100" s="1" t="s">
        <v>17</v>
      </c>
      <c r="E100" s="1">
        <v>6</v>
      </c>
      <c r="F100" s="1">
        <v>0</v>
      </c>
      <c r="G100" s="1" t="s">
        <v>17</v>
      </c>
      <c r="H100" s="1">
        <v>1</v>
      </c>
      <c r="I100" s="1" t="s">
        <v>19</v>
      </c>
      <c r="J100" s="1" t="s">
        <v>20</v>
      </c>
      <c r="K100" s="1" t="s">
        <v>18</v>
      </c>
      <c r="L100" s="1">
        <v>65.520000999999993</v>
      </c>
      <c r="M100" s="1">
        <v>62.405130999999997</v>
      </c>
      <c r="N100" s="2">
        <f t="shared" si="3"/>
        <v>4.7540750190159436E-2</v>
      </c>
      <c r="O100" s="4">
        <v>19.59</v>
      </c>
      <c r="P100" s="5">
        <v>7.1900023613125086E-5</v>
      </c>
    </row>
    <row r="101" spans="1:16">
      <c r="A101" s="1" t="s">
        <v>119</v>
      </c>
      <c r="B101" s="1">
        <v>12</v>
      </c>
      <c r="C101" s="1">
        <v>2</v>
      </c>
      <c r="D101" s="1" t="s">
        <v>18</v>
      </c>
      <c r="E101" s="1">
        <v>8</v>
      </c>
      <c r="F101" s="1">
        <v>6</v>
      </c>
      <c r="G101" s="1" t="s">
        <v>18</v>
      </c>
      <c r="H101" s="1">
        <v>0</v>
      </c>
      <c r="I101" s="1" t="s">
        <v>19</v>
      </c>
      <c r="J101" s="1" t="s">
        <v>20</v>
      </c>
      <c r="K101" s="1" t="s">
        <v>17</v>
      </c>
      <c r="L101" s="1">
        <v>23.24</v>
      </c>
      <c r="M101" s="1">
        <v>27.416992</v>
      </c>
      <c r="N101" s="2">
        <f t="shared" si="3"/>
        <v>0.1797328743545612</v>
      </c>
      <c r="O101" s="4">
        <v>19.489999999999998</v>
      </c>
      <c r="P101" s="5">
        <v>7.2900031227618456E-5</v>
      </c>
    </row>
    <row r="102" spans="1:16">
      <c r="N102" s="6">
        <f>AVERAGE(N2:N101)</f>
        <v>1.9148725472634201E-2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02"/>
  <sheetViews>
    <sheetView workbookViewId="0">
      <pane ySplit="1" topLeftCell="A89" activePane="bottomLeft" state="frozen"/>
      <selection pane="bottomLeft" activeCell="O103" sqref="O103"/>
    </sheetView>
  </sheetViews>
  <sheetFormatPr defaultRowHeight="14"/>
  <cols>
    <col min="1" max="1" width="6.6640625" customWidth="1"/>
    <col min="2" max="2" width="11.6640625" customWidth="1"/>
    <col min="3" max="3" width="12.25" customWidth="1"/>
    <col min="4" max="4" width="17" customWidth="1"/>
    <col min="5" max="5" width="13.5" customWidth="1"/>
    <col min="6" max="6" width="14.25" customWidth="1"/>
    <col min="7" max="7" width="18.9140625" customWidth="1"/>
    <col min="8" max="8" width="6.1640625" customWidth="1"/>
    <col min="9" max="9" width="6.75" customWidth="1"/>
    <col min="10" max="10" width="9.9140625" customWidth="1"/>
    <col min="11" max="11" width="9.75" customWidth="1"/>
    <col min="12" max="12" width="9.1640625" customWidth="1"/>
    <col min="13" max="13" width="15" customWidth="1"/>
    <col min="14" max="14" width="11" customWidth="1"/>
    <col min="15" max="15" width="6" customWidth="1"/>
    <col min="16" max="16" width="9.9140625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348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349</v>
      </c>
      <c r="O1" s="3" t="s">
        <v>13</v>
      </c>
      <c r="P1" s="3" t="s">
        <v>14</v>
      </c>
      <c r="Q1" s="3" t="s">
        <v>15</v>
      </c>
    </row>
    <row r="2" spans="1:17">
      <c r="A2" s="1" t="s">
        <v>16</v>
      </c>
      <c r="B2" s="1">
        <v>8</v>
      </c>
      <c r="C2" s="1">
        <v>1</v>
      </c>
      <c r="D2" s="1" t="s">
        <v>17</v>
      </c>
      <c r="E2" s="1">
        <v>8</v>
      </c>
      <c r="F2" s="1">
        <v>1</v>
      </c>
      <c r="G2" s="1" t="s">
        <v>17</v>
      </c>
      <c r="H2" s="1">
        <v>-1</v>
      </c>
      <c r="I2" s="1">
        <v>0</v>
      </c>
      <c r="J2" s="1" t="s">
        <v>19</v>
      </c>
      <c r="K2" s="1" t="s">
        <v>20</v>
      </c>
      <c r="L2" s="1" t="s">
        <v>18</v>
      </c>
      <c r="M2" s="1">
        <v>17.920000000000002</v>
      </c>
      <c r="N2" s="1">
        <v>17.920000000000002</v>
      </c>
      <c r="O2" s="2">
        <f t="shared" ref="O2:O33" si="0">ABS(N2-M2)/M2</f>
        <v>0</v>
      </c>
      <c r="P2" s="4">
        <v>19.21</v>
      </c>
      <c r="Q2" s="5">
        <v>7.2999973781406879E-6</v>
      </c>
    </row>
    <row r="3" spans="1:17">
      <c r="A3" s="1" t="s">
        <v>21</v>
      </c>
      <c r="B3" s="1">
        <v>12</v>
      </c>
      <c r="C3" s="1">
        <v>1</v>
      </c>
      <c r="D3" s="1" t="s">
        <v>18</v>
      </c>
      <c r="E3" s="1">
        <v>5</v>
      </c>
      <c r="F3" s="1">
        <v>3</v>
      </c>
      <c r="G3" s="1" t="s">
        <v>18</v>
      </c>
      <c r="H3" s="1">
        <v>2</v>
      </c>
      <c r="I3" s="1">
        <v>1</v>
      </c>
      <c r="J3" s="1" t="s">
        <v>19</v>
      </c>
      <c r="K3" s="1" t="s">
        <v>20</v>
      </c>
      <c r="L3" s="1" t="s">
        <v>18</v>
      </c>
      <c r="M3" s="1">
        <v>10.36</v>
      </c>
      <c r="N3" s="1">
        <v>10.36</v>
      </c>
      <c r="O3" s="2">
        <f t="shared" si="0"/>
        <v>0</v>
      </c>
      <c r="P3" s="4">
        <v>18.8</v>
      </c>
      <c r="Q3" s="5">
        <v>7.0999958552420139E-6</v>
      </c>
    </row>
    <row r="4" spans="1:17">
      <c r="A4" s="1" t="s">
        <v>22</v>
      </c>
      <c r="B4" s="1">
        <v>12</v>
      </c>
      <c r="C4" s="1">
        <v>6</v>
      </c>
      <c r="D4" s="1" t="s">
        <v>17</v>
      </c>
      <c r="E4" s="1">
        <v>16</v>
      </c>
      <c r="F4" s="1">
        <v>8</v>
      </c>
      <c r="G4" s="1" t="s">
        <v>17</v>
      </c>
      <c r="H4" s="1">
        <v>4</v>
      </c>
      <c r="I4" s="1">
        <v>2</v>
      </c>
      <c r="J4" s="1" t="s">
        <v>19</v>
      </c>
      <c r="K4" s="1" t="s">
        <v>20</v>
      </c>
      <c r="L4" s="1" t="s">
        <v>18</v>
      </c>
      <c r="M4" s="1">
        <v>133.840002</v>
      </c>
      <c r="N4" s="1">
        <v>133.84</v>
      </c>
      <c r="O4" s="2">
        <f t="shared" si="0"/>
        <v>1.4943215519008178E-8</v>
      </c>
      <c r="P4" s="4">
        <v>19.649999999999999</v>
      </c>
      <c r="Q4" s="5">
        <v>7.499998901039362E-6</v>
      </c>
    </row>
    <row r="5" spans="1:17">
      <c r="A5" s="1" t="s">
        <v>23</v>
      </c>
      <c r="B5" s="1">
        <v>14</v>
      </c>
      <c r="C5" s="1">
        <v>4</v>
      </c>
      <c r="D5" s="1" t="s">
        <v>18</v>
      </c>
      <c r="E5" s="1">
        <v>6</v>
      </c>
      <c r="F5" s="1">
        <v>0</v>
      </c>
      <c r="G5" s="1" t="s">
        <v>18</v>
      </c>
      <c r="H5" s="1">
        <v>0</v>
      </c>
      <c r="I5" s="1">
        <v>2</v>
      </c>
      <c r="J5" s="1" t="s">
        <v>19</v>
      </c>
      <c r="K5" s="1" t="s">
        <v>20</v>
      </c>
      <c r="L5" s="1" t="s">
        <v>17</v>
      </c>
      <c r="M5" s="1">
        <v>87.359998000000004</v>
      </c>
      <c r="N5" s="1">
        <v>87.36</v>
      </c>
      <c r="O5" s="2">
        <f t="shared" si="0"/>
        <v>2.289377336009652E-8</v>
      </c>
      <c r="P5" s="4">
        <v>18.96</v>
      </c>
      <c r="Q5" s="5">
        <v>7.0999958552420139E-6</v>
      </c>
    </row>
    <row r="6" spans="1:17">
      <c r="A6" s="1" t="s">
        <v>24</v>
      </c>
      <c r="B6" s="1">
        <v>16</v>
      </c>
      <c r="C6" s="1">
        <v>8</v>
      </c>
      <c r="D6" s="1" t="s">
        <v>18</v>
      </c>
      <c r="E6" s="1">
        <v>5</v>
      </c>
      <c r="F6" s="1">
        <v>1</v>
      </c>
      <c r="G6" s="1" t="s">
        <v>18</v>
      </c>
      <c r="H6" s="1">
        <v>2</v>
      </c>
      <c r="I6" s="1">
        <v>0</v>
      </c>
      <c r="J6" s="1" t="s">
        <v>19</v>
      </c>
      <c r="K6" s="1" t="s">
        <v>20</v>
      </c>
      <c r="L6" s="1" t="s">
        <v>17</v>
      </c>
      <c r="M6" s="1">
        <v>11.2</v>
      </c>
      <c r="N6" s="1">
        <v>11.2</v>
      </c>
      <c r="O6" s="2">
        <f t="shared" si="0"/>
        <v>0</v>
      </c>
      <c r="P6" s="4">
        <v>18.59</v>
      </c>
      <c r="Q6" s="5">
        <v>6.9000525400042534E-6</v>
      </c>
    </row>
    <row r="7" spans="1:17">
      <c r="A7" s="1" t="s">
        <v>25</v>
      </c>
      <c r="B7" s="1">
        <v>14</v>
      </c>
      <c r="C7" s="1">
        <v>3</v>
      </c>
      <c r="D7" s="1" t="s">
        <v>17</v>
      </c>
      <c r="E7" s="1">
        <v>6</v>
      </c>
      <c r="F7" s="1">
        <v>4</v>
      </c>
      <c r="G7" s="1" t="s">
        <v>17</v>
      </c>
      <c r="H7" s="1">
        <v>4</v>
      </c>
      <c r="I7" s="1">
        <v>0</v>
      </c>
      <c r="J7" s="1" t="s">
        <v>19</v>
      </c>
      <c r="K7" s="1" t="s">
        <v>20</v>
      </c>
      <c r="L7" s="1" t="s">
        <v>18</v>
      </c>
      <c r="M7" s="1">
        <v>6.44</v>
      </c>
      <c r="N7" s="1">
        <v>6.44</v>
      </c>
      <c r="O7" s="2">
        <f t="shared" si="0"/>
        <v>0</v>
      </c>
      <c r="P7" s="4">
        <v>19.420000000000002</v>
      </c>
      <c r="Q7" s="5">
        <v>7.1999966166913509E-6</v>
      </c>
    </row>
    <row r="8" spans="1:17">
      <c r="A8" s="1" t="s">
        <v>26</v>
      </c>
      <c r="B8" s="1">
        <v>12</v>
      </c>
      <c r="C8" s="1">
        <v>4</v>
      </c>
      <c r="D8" s="1" t="s">
        <v>17</v>
      </c>
      <c r="E8" s="1">
        <v>9</v>
      </c>
      <c r="F8" s="1">
        <v>6</v>
      </c>
      <c r="G8" s="1" t="s">
        <v>17</v>
      </c>
      <c r="H8" s="1">
        <v>0</v>
      </c>
      <c r="I8" s="1">
        <v>1</v>
      </c>
      <c r="J8" s="1" t="s">
        <v>19</v>
      </c>
      <c r="K8" s="1" t="s">
        <v>20</v>
      </c>
      <c r="L8" s="1" t="s">
        <v>17</v>
      </c>
      <c r="M8" s="1">
        <v>56.559998999999998</v>
      </c>
      <c r="N8" s="1">
        <v>56.56</v>
      </c>
      <c r="O8" s="2">
        <f t="shared" si="0"/>
        <v>1.7680339856099895E-8</v>
      </c>
      <c r="P8" s="4">
        <v>19.420000000000002</v>
      </c>
      <c r="Q8" s="5">
        <v>7.1999966166913509E-6</v>
      </c>
    </row>
    <row r="9" spans="1:17">
      <c r="A9" s="1" t="s">
        <v>27</v>
      </c>
      <c r="B9" s="1">
        <v>14</v>
      </c>
      <c r="C9" s="1">
        <v>6</v>
      </c>
      <c r="D9" s="1" t="s">
        <v>17</v>
      </c>
      <c r="E9" s="1">
        <v>9</v>
      </c>
      <c r="F9" s="1">
        <v>2</v>
      </c>
      <c r="G9" s="1" t="s">
        <v>17</v>
      </c>
      <c r="H9" s="1">
        <v>4</v>
      </c>
      <c r="I9" s="1">
        <v>4</v>
      </c>
      <c r="J9" s="1" t="s">
        <v>19</v>
      </c>
      <c r="K9" s="1" t="s">
        <v>20</v>
      </c>
      <c r="L9" s="1" t="s">
        <v>18</v>
      </c>
      <c r="M9" s="1">
        <v>221.76000400000001</v>
      </c>
      <c r="N9" s="1">
        <v>221.76</v>
      </c>
      <c r="O9" s="2">
        <f t="shared" si="0"/>
        <v>1.8037517794789905E-8</v>
      </c>
      <c r="P9" s="4">
        <v>18.73</v>
      </c>
      <c r="Q9" s="5">
        <v>6.9000525400042534E-6</v>
      </c>
    </row>
    <row r="10" spans="1:17">
      <c r="A10" s="1" t="s">
        <v>28</v>
      </c>
      <c r="B10" s="1">
        <v>14</v>
      </c>
      <c r="C10" s="1">
        <v>1</v>
      </c>
      <c r="D10" s="1" t="s">
        <v>18</v>
      </c>
      <c r="E10" s="1">
        <v>6</v>
      </c>
      <c r="F10" s="1">
        <v>1</v>
      </c>
      <c r="G10" s="1" t="s">
        <v>18</v>
      </c>
      <c r="H10" s="1">
        <v>1</v>
      </c>
      <c r="I10" s="1">
        <v>6</v>
      </c>
      <c r="J10" s="1" t="s">
        <v>19</v>
      </c>
      <c r="K10" s="1" t="s">
        <v>20</v>
      </c>
      <c r="L10" s="1" t="s">
        <v>17</v>
      </c>
      <c r="M10" s="1">
        <v>208.03999400000001</v>
      </c>
      <c r="N10" s="1">
        <v>208.04</v>
      </c>
      <c r="O10" s="2">
        <f t="shared" si="0"/>
        <v>2.8840608334431389E-8</v>
      </c>
      <c r="P10" s="4">
        <v>19.86</v>
      </c>
      <c r="Q10" s="5">
        <v>7.1999966166913509E-6</v>
      </c>
    </row>
    <row r="11" spans="1:17">
      <c r="A11" s="1" t="s">
        <v>29</v>
      </c>
      <c r="B11" s="1">
        <v>10</v>
      </c>
      <c r="C11" s="1">
        <v>8</v>
      </c>
      <c r="D11" s="1" t="s">
        <v>18</v>
      </c>
      <c r="E11" s="1">
        <v>8</v>
      </c>
      <c r="F11" s="1">
        <v>6</v>
      </c>
      <c r="G11" s="1" t="s">
        <v>18</v>
      </c>
      <c r="H11" s="1">
        <v>-4</v>
      </c>
      <c r="I11" s="1">
        <v>1</v>
      </c>
      <c r="J11" s="1" t="s">
        <v>19</v>
      </c>
      <c r="K11" s="1" t="s">
        <v>20</v>
      </c>
      <c r="L11" s="1" t="s">
        <v>18</v>
      </c>
      <c r="M11" s="1">
        <v>31.36</v>
      </c>
      <c r="N11" s="1">
        <v>31.36</v>
      </c>
      <c r="O11" s="2">
        <f t="shared" si="0"/>
        <v>0</v>
      </c>
      <c r="P11" s="4">
        <v>19.47</v>
      </c>
      <c r="Q11" s="5">
        <v>7.1999966166913509E-6</v>
      </c>
    </row>
    <row r="12" spans="1:17">
      <c r="A12" s="1" t="s">
        <v>30</v>
      </c>
      <c r="B12" s="1">
        <v>16</v>
      </c>
      <c r="C12" s="1">
        <v>6</v>
      </c>
      <c r="D12" s="1" t="s">
        <v>17</v>
      </c>
      <c r="E12" s="1">
        <v>12</v>
      </c>
      <c r="F12" s="1">
        <v>6</v>
      </c>
      <c r="G12" s="1" t="s">
        <v>17</v>
      </c>
      <c r="H12" s="1">
        <v>1</v>
      </c>
      <c r="I12" s="1">
        <v>3</v>
      </c>
      <c r="J12" s="1" t="s">
        <v>19</v>
      </c>
      <c r="K12" s="1" t="s">
        <v>20</v>
      </c>
      <c r="L12" s="1" t="s">
        <v>17</v>
      </c>
      <c r="M12" s="1">
        <v>234.91999300000001</v>
      </c>
      <c r="N12" s="1">
        <v>234.92</v>
      </c>
      <c r="O12" s="2">
        <f t="shared" si="0"/>
        <v>2.9797378643403497E-8</v>
      </c>
      <c r="P12" s="4">
        <v>19.38</v>
      </c>
      <c r="Q12" s="5">
        <v>7.800001185387373E-6</v>
      </c>
    </row>
    <row r="13" spans="1:17">
      <c r="A13" s="1" t="s">
        <v>31</v>
      </c>
      <c r="B13" s="1">
        <v>9</v>
      </c>
      <c r="C13" s="1">
        <v>4</v>
      </c>
      <c r="D13" s="1" t="s">
        <v>18</v>
      </c>
      <c r="E13" s="1">
        <v>8</v>
      </c>
      <c r="F13" s="1">
        <v>0</v>
      </c>
      <c r="G13" s="1" t="s">
        <v>18</v>
      </c>
      <c r="H13" s="1">
        <v>-4</v>
      </c>
      <c r="I13" s="1">
        <v>2</v>
      </c>
      <c r="J13" s="1" t="s">
        <v>19</v>
      </c>
      <c r="K13" s="1" t="s">
        <v>20</v>
      </c>
      <c r="L13" s="1" t="s">
        <v>18</v>
      </c>
      <c r="M13" s="1">
        <v>18.760000000000002</v>
      </c>
      <c r="N13" s="1">
        <v>18.760000000000002</v>
      </c>
      <c r="O13" s="2">
        <f t="shared" si="0"/>
        <v>0</v>
      </c>
      <c r="P13" s="4">
        <v>19.38</v>
      </c>
      <c r="Q13" s="5">
        <v>6.7999935708940029E-6</v>
      </c>
    </row>
    <row r="14" spans="1:17">
      <c r="A14" s="1" t="s">
        <v>32</v>
      </c>
      <c r="B14" s="1">
        <v>16</v>
      </c>
      <c r="C14" s="1">
        <v>2</v>
      </c>
      <c r="D14" s="1" t="s">
        <v>18</v>
      </c>
      <c r="E14" s="1">
        <v>6</v>
      </c>
      <c r="F14" s="1">
        <v>0</v>
      </c>
      <c r="G14" s="1" t="s">
        <v>18</v>
      </c>
      <c r="H14" s="1">
        <v>3</v>
      </c>
      <c r="I14" s="1">
        <v>3</v>
      </c>
      <c r="J14" s="1" t="s">
        <v>19</v>
      </c>
      <c r="K14" s="1" t="s">
        <v>20</v>
      </c>
      <c r="L14" s="1" t="s">
        <v>18</v>
      </c>
      <c r="M14" s="1">
        <v>94.640001999999996</v>
      </c>
      <c r="N14" s="1">
        <v>94.64</v>
      </c>
      <c r="O14" s="2">
        <f t="shared" si="0"/>
        <v>2.1132712940459211E-8</v>
      </c>
      <c r="P14" s="4">
        <v>19.54</v>
      </c>
      <c r="Q14" s="5">
        <v>7.0999958552420139E-6</v>
      </c>
    </row>
    <row r="15" spans="1:17">
      <c r="A15" s="1" t="s">
        <v>33</v>
      </c>
      <c r="B15" s="1">
        <v>16</v>
      </c>
      <c r="C15" s="1">
        <v>4</v>
      </c>
      <c r="D15" s="1" t="s">
        <v>18</v>
      </c>
      <c r="E15" s="1">
        <v>16</v>
      </c>
      <c r="F15" s="1">
        <v>2</v>
      </c>
      <c r="G15" s="1" t="s">
        <v>18</v>
      </c>
      <c r="H15" s="1">
        <v>-2</v>
      </c>
      <c r="I15" s="1">
        <v>2</v>
      </c>
      <c r="J15" s="1" t="s">
        <v>19</v>
      </c>
      <c r="K15" s="1" t="s">
        <v>20</v>
      </c>
      <c r="L15" s="1" t="s">
        <v>18</v>
      </c>
      <c r="M15" s="1">
        <v>157.92000300000001</v>
      </c>
      <c r="N15" s="1">
        <v>157.91999999999999</v>
      </c>
      <c r="O15" s="2">
        <f t="shared" si="0"/>
        <v>1.8996960257450332E-8</v>
      </c>
      <c r="P15" s="4">
        <v>19.14</v>
      </c>
      <c r="Q15" s="5">
        <v>8.200004231184721E-6</v>
      </c>
    </row>
    <row r="16" spans="1:17">
      <c r="A16" s="1" t="s">
        <v>34</v>
      </c>
      <c r="B16" s="1">
        <v>10</v>
      </c>
      <c r="C16" s="1">
        <v>2</v>
      </c>
      <c r="D16" s="1" t="s">
        <v>17</v>
      </c>
      <c r="E16" s="1">
        <v>9</v>
      </c>
      <c r="F16" s="1">
        <v>2</v>
      </c>
      <c r="G16" s="1" t="s">
        <v>17</v>
      </c>
      <c r="H16" s="1">
        <v>4</v>
      </c>
      <c r="I16" s="1">
        <v>6</v>
      </c>
      <c r="J16" s="1" t="s">
        <v>19</v>
      </c>
      <c r="K16" s="1" t="s">
        <v>20</v>
      </c>
      <c r="L16" s="1" t="s">
        <v>18</v>
      </c>
      <c r="M16" s="1">
        <v>185.36000300000001</v>
      </c>
      <c r="N16" s="1">
        <v>185.36</v>
      </c>
      <c r="O16" s="2">
        <f t="shared" si="0"/>
        <v>1.6184721319980383E-8</v>
      </c>
      <c r="P16" s="4">
        <v>19.649999999999999</v>
      </c>
      <c r="Q16" s="5">
        <v>7.499998901039362E-6</v>
      </c>
    </row>
    <row r="17" spans="1:17">
      <c r="A17" s="1" t="s">
        <v>35</v>
      </c>
      <c r="B17" s="1">
        <v>16</v>
      </c>
      <c r="C17" s="1">
        <v>3</v>
      </c>
      <c r="D17" s="1" t="s">
        <v>17</v>
      </c>
      <c r="E17" s="1">
        <v>8</v>
      </c>
      <c r="F17" s="1">
        <v>4</v>
      </c>
      <c r="G17" s="1" t="s">
        <v>17</v>
      </c>
      <c r="H17" s="1">
        <v>4</v>
      </c>
      <c r="I17" s="1">
        <v>1</v>
      </c>
      <c r="J17" s="1" t="s">
        <v>19</v>
      </c>
      <c r="K17" s="1" t="s">
        <v>20</v>
      </c>
      <c r="L17" s="1" t="s">
        <v>18</v>
      </c>
      <c r="M17" s="1">
        <v>25.2</v>
      </c>
      <c r="N17" s="1">
        <v>25.2</v>
      </c>
      <c r="O17" s="2">
        <f t="shared" si="0"/>
        <v>0</v>
      </c>
      <c r="P17" s="4">
        <v>19.41</v>
      </c>
      <c r="Q17" s="5">
        <v>7.0999958552420139E-6</v>
      </c>
    </row>
    <row r="18" spans="1:17">
      <c r="A18" s="1" t="s">
        <v>36</v>
      </c>
      <c r="B18" s="1">
        <v>9</v>
      </c>
      <c r="C18" s="1">
        <v>1</v>
      </c>
      <c r="D18" s="1" t="s">
        <v>17</v>
      </c>
      <c r="E18" s="1">
        <v>12</v>
      </c>
      <c r="F18" s="1">
        <v>0</v>
      </c>
      <c r="G18" s="1" t="s">
        <v>17</v>
      </c>
      <c r="H18" s="1">
        <v>-4</v>
      </c>
      <c r="I18" s="1">
        <v>4</v>
      </c>
      <c r="J18" s="1" t="s">
        <v>19</v>
      </c>
      <c r="K18" s="1" t="s">
        <v>20</v>
      </c>
      <c r="L18" s="1" t="s">
        <v>18</v>
      </c>
      <c r="M18" s="1">
        <v>295.68000599999999</v>
      </c>
      <c r="N18" s="1">
        <v>295.68</v>
      </c>
      <c r="O18" s="2">
        <f t="shared" si="0"/>
        <v>2.0292207329201205E-8</v>
      </c>
      <c r="P18" s="4">
        <v>18.940000000000001</v>
      </c>
      <c r="Q18" s="5">
        <v>6.9999950937926769E-6</v>
      </c>
    </row>
    <row r="19" spans="1:17">
      <c r="A19" s="1" t="s">
        <v>37</v>
      </c>
      <c r="B19" s="1">
        <v>10</v>
      </c>
      <c r="C19" s="1">
        <v>8</v>
      </c>
      <c r="D19" s="1" t="s">
        <v>17</v>
      </c>
      <c r="E19" s="1">
        <v>10</v>
      </c>
      <c r="F19" s="1">
        <v>4</v>
      </c>
      <c r="G19" s="1" t="s">
        <v>17</v>
      </c>
      <c r="H19" s="1">
        <v>-1</v>
      </c>
      <c r="I19" s="1">
        <v>0</v>
      </c>
      <c r="J19" s="1" t="s">
        <v>19</v>
      </c>
      <c r="K19" s="1" t="s">
        <v>20</v>
      </c>
      <c r="L19" s="1" t="s">
        <v>18</v>
      </c>
      <c r="M19" s="1">
        <v>22.4</v>
      </c>
      <c r="N19" s="1">
        <v>22.4</v>
      </c>
      <c r="O19" s="2">
        <f t="shared" si="0"/>
        <v>0</v>
      </c>
      <c r="P19" s="4">
        <v>18.78</v>
      </c>
      <c r="Q19" s="5">
        <v>6.8999943323433399E-6</v>
      </c>
    </row>
    <row r="20" spans="1:17">
      <c r="A20" s="1" t="s">
        <v>38</v>
      </c>
      <c r="B20" s="1">
        <v>10</v>
      </c>
      <c r="C20" s="1">
        <v>4</v>
      </c>
      <c r="D20" s="1" t="s">
        <v>17</v>
      </c>
      <c r="E20" s="1">
        <v>10</v>
      </c>
      <c r="F20" s="1">
        <v>6</v>
      </c>
      <c r="G20" s="1" t="s">
        <v>17</v>
      </c>
      <c r="H20" s="1">
        <v>-4</v>
      </c>
      <c r="I20" s="1">
        <v>2</v>
      </c>
      <c r="J20" s="1" t="s">
        <v>19</v>
      </c>
      <c r="K20" s="1" t="s">
        <v>20</v>
      </c>
      <c r="L20" s="1" t="s">
        <v>17</v>
      </c>
      <c r="M20" s="1">
        <v>145.599996</v>
      </c>
      <c r="N20" s="1">
        <v>145.6</v>
      </c>
      <c r="O20" s="2">
        <f t="shared" si="0"/>
        <v>2.7472528157905793E-8</v>
      </c>
      <c r="P20" s="4">
        <v>19.37</v>
      </c>
      <c r="Q20" s="5">
        <v>6.9999950937926769E-6</v>
      </c>
    </row>
    <row r="21" spans="1:17">
      <c r="A21" s="1" t="s">
        <v>39</v>
      </c>
      <c r="B21" s="1">
        <v>16</v>
      </c>
      <c r="C21" s="1">
        <v>1</v>
      </c>
      <c r="D21" s="1" t="s">
        <v>18</v>
      </c>
      <c r="E21" s="1">
        <v>16</v>
      </c>
      <c r="F21" s="1">
        <v>6</v>
      </c>
      <c r="G21" s="1" t="s">
        <v>18</v>
      </c>
      <c r="H21" s="1">
        <v>3</v>
      </c>
      <c r="I21" s="1">
        <v>2</v>
      </c>
      <c r="J21" s="1" t="s">
        <v>19</v>
      </c>
      <c r="K21" s="1" t="s">
        <v>20</v>
      </c>
      <c r="L21" s="1" t="s">
        <v>18</v>
      </c>
      <c r="M21" s="1">
        <v>109.760002</v>
      </c>
      <c r="N21" s="1">
        <v>109.76</v>
      </c>
      <c r="O21" s="2">
        <f t="shared" si="0"/>
        <v>1.8221573965992506E-8</v>
      </c>
      <c r="P21" s="4">
        <v>19.350000000000001</v>
      </c>
      <c r="Q21" s="5">
        <v>8.300004992634058E-6</v>
      </c>
    </row>
    <row r="22" spans="1:17">
      <c r="A22" s="1" t="s">
        <v>40</v>
      </c>
      <c r="B22" s="1">
        <v>16</v>
      </c>
      <c r="C22" s="1">
        <v>6</v>
      </c>
      <c r="D22" s="1" t="s">
        <v>18</v>
      </c>
      <c r="E22" s="1">
        <v>5</v>
      </c>
      <c r="F22" s="1">
        <v>1</v>
      </c>
      <c r="G22" s="1" t="s">
        <v>18</v>
      </c>
      <c r="H22" s="1">
        <v>-3</v>
      </c>
      <c r="I22" s="1">
        <v>3</v>
      </c>
      <c r="J22" s="1" t="s">
        <v>19</v>
      </c>
      <c r="K22" s="1" t="s">
        <v>20</v>
      </c>
      <c r="L22" s="1" t="s">
        <v>17</v>
      </c>
      <c r="M22" s="1">
        <v>106.399997</v>
      </c>
      <c r="N22" s="1">
        <v>106.4</v>
      </c>
      <c r="O22" s="2">
        <f t="shared" si="0"/>
        <v>2.8195489579164018E-8</v>
      </c>
      <c r="P22" s="4">
        <v>19.52</v>
      </c>
      <c r="Q22" s="5">
        <v>6.7999935708940029E-6</v>
      </c>
    </row>
    <row r="23" spans="1:17">
      <c r="A23" s="1" t="s">
        <v>41</v>
      </c>
      <c r="B23" s="1">
        <v>16</v>
      </c>
      <c r="C23" s="1">
        <v>2</v>
      </c>
      <c r="D23" s="1" t="s">
        <v>17</v>
      </c>
      <c r="E23" s="1">
        <v>5</v>
      </c>
      <c r="F23" s="1">
        <v>4</v>
      </c>
      <c r="G23" s="1" t="s">
        <v>17</v>
      </c>
      <c r="H23" s="1">
        <v>3</v>
      </c>
      <c r="I23" s="1">
        <v>1</v>
      </c>
      <c r="J23" s="1" t="s">
        <v>19</v>
      </c>
      <c r="K23" s="1" t="s">
        <v>20</v>
      </c>
      <c r="L23" s="1" t="s">
        <v>17</v>
      </c>
      <c r="M23" s="1">
        <v>4.2</v>
      </c>
      <c r="N23" s="1">
        <v>4.2</v>
      </c>
      <c r="O23" s="2">
        <f t="shared" si="0"/>
        <v>0</v>
      </c>
      <c r="P23" s="4">
        <v>19.329999999999998</v>
      </c>
      <c r="Q23" s="5">
        <v>2.8999638743698601E-6</v>
      </c>
    </row>
    <row r="24" spans="1:17">
      <c r="A24" s="1" t="s">
        <v>42</v>
      </c>
      <c r="B24" s="1">
        <v>16</v>
      </c>
      <c r="C24" s="1">
        <v>4</v>
      </c>
      <c r="D24" s="1" t="s">
        <v>17</v>
      </c>
      <c r="E24" s="1">
        <v>9</v>
      </c>
      <c r="F24" s="1">
        <v>0</v>
      </c>
      <c r="G24" s="1" t="s">
        <v>17</v>
      </c>
      <c r="H24" s="1">
        <v>-3</v>
      </c>
      <c r="I24" s="1">
        <v>3</v>
      </c>
      <c r="J24" s="1" t="s">
        <v>19</v>
      </c>
      <c r="K24" s="1" t="s">
        <v>20</v>
      </c>
      <c r="L24" s="1" t="s">
        <v>18</v>
      </c>
      <c r="M24" s="1">
        <v>168.840003</v>
      </c>
      <c r="N24" s="1">
        <v>168.84</v>
      </c>
      <c r="O24" s="2">
        <f t="shared" si="0"/>
        <v>1.7768300989817728E-8</v>
      </c>
      <c r="P24" s="4">
        <v>19.34</v>
      </c>
      <c r="Q24" s="5">
        <v>7.0999958552420139E-6</v>
      </c>
    </row>
    <row r="25" spans="1:17">
      <c r="A25" s="1" t="s">
        <v>43</v>
      </c>
      <c r="B25" s="1">
        <v>14</v>
      </c>
      <c r="C25" s="1">
        <v>2</v>
      </c>
      <c r="D25" s="1" t="s">
        <v>18</v>
      </c>
      <c r="E25" s="1">
        <v>6</v>
      </c>
      <c r="F25" s="1">
        <v>2</v>
      </c>
      <c r="G25" s="1" t="s">
        <v>18</v>
      </c>
      <c r="H25" s="1">
        <v>0</v>
      </c>
      <c r="I25" s="1">
        <v>1</v>
      </c>
      <c r="J25" s="1" t="s">
        <v>19</v>
      </c>
      <c r="K25" s="1" t="s">
        <v>20</v>
      </c>
      <c r="L25" s="1" t="s">
        <v>18</v>
      </c>
      <c r="M25" s="1">
        <v>42.000000999999997</v>
      </c>
      <c r="N25" s="1">
        <v>42</v>
      </c>
      <c r="O25" s="2">
        <f t="shared" si="0"/>
        <v>2.3809523182517134E-8</v>
      </c>
      <c r="P25" s="4">
        <v>19.16</v>
      </c>
      <c r="Q25" s="5">
        <v>6.7999935708940029E-6</v>
      </c>
    </row>
    <row r="26" spans="1:17">
      <c r="A26" s="1" t="s">
        <v>44</v>
      </c>
      <c r="B26" s="1">
        <v>9</v>
      </c>
      <c r="C26" s="1">
        <v>6</v>
      </c>
      <c r="D26" s="1" t="s">
        <v>17</v>
      </c>
      <c r="E26" s="1">
        <v>5</v>
      </c>
      <c r="F26" s="1">
        <v>2</v>
      </c>
      <c r="G26" s="1" t="s">
        <v>17</v>
      </c>
      <c r="H26" s="1">
        <v>-3</v>
      </c>
      <c r="I26" s="1">
        <v>4</v>
      </c>
      <c r="J26" s="1" t="s">
        <v>19</v>
      </c>
      <c r="K26" s="1" t="s">
        <v>20</v>
      </c>
      <c r="L26" s="1" t="s">
        <v>18</v>
      </c>
      <c r="M26" s="1">
        <v>123.200002</v>
      </c>
      <c r="N26" s="1">
        <v>123.2</v>
      </c>
      <c r="O26" s="2">
        <f t="shared" si="0"/>
        <v>1.6233765929244754E-8</v>
      </c>
      <c r="P26" s="4">
        <v>19.13</v>
      </c>
      <c r="Q26" s="5">
        <v>6.8000517785549164E-6</v>
      </c>
    </row>
    <row r="27" spans="1:17">
      <c r="A27" s="1" t="s">
        <v>45</v>
      </c>
      <c r="B27" s="1">
        <v>12</v>
      </c>
      <c r="C27" s="1">
        <v>8</v>
      </c>
      <c r="D27" s="1" t="s">
        <v>18</v>
      </c>
      <c r="E27" s="1">
        <v>10</v>
      </c>
      <c r="F27" s="1">
        <v>1</v>
      </c>
      <c r="G27" s="1" t="s">
        <v>18</v>
      </c>
      <c r="H27" s="1">
        <v>-1</v>
      </c>
      <c r="I27" s="1">
        <v>2</v>
      </c>
      <c r="J27" s="1" t="s">
        <v>19</v>
      </c>
      <c r="K27" s="1" t="s">
        <v>20</v>
      </c>
      <c r="L27" s="1" t="s">
        <v>17</v>
      </c>
      <c r="M27" s="1">
        <v>63.279997999999999</v>
      </c>
      <c r="N27" s="1">
        <v>63.28</v>
      </c>
      <c r="O27" s="2">
        <f t="shared" si="0"/>
        <v>3.1605563610414666E-8</v>
      </c>
      <c r="P27" s="4">
        <v>19.32</v>
      </c>
      <c r="Q27" s="5">
        <v>6.9999950937926769E-6</v>
      </c>
    </row>
    <row r="28" spans="1:17">
      <c r="A28" s="1" t="s">
        <v>46</v>
      </c>
      <c r="B28" s="1">
        <v>16</v>
      </c>
      <c r="C28" s="1">
        <v>3</v>
      </c>
      <c r="D28" s="1" t="s">
        <v>18</v>
      </c>
      <c r="E28" s="1">
        <v>12</v>
      </c>
      <c r="F28" s="1">
        <v>1</v>
      </c>
      <c r="G28" s="1" t="s">
        <v>18</v>
      </c>
      <c r="H28" s="1">
        <v>-2</v>
      </c>
      <c r="I28" s="1">
        <v>4</v>
      </c>
      <c r="J28" s="1" t="s">
        <v>19</v>
      </c>
      <c r="K28" s="1" t="s">
        <v>20</v>
      </c>
      <c r="L28" s="1" t="s">
        <v>18</v>
      </c>
      <c r="M28" s="1">
        <v>295.68000599999999</v>
      </c>
      <c r="N28" s="1">
        <v>295.68</v>
      </c>
      <c r="O28" s="2">
        <f t="shared" si="0"/>
        <v>2.0292207329201205E-8</v>
      </c>
      <c r="P28" s="4">
        <v>19.579999999999998</v>
      </c>
      <c r="Q28" s="5">
        <v>8.000002708286047E-6</v>
      </c>
    </row>
    <row r="29" spans="1:17">
      <c r="A29" s="1" t="s">
        <v>47</v>
      </c>
      <c r="B29" s="1">
        <v>8</v>
      </c>
      <c r="C29" s="1">
        <v>6</v>
      </c>
      <c r="D29" s="1" t="s">
        <v>18</v>
      </c>
      <c r="E29" s="1">
        <v>12</v>
      </c>
      <c r="F29" s="1">
        <v>1</v>
      </c>
      <c r="G29" s="1" t="s">
        <v>18</v>
      </c>
      <c r="H29" s="1">
        <v>2</v>
      </c>
      <c r="I29" s="1">
        <v>0</v>
      </c>
      <c r="J29" s="1" t="s">
        <v>19</v>
      </c>
      <c r="K29" s="1" t="s">
        <v>20</v>
      </c>
      <c r="L29" s="1" t="s">
        <v>18</v>
      </c>
      <c r="M29" s="1">
        <v>17.079999999999998</v>
      </c>
      <c r="N29" s="1">
        <v>17.079999999999998</v>
      </c>
      <c r="O29" s="2">
        <f t="shared" si="0"/>
        <v>0</v>
      </c>
      <c r="P29" s="4">
        <v>19.11</v>
      </c>
      <c r="Q29" s="5">
        <v>6.9999950937926769E-6</v>
      </c>
    </row>
    <row r="30" spans="1:17">
      <c r="A30" s="1" t="s">
        <v>48</v>
      </c>
      <c r="B30" s="1">
        <v>6</v>
      </c>
      <c r="C30" s="1">
        <v>2</v>
      </c>
      <c r="D30" s="1" t="s">
        <v>18</v>
      </c>
      <c r="E30" s="1">
        <v>9</v>
      </c>
      <c r="F30" s="1">
        <v>3</v>
      </c>
      <c r="G30" s="1" t="s">
        <v>18</v>
      </c>
      <c r="H30" s="1">
        <v>-2</v>
      </c>
      <c r="I30" s="1">
        <v>1</v>
      </c>
      <c r="J30" s="1" t="s">
        <v>19</v>
      </c>
      <c r="K30" s="1" t="s">
        <v>20</v>
      </c>
      <c r="L30" s="1" t="s">
        <v>18</v>
      </c>
      <c r="M30" s="1">
        <v>38.36</v>
      </c>
      <c r="N30" s="1">
        <v>38.36</v>
      </c>
      <c r="O30" s="2">
        <f t="shared" si="0"/>
        <v>0</v>
      </c>
      <c r="P30" s="4">
        <v>19.010000000000002</v>
      </c>
      <c r="Q30" s="5">
        <v>6.9999950937926769E-6</v>
      </c>
    </row>
    <row r="31" spans="1:17">
      <c r="A31" s="1" t="s">
        <v>49</v>
      </c>
      <c r="B31" s="1">
        <v>12</v>
      </c>
      <c r="C31" s="1">
        <v>1</v>
      </c>
      <c r="D31" s="1" t="s">
        <v>17</v>
      </c>
      <c r="E31" s="1">
        <v>8</v>
      </c>
      <c r="F31" s="1">
        <v>2</v>
      </c>
      <c r="G31" s="1" t="s">
        <v>17</v>
      </c>
      <c r="H31" s="1">
        <v>4</v>
      </c>
      <c r="I31" s="1">
        <v>6</v>
      </c>
      <c r="J31" s="1" t="s">
        <v>19</v>
      </c>
      <c r="K31" s="1" t="s">
        <v>20</v>
      </c>
      <c r="L31" s="1" t="s">
        <v>17</v>
      </c>
      <c r="M31" s="1">
        <v>132.99999600000001</v>
      </c>
      <c r="N31" s="1">
        <v>128.52000000000001</v>
      </c>
      <c r="O31" s="2">
        <f t="shared" si="0"/>
        <v>3.3684181464185906E-2</v>
      </c>
      <c r="P31" s="4">
        <v>19.39</v>
      </c>
      <c r="Q31" s="5">
        <v>7.599999662488699E-6</v>
      </c>
    </row>
    <row r="32" spans="1:17">
      <c r="A32" s="1" t="s">
        <v>50</v>
      </c>
      <c r="B32" s="1">
        <v>8</v>
      </c>
      <c r="C32" s="1">
        <v>3</v>
      </c>
      <c r="D32" s="1" t="s">
        <v>18</v>
      </c>
      <c r="E32" s="1">
        <v>16</v>
      </c>
      <c r="F32" s="1">
        <v>0</v>
      </c>
      <c r="G32" s="1" t="s">
        <v>18</v>
      </c>
      <c r="H32" s="1">
        <v>-2</v>
      </c>
      <c r="I32" s="1">
        <v>6</v>
      </c>
      <c r="J32" s="1" t="s">
        <v>19</v>
      </c>
      <c r="K32" s="1" t="s">
        <v>20</v>
      </c>
      <c r="L32" s="1" t="s">
        <v>17</v>
      </c>
      <c r="M32" s="1">
        <v>146.43999600000001</v>
      </c>
      <c r="N32" s="1">
        <v>135.24</v>
      </c>
      <c r="O32" s="2">
        <f t="shared" si="0"/>
        <v>7.6481810338208403E-2</v>
      </c>
      <c r="P32" s="4">
        <v>19.190000000000001</v>
      </c>
      <c r="Q32" s="5">
        <v>6.9999950937926769E-6</v>
      </c>
    </row>
    <row r="33" spans="1:17">
      <c r="A33" s="1" t="s">
        <v>51</v>
      </c>
      <c r="B33" s="1">
        <v>14</v>
      </c>
      <c r="C33" s="1">
        <v>3</v>
      </c>
      <c r="D33" s="1" t="s">
        <v>18</v>
      </c>
      <c r="E33" s="1">
        <v>12</v>
      </c>
      <c r="F33" s="1">
        <v>3</v>
      </c>
      <c r="G33" s="1" t="s">
        <v>18</v>
      </c>
      <c r="H33" s="1">
        <v>3</v>
      </c>
      <c r="I33" s="1">
        <v>3</v>
      </c>
      <c r="J33" s="1" t="s">
        <v>19</v>
      </c>
      <c r="K33" s="1" t="s">
        <v>20</v>
      </c>
      <c r="L33" s="1" t="s">
        <v>17</v>
      </c>
      <c r="M33" s="1">
        <v>194.03999400000001</v>
      </c>
      <c r="N33" s="1">
        <v>194.04</v>
      </c>
      <c r="O33" s="2">
        <f t="shared" si="0"/>
        <v>3.0921460370955568E-8</v>
      </c>
      <c r="P33" s="4">
        <v>19.13</v>
      </c>
      <c r="Q33" s="5">
        <v>8.0999452620744705E-6</v>
      </c>
    </row>
    <row r="34" spans="1:17">
      <c r="A34" s="1" t="s">
        <v>52</v>
      </c>
      <c r="B34" s="1">
        <v>10</v>
      </c>
      <c r="C34" s="1">
        <v>1</v>
      </c>
      <c r="D34" s="1" t="s">
        <v>17</v>
      </c>
      <c r="E34" s="1">
        <v>8</v>
      </c>
      <c r="F34" s="1">
        <v>4</v>
      </c>
      <c r="G34" s="1" t="s">
        <v>17</v>
      </c>
      <c r="H34" s="1">
        <v>-3</v>
      </c>
      <c r="I34" s="1">
        <v>4</v>
      </c>
      <c r="J34" s="1" t="s">
        <v>19</v>
      </c>
      <c r="K34" s="1" t="s">
        <v>20</v>
      </c>
      <c r="L34" s="1" t="s">
        <v>17</v>
      </c>
      <c r="M34" s="1">
        <v>223.99999299999999</v>
      </c>
      <c r="N34" s="1">
        <v>224</v>
      </c>
      <c r="O34" s="2">
        <f t="shared" ref="O34:O65" si="1">ABS(N34-M34)/M34</f>
        <v>3.1250001024546501E-8</v>
      </c>
      <c r="P34" s="4">
        <v>19.8</v>
      </c>
      <c r="Q34" s="5">
        <v>6.8999943323433399E-6</v>
      </c>
    </row>
    <row r="35" spans="1:17">
      <c r="A35" s="1" t="s">
        <v>53</v>
      </c>
      <c r="B35" s="1">
        <v>9</v>
      </c>
      <c r="C35" s="1">
        <v>4</v>
      </c>
      <c r="D35" s="1" t="s">
        <v>17</v>
      </c>
      <c r="E35" s="1">
        <v>16</v>
      </c>
      <c r="F35" s="1">
        <v>0</v>
      </c>
      <c r="G35" s="1" t="s">
        <v>17</v>
      </c>
      <c r="H35" s="1">
        <v>-2</v>
      </c>
      <c r="I35" s="1">
        <v>1</v>
      </c>
      <c r="J35" s="1" t="s">
        <v>19</v>
      </c>
      <c r="K35" s="1" t="s">
        <v>20</v>
      </c>
      <c r="L35" s="1" t="s">
        <v>17</v>
      </c>
      <c r="M35" s="1">
        <v>125.43999700000001</v>
      </c>
      <c r="N35" s="1">
        <v>125.44</v>
      </c>
      <c r="O35" s="2">
        <f t="shared" si="1"/>
        <v>2.3915816838115263E-8</v>
      </c>
      <c r="P35" s="4">
        <v>19.52</v>
      </c>
      <c r="Q35" s="5">
        <v>7.1999966166913509E-6</v>
      </c>
    </row>
    <row r="36" spans="1:17">
      <c r="A36" s="1" t="s">
        <v>54</v>
      </c>
      <c r="B36" s="1">
        <v>8</v>
      </c>
      <c r="C36" s="1">
        <v>2</v>
      </c>
      <c r="D36" s="1" t="s">
        <v>18</v>
      </c>
      <c r="E36" s="1">
        <v>16</v>
      </c>
      <c r="F36" s="1">
        <v>8</v>
      </c>
      <c r="G36" s="1" t="s">
        <v>18</v>
      </c>
      <c r="H36" s="1">
        <v>3</v>
      </c>
      <c r="I36" s="1">
        <v>0</v>
      </c>
      <c r="J36" s="1" t="s">
        <v>19</v>
      </c>
      <c r="K36" s="1" t="s">
        <v>20</v>
      </c>
      <c r="L36" s="1" t="s">
        <v>18</v>
      </c>
      <c r="M36" s="1">
        <v>23.24</v>
      </c>
      <c r="N36" s="1">
        <v>23.24</v>
      </c>
      <c r="O36" s="2">
        <f t="shared" si="1"/>
        <v>0</v>
      </c>
      <c r="P36" s="4">
        <v>18.559999999999999</v>
      </c>
      <c r="Q36" s="5">
        <v>6.6999928094446659E-6</v>
      </c>
    </row>
    <row r="37" spans="1:17">
      <c r="A37" s="1" t="s">
        <v>55</v>
      </c>
      <c r="B37" s="1">
        <v>16</v>
      </c>
      <c r="C37" s="1">
        <v>8</v>
      </c>
      <c r="D37" s="1" t="s">
        <v>17</v>
      </c>
      <c r="E37" s="1">
        <v>9</v>
      </c>
      <c r="F37" s="1">
        <v>1</v>
      </c>
      <c r="G37" s="1" t="s">
        <v>17</v>
      </c>
      <c r="H37" s="1">
        <v>4</v>
      </c>
      <c r="I37" s="1">
        <v>3</v>
      </c>
      <c r="J37" s="1" t="s">
        <v>19</v>
      </c>
      <c r="K37" s="1" t="s">
        <v>20</v>
      </c>
      <c r="L37" s="1" t="s">
        <v>17</v>
      </c>
      <c r="M37" s="1">
        <v>195.99999399999999</v>
      </c>
      <c r="N37" s="1">
        <v>191.52</v>
      </c>
      <c r="O37" s="2">
        <f t="shared" si="1"/>
        <v>2.2857112944605379E-2</v>
      </c>
      <c r="P37" s="4">
        <v>19.37</v>
      </c>
      <c r="Q37" s="5">
        <v>7.3999981395900249E-6</v>
      </c>
    </row>
    <row r="38" spans="1:17">
      <c r="A38" s="1" t="s">
        <v>56</v>
      </c>
      <c r="B38" s="1">
        <v>6</v>
      </c>
      <c r="C38" s="1">
        <v>1</v>
      </c>
      <c r="D38" s="1" t="s">
        <v>18</v>
      </c>
      <c r="E38" s="1">
        <v>8</v>
      </c>
      <c r="F38" s="1">
        <v>4</v>
      </c>
      <c r="G38" s="1" t="s">
        <v>18</v>
      </c>
      <c r="H38" s="1">
        <v>1</v>
      </c>
      <c r="I38" s="1">
        <v>2</v>
      </c>
      <c r="J38" s="1" t="s">
        <v>19</v>
      </c>
      <c r="K38" s="1" t="s">
        <v>20</v>
      </c>
      <c r="L38" s="1" t="s">
        <v>18</v>
      </c>
      <c r="M38" s="1">
        <v>54.880001</v>
      </c>
      <c r="N38" s="1">
        <v>54.88</v>
      </c>
      <c r="O38" s="2">
        <f t="shared" si="1"/>
        <v>1.8221573965992506E-8</v>
      </c>
      <c r="P38" s="4">
        <v>18.920000000000002</v>
      </c>
      <c r="Q38" s="5">
        <v>7.2999973781406879E-6</v>
      </c>
    </row>
    <row r="39" spans="1:17">
      <c r="A39" s="1" t="s">
        <v>57</v>
      </c>
      <c r="B39" s="1">
        <v>12</v>
      </c>
      <c r="C39" s="1">
        <v>6</v>
      </c>
      <c r="D39" s="1" t="s">
        <v>18</v>
      </c>
      <c r="E39" s="1">
        <v>10</v>
      </c>
      <c r="F39" s="1">
        <v>8</v>
      </c>
      <c r="G39" s="1" t="s">
        <v>18</v>
      </c>
      <c r="H39" s="1">
        <v>2</v>
      </c>
      <c r="I39" s="1">
        <v>0</v>
      </c>
      <c r="J39" s="1" t="s">
        <v>19</v>
      </c>
      <c r="K39" s="1" t="s">
        <v>20</v>
      </c>
      <c r="L39" s="1" t="s">
        <v>17</v>
      </c>
      <c r="M39" s="1">
        <v>16.8</v>
      </c>
      <c r="N39" s="1">
        <v>16.8</v>
      </c>
      <c r="O39" s="2">
        <f t="shared" si="1"/>
        <v>0</v>
      </c>
      <c r="P39" s="4">
        <v>18.989999999999998</v>
      </c>
      <c r="Q39" s="5">
        <v>7.90000194683671E-6</v>
      </c>
    </row>
    <row r="40" spans="1:17">
      <c r="A40" s="1" t="s">
        <v>58</v>
      </c>
      <c r="B40" s="1">
        <v>10</v>
      </c>
      <c r="C40" s="1">
        <v>3</v>
      </c>
      <c r="D40" s="1" t="s">
        <v>18</v>
      </c>
      <c r="E40" s="1">
        <v>5</v>
      </c>
      <c r="F40" s="1">
        <v>4</v>
      </c>
      <c r="G40" s="1" t="s">
        <v>18</v>
      </c>
      <c r="H40" s="1">
        <v>2</v>
      </c>
      <c r="I40" s="1">
        <v>4</v>
      </c>
      <c r="J40" s="1" t="s">
        <v>19</v>
      </c>
      <c r="K40" s="1" t="s">
        <v>20</v>
      </c>
      <c r="L40" s="1" t="s">
        <v>18</v>
      </c>
      <c r="M40" s="1">
        <v>51.800001000000002</v>
      </c>
      <c r="N40" s="1">
        <v>51.8</v>
      </c>
      <c r="O40" s="2">
        <f t="shared" si="1"/>
        <v>1.9305019020765462E-8</v>
      </c>
      <c r="P40" s="4">
        <v>18.91</v>
      </c>
      <c r="Q40" s="5">
        <v>7.0999958552420139E-6</v>
      </c>
    </row>
    <row r="41" spans="1:17">
      <c r="A41" s="1" t="s">
        <v>59</v>
      </c>
      <c r="B41" s="1">
        <v>14</v>
      </c>
      <c r="C41" s="1">
        <v>4</v>
      </c>
      <c r="D41" s="1" t="s">
        <v>17</v>
      </c>
      <c r="E41" s="1">
        <v>8</v>
      </c>
      <c r="F41" s="1">
        <v>3</v>
      </c>
      <c r="G41" s="1" t="s">
        <v>17</v>
      </c>
      <c r="H41" s="1">
        <v>-4</v>
      </c>
      <c r="I41" s="1">
        <v>3</v>
      </c>
      <c r="J41" s="1" t="s">
        <v>19</v>
      </c>
      <c r="K41" s="1" t="s">
        <v>20</v>
      </c>
      <c r="L41" s="1" t="s">
        <v>18</v>
      </c>
      <c r="M41" s="1">
        <v>150.080003</v>
      </c>
      <c r="N41" s="1">
        <v>150.08000000000001</v>
      </c>
      <c r="O41" s="2">
        <f t="shared" si="1"/>
        <v>1.998933856914787E-8</v>
      </c>
      <c r="P41" s="4">
        <v>19.02</v>
      </c>
      <c r="Q41" s="5">
        <v>7.1999966166913509E-6</v>
      </c>
    </row>
    <row r="42" spans="1:17">
      <c r="A42" s="1" t="s">
        <v>60</v>
      </c>
      <c r="B42" s="1">
        <v>9</v>
      </c>
      <c r="C42" s="1">
        <v>6</v>
      </c>
      <c r="D42" s="1" t="s">
        <v>18</v>
      </c>
      <c r="E42" s="1">
        <v>6</v>
      </c>
      <c r="F42" s="1">
        <v>2</v>
      </c>
      <c r="G42" s="1" t="s">
        <v>18</v>
      </c>
      <c r="H42" s="1">
        <v>4</v>
      </c>
      <c r="I42" s="1">
        <v>2</v>
      </c>
      <c r="J42" s="1" t="s">
        <v>19</v>
      </c>
      <c r="K42" s="1" t="s">
        <v>20</v>
      </c>
      <c r="L42" s="1" t="s">
        <v>18</v>
      </c>
      <c r="M42" s="1">
        <v>77.280000999999999</v>
      </c>
      <c r="N42" s="1">
        <v>77.28</v>
      </c>
      <c r="O42" s="2">
        <f t="shared" si="1"/>
        <v>1.2939958392019724E-8</v>
      </c>
      <c r="P42" s="4">
        <v>19.21</v>
      </c>
      <c r="Q42" s="5">
        <v>7.0999958552420139E-6</v>
      </c>
    </row>
    <row r="43" spans="1:17">
      <c r="A43" s="1" t="s">
        <v>61</v>
      </c>
      <c r="B43" s="1">
        <v>6</v>
      </c>
      <c r="C43" s="1">
        <v>1</v>
      </c>
      <c r="D43" s="1" t="s">
        <v>17</v>
      </c>
      <c r="E43" s="1">
        <v>10</v>
      </c>
      <c r="F43" s="1">
        <v>4</v>
      </c>
      <c r="G43" s="1" t="s">
        <v>17</v>
      </c>
      <c r="H43" s="1">
        <v>-3</v>
      </c>
      <c r="I43" s="1">
        <v>4</v>
      </c>
      <c r="J43" s="1" t="s">
        <v>19</v>
      </c>
      <c r="K43" s="1" t="s">
        <v>20</v>
      </c>
      <c r="L43" s="1" t="s">
        <v>18</v>
      </c>
      <c r="M43" s="1">
        <v>246.40000499999999</v>
      </c>
      <c r="N43" s="1">
        <v>246.4</v>
      </c>
      <c r="O43" s="2">
        <f t="shared" si="1"/>
        <v>2.0292207329201205E-8</v>
      </c>
      <c r="P43" s="4">
        <v>19.09</v>
      </c>
      <c r="Q43" s="5">
        <v>7.0999958552420139E-6</v>
      </c>
    </row>
    <row r="44" spans="1:17">
      <c r="A44" s="1" t="s">
        <v>62</v>
      </c>
      <c r="B44" s="1">
        <v>9</v>
      </c>
      <c r="C44" s="1">
        <v>2</v>
      </c>
      <c r="D44" s="1" t="s">
        <v>18</v>
      </c>
      <c r="E44" s="1">
        <v>9</v>
      </c>
      <c r="F44" s="1">
        <v>3</v>
      </c>
      <c r="G44" s="1" t="s">
        <v>18</v>
      </c>
      <c r="H44" s="1">
        <v>3</v>
      </c>
      <c r="I44" s="1">
        <v>1</v>
      </c>
      <c r="J44" s="1" t="s">
        <v>19</v>
      </c>
      <c r="K44" s="1" t="s">
        <v>20</v>
      </c>
      <c r="L44" s="1" t="s">
        <v>17</v>
      </c>
      <c r="M44" s="1">
        <v>42.559998999999998</v>
      </c>
      <c r="N44" s="1">
        <v>42.56</v>
      </c>
      <c r="O44" s="2">
        <f t="shared" si="1"/>
        <v>2.3496241261205623E-8</v>
      </c>
      <c r="P44" s="4">
        <v>18.8</v>
      </c>
      <c r="Q44" s="5">
        <v>7.599999662488699E-6</v>
      </c>
    </row>
    <row r="45" spans="1:17">
      <c r="A45" s="1" t="s">
        <v>63</v>
      </c>
      <c r="B45" s="1">
        <v>8</v>
      </c>
      <c r="C45" s="1">
        <v>4</v>
      </c>
      <c r="D45" s="1" t="s">
        <v>18</v>
      </c>
      <c r="E45" s="1">
        <v>9</v>
      </c>
      <c r="F45" s="1">
        <v>2</v>
      </c>
      <c r="G45" s="1" t="s">
        <v>18</v>
      </c>
      <c r="H45" s="1">
        <v>0</v>
      </c>
      <c r="I45" s="1">
        <v>0</v>
      </c>
      <c r="J45" s="1" t="s">
        <v>19</v>
      </c>
      <c r="K45" s="1" t="s">
        <v>20</v>
      </c>
      <c r="L45" s="1" t="s">
        <v>18</v>
      </c>
      <c r="M45" s="1">
        <v>15.96</v>
      </c>
      <c r="N45" s="1">
        <v>15.96</v>
      </c>
      <c r="O45" s="2">
        <f t="shared" si="1"/>
        <v>0</v>
      </c>
      <c r="P45" s="4">
        <v>19.190000000000001</v>
      </c>
      <c r="Q45" s="5">
        <v>7.3999981395900249E-6</v>
      </c>
    </row>
    <row r="46" spans="1:17">
      <c r="A46" s="1" t="s">
        <v>64</v>
      </c>
      <c r="B46" s="1">
        <v>14</v>
      </c>
      <c r="C46" s="1">
        <v>8</v>
      </c>
      <c r="D46" s="1" t="s">
        <v>18</v>
      </c>
      <c r="E46" s="1">
        <v>6</v>
      </c>
      <c r="F46" s="1">
        <v>4</v>
      </c>
      <c r="G46" s="1" t="s">
        <v>18</v>
      </c>
      <c r="H46" s="1">
        <v>2</v>
      </c>
      <c r="I46" s="1">
        <v>3</v>
      </c>
      <c r="J46" s="1" t="s">
        <v>19</v>
      </c>
      <c r="K46" s="1" t="s">
        <v>20</v>
      </c>
      <c r="L46" s="1" t="s">
        <v>18</v>
      </c>
      <c r="M46" s="1">
        <v>112.560002</v>
      </c>
      <c r="N46" s="1">
        <v>112.56</v>
      </c>
      <c r="O46" s="2">
        <f t="shared" si="1"/>
        <v>1.7768300989817728E-8</v>
      </c>
      <c r="P46" s="4">
        <v>19.13</v>
      </c>
      <c r="Q46" s="5">
        <v>7.3999981395900249E-6</v>
      </c>
    </row>
    <row r="47" spans="1:17">
      <c r="A47" s="1" t="s">
        <v>65</v>
      </c>
      <c r="B47" s="1">
        <v>9</v>
      </c>
      <c r="C47" s="1">
        <v>3</v>
      </c>
      <c r="D47" s="1" t="s">
        <v>17</v>
      </c>
      <c r="E47" s="1">
        <v>5</v>
      </c>
      <c r="F47" s="1">
        <v>3</v>
      </c>
      <c r="G47" s="1" t="s">
        <v>17</v>
      </c>
      <c r="H47" s="1">
        <v>4</v>
      </c>
      <c r="I47" s="1">
        <v>1</v>
      </c>
      <c r="J47" s="1" t="s">
        <v>19</v>
      </c>
      <c r="K47" s="1" t="s">
        <v>20</v>
      </c>
      <c r="L47" s="1" t="s">
        <v>18</v>
      </c>
      <c r="M47" s="1">
        <v>10.36</v>
      </c>
      <c r="N47" s="1">
        <v>10.36</v>
      </c>
      <c r="O47" s="2">
        <f t="shared" si="1"/>
        <v>0</v>
      </c>
      <c r="P47" s="4">
        <v>19.760000000000002</v>
      </c>
      <c r="Q47" s="5">
        <v>7.2999973781406879E-6</v>
      </c>
    </row>
    <row r="48" spans="1:17">
      <c r="A48" s="1" t="s">
        <v>66</v>
      </c>
      <c r="B48" s="1">
        <v>9</v>
      </c>
      <c r="C48" s="1">
        <v>2</v>
      </c>
      <c r="D48" s="1" t="s">
        <v>17</v>
      </c>
      <c r="E48" s="1">
        <v>6</v>
      </c>
      <c r="F48" s="1">
        <v>1</v>
      </c>
      <c r="G48" s="1" t="s">
        <v>17</v>
      </c>
      <c r="H48" s="1">
        <v>-1</v>
      </c>
      <c r="I48" s="1">
        <v>1</v>
      </c>
      <c r="J48" s="1" t="s">
        <v>19</v>
      </c>
      <c r="K48" s="1" t="s">
        <v>20</v>
      </c>
      <c r="L48" s="1" t="s">
        <v>17</v>
      </c>
      <c r="M48" s="1">
        <v>47.039999000000002</v>
      </c>
      <c r="N48" s="1">
        <v>47.04</v>
      </c>
      <c r="O48" s="2">
        <f t="shared" si="1"/>
        <v>2.1258503799611959E-8</v>
      </c>
      <c r="P48" s="4">
        <v>19.38</v>
      </c>
      <c r="Q48" s="5">
        <v>7.0999958552420139E-6</v>
      </c>
    </row>
    <row r="49" spans="1:17">
      <c r="A49" s="1" t="s">
        <v>67</v>
      </c>
      <c r="B49" s="1">
        <v>10</v>
      </c>
      <c r="C49" s="1">
        <v>2</v>
      </c>
      <c r="D49" s="1" t="s">
        <v>18</v>
      </c>
      <c r="E49" s="1">
        <v>9</v>
      </c>
      <c r="F49" s="1">
        <v>2</v>
      </c>
      <c r="G49" s="1" t="s">
        <v>18</v>
      </c>
      <c r="H49" s="1">
        <v>4</v>
      </c>
      <c r="I49" s="1">
        <v>1</v>
      </c>
      <c r="J49" s="1" t="s">
        <v>19</v>
      </c>
      <c r="K49" s="1" t="s">
        <v>20</v>
      </c>
      <c r="L49" s="1" t="s">
        <v>17</v>
      </c>
      <c r="M49" s="1">
        <v>42.559998999999998</v>
      </c>
      <c r="N49" s="1">
        <v>42.56</v>
      </c>
      <c r="O49" s="2">
        <f t="shared" si="1"/>
        <v>2.3496241261205623E-8</v>
      </c>
      <c r="P49" s="4">
        <v>19.260000000000002</v>
      </c>
      <c r="Q49" s="5">
        <v>7.599999662488699E-6</v>
      </c>
    </row>
    <row r="50" spans="1:17">
      <c r="A50" s="1" t="s">
        <v>68</v>
      </c>
      <c r="B50" s="1">
        <v>6</v>
      </c>
      <c r="C50" s="1">
        <v>4</v>
      </c>
      <c r="D50" s="1" t="s">
        <v>18</v>
      </c>
      <c r="E50" s="1">
        <v>9</v>
      </c>
      <c r="F50" s="1">
        <v>8</v>
      </c>
      <c r="G50" s="1" t="s">
        <v>18</v>
      </c>
      <c r="H50" s="1">
        <v>1</v>
      </c>
      <c r="I50" s="1">
        <v>1</v>
      </c>
      <c r="J50" s="1" t="s">
        <v>19</v>
      </c>
      <c r="K50" s="1" t="s">
        <v>20</v>
      </c>
      <c r="L50" s="1" t="s">
        <v>18</v>
      </c>
      <c r="M50" s="1">
        <v>32.200000000000003</v>
      </c>
      <c r="N50" s="1">
        <v>32.200000000000003</v>
      </c>
      <c r="O50" s="2">
        <f t="shared" si="1"/>
        <v>0</v>
      </c>
      <c r="P50" s="4">
        <v>19.61</v>
      </c>
      <c r="Q50" s="5">
        <v>7.499998901039362E-6</v>
      </c>
    </row>
    <row r="51" spans="1:17">
      <c r="A51" s="1" t="s">
        <v>69</v>
      </c>
      <c r="B51" s="1">
        <v>14</v>
      </c>
      <c r="C51" s="1">
        <v>2</v>
      </c>
      <c r="D51" s="1" t="s">
        <v>17</v>
      </c>
      <c r="E51" s="1">
        <v>12</v>
      </c>
      <c r="F51" s="1">
        <v>0</v>
      </c>
      <c r="G51" s="1" t="s">
        <v>17</v>
      </c>
      <c r="H51" s="1">
        <v>4</v>
      </c>
      <c r="I51" s="1">
        <v>0</v>
      </c>
      <c r="J51" s="1" t="s">
        <v>19</v>
      </c>
      <c r="K51" s="1" t="s">
        <v>20</v>
      </c>
      <c r="L51" s="1" t="s">
        <v>17</v>
      </c>
      <c r="M51" s="1">
        <v>24.08</v>
      </c>
      <c r="N51" s="1">
        <v>24.08</v>
      </c>
      <c r="O51" s="2">
        <f t="shared" si="1"/>
        <v>0</v>
      </c>
      <c r="P51" s="4">
        <v>19.36</v>
      </c>
      <c r="Q51" s="5">
        <v>7.499998901039362E-6</v>
      </c>
    </row>
    <row r="52" spans="1:17">
      <c r="A52" s="1" t="s">
        <v>70</v>
      </c>
      <c r="B52" s="1">
        <v>8</v>
      </c>
      <c r="C52" s="1">
        <v>2</v>
      </c>
      <c r="D52" s="1" t="s">
        <v>17</v>
      </c>
      <c r="E52" s="1">
        <v>16</v>
      </c>
      <c r="F52" s="1">
        <v>3</v>
      </c>
      <c r="G52" s="1" t="s">
        <v>17</v>
      </c>
      <c r="H52" s="1">
        <v>1</v>
      </c>
      <c r="I52" s="1">
        <v>3</v>
      </c>
      <c r="J52" s="1" t="s">
        <v>19</v>
      </c>
      <c r="K52" s="1" t="s">
        <v>20</v>
      </c>
      <c r="L52" s="1" t="s">
        <v>17</v>
      </c>
      <c r="M52" s="1">
        <v>304.07999100000001</v>
      </c>
      <c r="N52" s="1">
        <v>299.60000000000002</v>
      </c>
      <c r="O52" s="2">
        <f t="shared" si="1"/>
        <v>1.4732935847791392E-2</v>
      </c>
      <c r="P52" s="4">
        <v>19.3</v>
      </c>
      <c r="Q52" s="5">
        <v>7.2999973781406879E-6</v>
      </c>
    </row>
    <row r="53" spans="1:17">
      <c r="A53" s="1" t="s">
        <v>71</v>
      </c>
      <c r="B53" s="1">
        <v>12</v>
      </c>
      <c r="C53" s="1">
        <v>2</v>
      </c>
      <c r="D53" s="1" t="s">
        <v>17</v>
      </c>
      <c r="E53" s="1">
        <v>16</v>
      </c>
      <c r="F53" s="1">
        <v>2</v>
      </c>
      <c r="G53" s="1" t="s">
        <v>17</v>
      </c>
      <c r="H53" s="1">
        <v>3</v>
      </c>
      <c r="I53" s="1">
        <v>6</v>
      </c>
      <c r="J53" s="1" t="s">
        <v>19</v>
      </c>
      <c r="K53" s="1" t="s">
        <v>20</v>
      </c>
      <c r="L53" s="1" t="s">
        <v>18</v>
      </c>
      <c r="M53" s="1">
        <v>475.720009</v>
      </c>
      <c r="N53" s="1">
        <v>475.72</v>
      </c>
      <c r="O53" s="2">
        <f t="shared" si="1"/>
        <v>1.8918691261685366E-8</v>
      </c>
      <c r="P53" s="4">
        <v>19.28</v>
      </c>
      <c r="Q53" s="5">
        <v>7.599999662488699E-6</v>
      </c>
    </row>
    <row r="54" spans="1:17">
      <c r="A54" s="1" t="s">
        <v>72</v>
      </c>
      <c r="B54" s="1">
        <v>16</v>
      </c>
      <c r="C54" s="1">
        <v>1</v>
      </c>
      <c r="D54" s="1" t="s">
        <v>17</v>
      </c>
      <c r="E54" s="1">
        <v>12</v>
      </c>
      <c r="F54" s="1">
        <v>6</v>
      </c>
      <c r="G54" s="1" t="s">
        <v>17</v>
      </c>
      <c r="H54" s="1">
        <v>-3</v>
      </c>
      <c r="I54" s="1">
        <v>1</v>
      </c>
      <c r="J54" s="1" t="s">
        <v>19</v>
      </c>
      <c r="K54" s="1" t="s">
        <v>20</v>
      </c>
      <c r="L54" s="1" t="s">
        <v>17</v>
      </c>
      <c r="M54" s="1">
        <v>80.079998000000003</v>
      </c>
      <c r="N54" s="1">
        <v>80.08</v>
      </c>
      <c r="O54" s="2">
        <f t="shared" si="1"/>
        <v>2.4975025535720984E-8</v>
      </c>
      <c r="P54" s="4">
        <v>19.690000000000001</v>
      </c>
      <c r="Q54" s="5">
        <v>7.599999662488699E-6</v>
      </c>
    </row>
    <row r="55" spans="1:17">
      <c r="A55" s="1" t="s">
        <v>73</v>
      </c>
      <c r="B55" s="1">
        <v>12</v>
      </c>
      <c r="C55" s="1">
        <v>4</v>
      </c>
      <c r="D55" s="1" t="s">
        <v>18</v>
      </c>
      <c r="E55" s="1">
        <v>6</v>
      </c>
      <c r="F55" s="1">
        <v>3</v>
      </c>
      <c r="G55" s="1" t="s">
        <v>18</v>
      </c>
      <c r="H55" s="1">
        <v>-4</v>
      </c>
      <c r="I55" s="1">
        <v>1</v>
      </c>
      <c r="J55" s="1" t="s">
        <v>19</v>
      </c>
      <c r="K55" s="1" t="s">
        <v>20</v>
      </c>
      <c r="L55" s="1" t="s">
        <v>18</v>
      </c>
      <c r="M55" s="1">
        <v>42.000000999999997</v>
      </c>
      <c r="N55" s="1">
        <v>42</v>
      </c>
      <c r="O55" s="2">
        <f t="shared" si="1"/>
        <v>2.3809523182517134E-8</v>
      </c>
      <c r="P55" s="4">
        <v>19.32</v>
      </c>
      <c r="Q55" s="5">
        <v>6.9999950937926769E-6</v>
      </c>
    </row>
    <row r="56" spans="1:17">
      <c r="A56" s="1" t="s">
        <v>74</v>
      </c>
      <c r="B56" s="1">
        <v>10</v>
      </c>
      <c r="C56" s="1">
        <v>6</v>
      </c>
      <c r="D56" s="1" t="s">
        <v>17</v>
      </c>
      <c r="E56" s="1">
        <v>8</v>
      </c>
      <c r="F56" s="1">
        <v>4</v>
      </c>
      <c r="G56" s="1" t="s">
        <v>17</v>
      </c>
      <c r="H56" s="1">
        <v>-1</v>
      </c>
      <c r="I56" s="1">
        <v>2</v>
      </c>
      <c r="J56" s="1" t="s">
        <v>19</v>
      </c>
      <c r="K56" s="1" t="s">
        <v>20</v>
      </c>
      <c r="L56" s="1" t="s">
        <v>18</v>
      </c>
      <c r="M56" s="1">
        <v>103.040002</v>
      </c>
      <c r="N56" s="1">
        <v>103.04</v>
      </c>
      <c r="O56" s="2">
        <f t="shared" si="1"/>
        <v>1.9409937462447696E-8</v>
      </c>
      <c r="P56" s="4">
        <v>19.5</v>
      </c>
      <c r="Q56" s="5">
        <v>7.1999966166913509E-6</v>
      </c>
    </row>
    <row r="57" spans="1:17">
      <c r="A57" s="1" t="s">
        <v>75</v>
      </c>
      <c r="B57" s="1">
        <v>10</v>
      </c>
      <c r="C57" s="1">
        <v>4</v>
      </c>
      <c r="D57" s="1" t="s">
        <v>18</v>
      </c>
      <c r="E57" s="1">
        <v>12</v>
      </c>
      <c r="F57" s="1">
        <v>1</v>
      </c>
      <c r="G57" s="1" t="s">
        <v>18</v>
      </c>
      <c r="H57" s="1">
        <v>2</v>
      </c>
      <c r="I57" s="1">
        <v>2</v>
      </c>
      <c r="J57" s="1" t="s">
        <v>19</v>
      </c>
      <c r="K57" s="1" t="s">
        <v>20</v>
      </c>
      <c r="L57" s="1" t="s">
        <v>18</v>
      </c>
      <c r="M57" s="1">
        <v>118.44000200000001</v>
      </c>
      <c r="N57" s="1">
        <v>118.44</v>
      </c>
      <c r="O57" s="2">
        <f t="shared" si="1"/>
        <v>1.6886186891159797E-8</v>
      </c>
      <c r="P57" s="4">
        <v>19.21</v>
      </c>
      <c r="Q57" s="5">
        <v>7.800001185387373E-6</v>
      </c>
    </row>
    <row r="58" spans="1:17">
      <c r="A58" s="1" t="s">
        <v>76</v>
      </c>
      <c r="B58" s="1">
        <v>8</v>
      </c>
      <c r="C58" s="1">
        <v>3</v>
      </c>
      <c r="D58" s="1" t="s">
        <v>17</v>
      </c>
      <c r="E58" s="1">
        <v>16</v>
      </c>
      <c r="F58" s="1">
        <v>8</v>
      </c>
      <c r="G58" s="1" t="s">
        <v>17</v>
      </c>
      <c r="H58" s="1">
        <v>3</v>
      </c>
      <c r="I58" s="1">
        <v>3</v>
      </c>
      <c r="J58" s="1" t="s">
        <v>19</v>
      </c>
      <c r="K58" s="1" t="s">
        <v>20</v>
      </c>
      <c r="L58" s="1" t="s">
        <v>18</v>
      </c>
      <c r="M58" s="1">
        <v>156.800003</v>
      </c>
      <c r="N58" s="1">
        <v>156.80000000000001</v>
      </c>
      <c r="O58" s="2">
        <f t="shared" si="1"/>
        <v>1.9132652646860779E-8</v>
      </c>
      <c r="P58" s="4">
        <v>19.41</v>
      </c>
      <c r="Q58" s="5">
        <v>7.800001185387373E-6</v>
      </c>
    </row>
    <row r="59" spans="1:17">
      <c r="A59" s="1" t="s">
        <v>77</v>
      </c>
      <c r="B59" s="1">
        <v>14</v>
      </c>
      <c r="C59" s="1">
        <v>1</v>
      </c>
      <c r="D59" s="1" t="s">
        <v>17</v>
      </c>
      <c r="E59" s="1">
        <v>9</v>
      </c>
      <c r="F59" s="1">
        <v>8</v>
      </c>
      <c r="G59" s="1" t="s">
        <v>17</v>
      </c>
      <c r="H59" s="1">
        <v>-1</v>
      </c>
      <c r="I59" s="1">
        <v>2</v>
      </c>
      <c r="J59" s="1" t="s">
        <v>19</v>
      </c>
      <c r="K59" s="1" t="s">
        <v>20</v>
      </c>
      <c r="L59" s="1" t="s">
        <v>17</v>
      </c>
      <c r="M59" s="1">
        <v>48.719999000000001</v>
      </c>
      <c r="N59" s="1">
        <v>48.72</v>
      </c>
      <c r="O59" s="2">
        <f t="shared" si="1"/>
        <v>2.0525451929406704E-8</v>
      </c>
      <c r="P59" s="4">
        <v>18.96</v>
      </c>
      <c r="Q59" s="5">
        <v>7.499998901039362E-6</v>
      </c>
    </row>
    <row r="60" spans="1:17">
      <c r="A60" s="1" t="s">
        <v>78</v>
      </c>
      <c r="B60" s="1">
        <v>10</v>
      </c>
      <c r="C60" s="1">
        <v>6</v>
      </c>
      <c r="D60" s="1" t="s">
        <v>18</v>
      </c>
      <c r="E60" s="1">
        <v>16</v>
      </c>
      <c r="F60" s="1">
        <v>0</v>
      </c>
      <c r="G60" s="1" t="s">
        <v>18</v>
      </c>
      <c r="H60" s="1">
        <v>-4</v>
      </c>
      <c r="I60" s="1">
        <v>2</v>
      </c>
      <c r="J60" s="1" t="s">
        <v>19</v>
      </c>
      <c r="K60" s="1" t="s">
        <v>20</v>
      </c>
      <c r="L60" s="1" t="s">
        <v>17</v>
      </c>
      <c r="M60" s="1">
        <v>13.44</v>
      </c>
      <c r="N60" s="1">
        <v>13.44</v>
      </c>
      <c r="O60" s="2">
        <f t="shared" si="1"/>
        <v>0</v>
      </c>
      <c r="P60" s="4">
        <v>18.89</v>
      </c>
      <c r="Q60" s="5">
        <v>2.7000205591320992E-6</v>
      </c>
    </row>
    <row r="61" spans="1:17">
      <c r="A61" s="1" t="s">
        <v>79</v>
      </c>
      <c r="B61" s="1">
        <v>10</v>
      </c>
      <c r="C61" s="1">
        <v>3</v>
      </c>
      <c r="D61" s="1" t="s">
        <v>17</v>
      </c>
      <c r="E61" s="1">
        <v>10</v>
      </c>
      <c r="F61" s="1">
        <v>1</v>
      </c>
      <c r="G61" s="1" t="s">
        <v>17</v>
      </c>
      <c r="H61" s="1">
        <v>2</v>
      </c>
      <c r="I61" s="1">
        <v>3</v>
      </c>
      <c r="J61" s="1" t="s">
        <v>19</v>
      </c>
      <c r="K61" s="1" t="s">
        <v>20</v>
      </c>
      <c r="L61" s="1" t="s">
        <v>18</v>
      </c>
      <c r="M61" s="1">
        <v>187.60000299999999</v>
      </c>
      <c r="N61" s="1">
        <v>187.6</v>
      </c>
      <c r="O61" s="2">
        <f t="shared" si="1"/>
        <v>1.5991470919250085E-8</v>
      </c>
      <c r="P61" s="4">
        <v>19.149999999999999</v>
      </c>
      <c r="Q61" s="5">
        <v>7.1999966166913509E-6</v>
      </c>
    </row>
    <row r="62" spans="1:17">
      <c r="A62" s="1" t="s">
        <v>80</v>
      </c>
      <c r="B62" s="1">
        <v>12</v>
      </c>
      <c r="C62" s="1">
        <v>2</v>
      </c>
      <c r="D62" s="1" t="s">
        <v>18</v>
      </c>
      <c r="E62" s="1">
        <v>10</v>
      </c>
      <c r="F62" s="1">
        <v>2</v>
      </c>
      <c r="G62" s="1" t="s">
        <v>18</v>
      </c>
      <c r="H62" s="1">
        <v>1</v>
      </c>
      <c r="I62" s="1">
        <v>4</v>
      </c>
      <c r="J62" s="1" t="s">
        <v>19</v>
      </c>
      <c r="K62" s="1" t="s">
        <v>20</v>
      </c>
      <c r="L62" s="1" t="s">
        <v>18</v>
      </c>
      <c r="M62" s="1">
        <v>222.60000400000001</v>
      </c>
      <c r="N62" s="1">
        <v>222.6</v>
      </c>
      <c r="O62" s="2">
        <f t="shared" si="1"/>
        <v>1.7969451691127013E-8</v>
      </c>
      <c r="P62" s="4">
        <v>19.059999999999999</v>
      </c>
      <c r="Q62" s="5">
        <v>7.800001185387373E-6</v>
      </c>
    </row>
    <row r="63" spans="1:17">
      <c r="A63" s="1" t="s">
        <v>81</v>
      </c>
      <c r="B63" s="1">
        <v>9</v>
      </c>
      <c r="C63" s="1">
        <v>1</v>
      </c>
      <c r="D63" s="1" t="s">
        <v>18</v>
      </c>
      <c r="E63" s="1">
        <v>10</v>
      </c>
      <c r="F63" s="1">
        <v>2</v>
      </c>
      <c r="G63" s="1" t="s">
        <v>18</v>
      </c>
      <c r="H63" s="1">
        <v>2</v>
      </c>
      <c r="I63" s="1">
        <v>2</v>
      </c>
      <c r="J63" s="1" t="s">
        <v>19</v>
      </c>
      <c r="K63" s="1" t="s">
        <v>20</v>
      </c>
      <c r="L63" s="1" t="s">
        <v>18</v>
      </c>
      <c r="M63" s="1">
        <v>92.680002000000002</v>
      </c>
      <c r="N63" s="1">
        <v>92.68</v>
      </c>
      <c r="O63" s="2">
        <f t="shared" si="1"/>
        <v>2.1579628310220423E-8</v>
      </c>
      <c r="P63" s="4">
        <v>19.23</v>
      </c>
      <c r="Q63" s="5">
        <v>7.700000423938036E-6</v>
      </c>
    </row>
    <row r="64" spans="1:17">
      <c r="A64" s="1" t="s">
        <v>82</v>
      </c>
      <c r="B64" s="1">
        <v>12</v>
      </c>
      <c r="C64" s="1">
        <v>3</v>
      </c>
      <c r="D64" s="1" t="s">
        <v>17</v>
      </c>
      <c r="E64" s="1">
        <v>8</v>
      </c>
      <c r="F64" s="1">
        <v>1</v>
      </c>
      <c r="G64" s="1" t="s">
        <v>17</v>
      </c>
      <c r="H64" s="1">
        <v>0</v>
      </c>
      <c r="I64" s="1">
        <v>6</v>
      </c>
      <c r="J64" s="1" t="s">
        <v>19</v>
      </c>
      <c r="K64" s="1" t="s">
        <v>20</v>
      </c>
      <c r="L64" s="1" t="s">
        <v>17</v>
      </c>
      <c r="M64" s="1">
        <v>335.99999000000003</v>
      </c>
      <c r="N64" s="1">
        <v>331.52</v>
      </c>
      <c r="O64" s="2">
        <f t="shared" si="1"/>
        <v>1.3333303968253222E-2</v>
      </c>
      <c r="P64" s="4">
        <v>19.010000000000002</v>
      </c>
      <c r="Q64" s="5">
        <v>7.0999958552420139E-6</v>
      </c>
    </row>
    <row r="65" spans="1:17">
      <c r="A65" s="1" t="s">
        <v>83</v>
      </c>
      <c r="B65" s="1">
        <v>6</v>
      </c>
      <c r="C65" s="1">
        <v>4</v>
      </c>
      <c r="D65" s="1" t="s">
        <v>17</v>
      </c>
      <c r="E65" s="1">
        <v>10</v>
      </c>
      <c r="F65" s="1">
        <v>3</v>
      </c>
      <c r="G65" s="1" t="s">
        <v>17</v>
      </c>
      <c r="H65" s="1">
        <v>-1</v>
      </c>
      <c r="I65" s="1">
        <v>1</v>
      </c>
      <c r="J65" s="1" t="s">
        <v>19</v>
      </c>
      <c r="K65" s="1" t="s">
        <v>20</v>
      </c>
      <c r="L65" s="1" t="s">
        <v>18</v>
      </c>
      <c r="M65" s="1">
        <v>70.000000999999997</v>
      </c>
      <c r="N65" s="1">
        <v>70</v>
      </c>
      <c r="O65" s="2">
        <f t="shared" si="1"/>
        <v>1.4285714045564696E-8</v>
      </c>
      <c r="P65" s="4">
        <v>19.510000000000002</v>
      </c>
      <c r="Q65" s="5">
        <v>7.0999958552420139E-6</v>
      </c>
    </row>
    <row r="66" spans="1:17">
      <c r="A66" s="1" t="s">
        <v>84</v>
      </c>
      <c r="B66" s="1">
        <v>12</v>
      </c>
      <c r="C66" s="1">
        <v>8</v>
      </c>
      <c r="D66" s="1" t="s">
        <v>17</v>
      </c>
      <c r="E66" s="1">
        <v>12</v>
      </c>
      <c r="F66" s="1">
        <v>1</v>
      </c>
      <c r="G66" s="1" t="s">
        <v>17</v>
      </c>
      <c r="H66" s="1">
        <v>-4</v>
      </c>
      <c r="I66" s="1">
        <v>4</v>
      </c>
      <c r="J66" s="1" t="s">
        <v>19</v>
      </c>
      <c r="K66" s="1" t="s">
        <v>20</v>
      </c>
      <c r="L66" s="1" t="s">
        <v>17</v>
      </c>
      <c r="M66" s="1">
        <v>340.47998999999999</v>
      </c>
      <c r="N66" s="1">
        <v>336</v>
      </c>
      <c r="O66" s="2">
        <f t="shared" ref="O66:O97" si="2">ABS(N66-M66)/M66</f>
        <v>1.3157865752991788E-2</v>
      </c>
      <c r="P66" s="4">
        <v>19.16</v>
      </c>
      <c r="Q66" s="5">
        <v>7.2999973781406879E-6</v>
      </c>
    </row>
    <row r="67" spans="1:17">
      <c r="A67" s="1" t="s">
        <v>85</v>
      </c>
      <c r="B67" s="1">
        <v>8</v>
      </c>
      <c r="C67" s="1">
        <v>6</v>
      </c>
      <c r="D67" s="1" t="s">
        <v>17</v>
      </c>
      <c r="E67" s="1">
        <v>5</v>
      </c>
      <c r="F67" s="1">
        <v>4</v>
      </c>
      <c r="G67" s="1" t="s">
        <v>17</v>
      </c>
      <c r="H67" s="1">
        <v>2</v>
      </c>
      <c r="I67" s="1">
        <v>1</v>
      </c>
      <c r="J67" s="1" t="s">
        <v>19</v>
      </c>
      <c r="K67" s="1" t="s">
        <v>20</v>
      </c>
      <c r="L67" s="1" t="s">
        <v>18</v>
      </c>
      <c r="M67" s="1">
        <v>35.000000999999997</v>
      </c>
      <c r="N67" s="1">
        <v>35</v>
      </c>
      <c r="O67" s="2">
        <f t="shared" si="2"/>
        <v>2.8571427682966145E-8</v>
      </c>
      <c r="P67" s="4">
        <v>19.34</v>
      </c>
      <c r="Q67" s="5">
        <v>6.9999950937926769E-6</v>
      </c>
    </row>
    <row r="68" spans="1:17">
      <c r="A68" s="1" t="s">
        <v>86</v>
      </c>
      <c r="B68" s="1">
        <v>9</v>
      </c>
      <c r="C68" s="1">
        <v>8</v>
      </c>
      <c r="D68" s="1" t="s">
        <v>17</v>
      </c>
      <c r="E68" s="1">
        <v>5</v>
      </c>
      <c r="F68" s="1">
        <v>2</v>
      </c>
      <c r="G68" s="1" t="s">
        <v>17</v>
      </c>
      <c r="H68" s="1">
        <v>1</v>
      </c>
      <c r="I68" s="1">
        <v>6</v>
      </c>
      <c r="J68" s="1" t="s">
        <v>19</v>
      </c>
      <c r="K68" s="1" t="s">
        <v>20</v>
      </c>
      <c r="L68" s="1" t="s">
        <v>17</v>
      </c>
      <c r="M68" s="1">
        <v>207.199994</v>
      </c>
      <c r="N68" s="1">
        <v>207.2</v>
      </c>
      <c r="O68" s="2">
        <f t="shared" si="2"/>
        <v>2.8957529722956731E-8</v>
      </c>
      <c r="P68" s="4">
        <v>19.09</v>
      </c>
      <c r="Q68" s="5">
        <v>7.0999958552420139E-6</v>
      </c>
    </row>
    <row r="69" spans="1:17">
      <c r="A69" s="1" t="s">
        <v>87</v>
      </c>
      <c r="B69" s="1">
        <v>10</v>
      </c>
      <c r="C69" s="1">
        <v>1</v>
      </c>
      <c r="D69" s="1" t="s">
        <v>18</v>
      </c>
      <c r="E69" s="1">
        <v>8</v>
      </c>
      <c r="F69" s="1">
        <v>4</v>
      </c>
      <c r="G69" s="1" t="s">
        <v>18</v>
      </c>
      <c r="H69" s="1">
        <v>0</v>
      </c>
      <c r="I69" s="1">
        <v>6</v>
      </c>
      <c r="J69" s="1" t="s">
        <v>19</v>
      </c>
      <c r="K69" s="1" t="s">
        <v>20</v>
      </c>
      <c r="L69" s="1" t="s">
        <v>18</v>
      </c>
      <c r="M69" s="1">
        <v>184.520003</v>
      </c>
      <c r="N69" s="1">
        <v>184.52</v>
      </c>
      <c r="O69" s="2">
        <f t="shared" si="2"/>
        <v>1.6258399868038849E-8</v>
      </c>
      <c r="P69" s="4">
        <v>19.559999999999999</v>
      </c>
      <c r="Q69" s="5">
        <v>7.3999981395900249E-6</v>
      </c>
    </row>
    <row r="70" spans="1:17">
      <c r="A70" s="1" t="s">
        <v>88</v>
      </c>
      <c r="B70" s="1">
        <v>14</v>
      </c>
      <c r="C70" s="1">
        <v>6</v>
      </c>
      <c r="D70" s="1" t="s">
        <v>18</v>
      </c>
      <c r="E70" s="1">
        <v>9</v>
      </c>
      <c r="F70" s="1">
        <v>4</v>
      </c>
      <c r="G70" s="1" t="s">
        <v>18</v>
      </c>
      <c r="H70" s="1">
        <v>3</v>
      </c>
      <c r="I70" s="1">
        <v>6</v>
      </c>
      <c r="J70" s="1" t="s">
        <v>19</v>
      </c>
      <c r="K70" s="1" t="s">
        <v>20</v>
      </c>
      <c r="L70" s="1" t="s">
        <v>17</v>
      </c>
      <c r="M70" s="1">
        <v>340.19999000000001</v>
      </c>
      <c r="N70" s="1">
        <v>332.36</v>
      </c>
      <c r="O70" s="2">
        <f t="shared" si="2"/>
        <v>2.3045238772640763E-2</v>
      </c>
      <c r="P70" s="4">
        <v>19.850000000000001</v>
      </c>
      <c r="Q70" s="5">
        <v>7.800001185387373E-6</v>
      </c>
    </row>
    <row r="71" spans="1:17">
      <c r="A71" s="1" t="s">
        <v>89</v>
      </c>
      <c r="B71" s="1">
        <v>12</v>
      </c>
      <c r="C71" s="1">
        <v>3</v>
      </c>
      <c r="D71" s="1" t="s">
        <v>18</v>
      </c>
      <c r="E71" s="1">
        <v>6</v>
      </c>
      <c r="F71" s="1">
        <v>2</v>
      </c>
      <c r="G71" s="1" t="s">
        <v>18</v>
      </c>
      <c r="H71" s="1">
        <v>-1</v>
      </c>
      <c r="I71" s="1">
        <v>0</v>
      </c>
      <c r="J71" s="1" t="s">
        <v>19</v>
      </c>
      <c r="K71" s="1" t="s">
        <v>20</v>
      </c>
      <c r="L71" s="1" t="s">
        <v>18</v>
      </c>
      <c r="M71" s="1">
        <v>13.44</v>
      </c>
      <c r="N71" s="1">
        <v>13.44</v>
      </c>
      <c r="O71" s="2">
        <f t="shared" si="2"/>
        <v>0</v>
      </c>
      <c r="P71" s="4">
        <v>19.5</v>
      </c>
      <c r="Q71" s="5">
        <v>6.9999950937926769E-6</v>
      </c>
    </row>
    <row r="72" spans="1:17">
      <c r="A72" s="1" t="s">
        <v>90</v>
      </c>
      <c r="B72" s="1">
        <v>8</v>
      </c>
      <c r="C72" s="1">
        <v>4</v>
      </c>
      <c r="D72" s="1" t="s">
        <v>17</v>
      </c>
      <c r="E72" s="1">
        <v>5</v>
      </c>
      <c r="F72" s="1">
        <v>2</v>
      </c>
      <c r="G72" s="1" t="s">
        <v>17</v>
      </c>
      <c r="H72" s="1">
        <v>-3</v>
      </c>
      <c r="I72" s="1">
        <v>3</v>
      </c>
      <c r="J72" s="1" t="s">
        <v>19</v>
      </c>
      <c r="K72" s="1" t="s">
        <v>20</v>
      </c>
      <c r="L72" s="1" t="s">
        <v>18</v>
      </c>
      <c r="M72" s="1">
        <v>93.800002000000006</v>
      </c>
      <c r="N72" s="1">
        <v>93.8</v>
      </c>
      <c r="O72" s="2">
        <f t="shared" si="2"/>
        <v>2.1321961263511915E-8</v>
      </c>
      <c r="P72" s="4">
        <v>19.66</v>
      </c>
      <c r="Q72" s="5">
        <v>7.1999966166913509E-6</v>
      </c>
    </row>
    <row r="73" spans="1:17">
      <c r="A73" s="1" t="s">
        <v>91</v>
      </c>
      <c r="B73" s="1">
        <v>6</v>
      </c>
      <c r="C73" s="1">
        <v>3</v>
      </c>
      <c r="D73" s="1" t="s">
        <v>17</v>
      </c>
      <c r="E73" s="1">
        <v>9</v>
      </c>
      <c r="F73" s="1">
        <v>0</v>
      </c>
      <c r="G73" s="1" t="s">
        <v>17</v>
      </c>
      <c r="H73" s="1">
        <v>-2</v>
      </c>
      <c r="I73" s="1">
        <v>3</v>
      </c>
      <c r="J73" s="1" t="s">
        <v>19</v>
      </c>
      <c r="K73" s="1" t="s">
        <v>20</v>
      </c>
      <c r="L73" s="1" t="s">
        <v>17</v>
      </c>
      <c r="M73" s="1">
        <v>195.99999399999999</v>
      </c>
      <c r="N73" s="1">
        <v>191.52</v>
      </c>
      <c r="O73" s="2">
        <f t="shared" si="2"/>
        <v>2.2857112944605379E-2</v>
      </c>
      <c r="P73" s="4">
        <v>19.13</v>
      </c>
      <c r="Q73" s="5">
        <v>7.1999966166913509E-6</v>
      </c>
    </row>
    <row r="74" spans="1:17">
      <c r="A74" s="1" t="s">
        <v>92</v>
      </c>
      <c r="B74" s="1">
        <v>9</v>
      </c>
      <c r="C74" s="1">
        <v>3</v>
      </c>
      <c r="D74" s="1" t="s">
        <v>18</v>
      </c>
      <c r="E74" s="1">
        <v>9</v>
      </c>
      <c r="F74" s="1">
        <v>1</v>
      </c>
      <c r="G74" s="1" t="s">
        <v>18</v>
      </c>
      <c r="H74" s="1">
        <v>-3</v>
      </c>
      <c r="I74" s="1">
        <v>4</v>
      </c>
      <c r="J74" s="1" t="s">
        <v>19</v>
      </c>
      <c r="K74" s="1" t="s">
        <v>20</v>
      </c>
      <c r="L74" s="1" t="s">
        <v>17</v>
      </c>
      <c r="M74" s="1">
        <v>116.199997</v>
      </c>
      <c r="N74" s="1">
        <v>116.2</v>
      </c>
      <c r="O74" s="2">
        <f t="shared" si="2"/>
        <v>2.581755666169753E-8</v>
      </c>
      <c r="P74" s="4">
        <v>19.100000000000001</v>
      </c>
      <c r="Q74" s="5">
        <v>7.3999981395900249E-6</v>
      </c>
    </row>
    <row r="75" spans="1:17">
      <c r="A75" s="1" t="s">
        <v>93</v>
      </c>
      <c r="B75" s="1">
        <v>14</v>
      </c>
      <c r="C75" s="1">
        <v>8</v>
      </c>
      <c r="D75" s="1" t="s">
        <v>17</v>
      </c>
      <c r="E75" s="1">
        <v>8</v>
      </c>
      <c r="F75" s="1">
        <v>1</v>
      </c>
      <c r="G75" s="1" t="s">
        <v>17</v>
      </c>
      <c r="H75" s="1">
        <v>2</v>
      </c>
      <c r="I75" s="1">
        <v>1</v>
      </c>
      <c r="J75" s="1" t="s">
        <v>19</v>
      </c>
      <c r="K75" s="1" t="s">
        <v>20</v>
      </c>
      <c r="L75" s="1" t="s">
        <v>17</v>
      </c>
      <c r="M75" s="1">
        <v>62.719997999999997</v>
      </c>
      <c r="N75" s="1">
        <v>62.72</v>
      </c>
      <c r="O75" s="2">
        <f t="shared" si="2"/>
        <v>3.1887756151648996E-8</v>
      </c>
      <c r="P75" s="4">
        <v>19.09</v>
      </c>
      <c r="Q75" s="5">
        <v>7.2999973781406879E-6</v>
      </c>
    </row>
    <row r="76" spans="1:17">
      <c r="A76" s="1" t="s">
        <v>94</v>
      </c>
      <c r="B76" s="1">
        <v>9</v>
      </c>
      <c r="C76" s="1">
        <v>8</v>
      </c>
      <c r="D76" s="1" t="s">
        <v>18</v>
      </c>
      <c r="E76" s="1">
        <v>9</v>
      </c>
      <c r="F76" s="1">
        <v>4</v>
      </c>
      <c r="G76" s="1" t="s">
        <v>18</v>
      </c>
      <c r="H76" s="1">
        <v>4</v>
      </c>
      <c r="I76" s="1">
        <v>2</v>
      </c>
      <c r="J76" s="1" t="s">
        <v>19</v>
      </c>
      <c r="K76" s="1" t="s">
        <v>20</v>
      </c>
      <c r="L76" s="1" t="s">
        <v>17</v>
      </c>
      <c r="M76" s="1">
        <v>131.039996</v>
      </c>
      <c r="N76" s="1">
        <v>131.04</v>
      </c>
      <c r="O76" s="2">
        <f t="shared" si="2"/>
        <v>3.0525031379739743E-8</v>
      </c>
      <c r="P76" s="4">
        <v>19.02</v>
      </c>
      <c r="Q76" s="5">
        <v>8.000002708286047E-6</v>
      </c>
    </row>
    <row r="77" spans="1:17">
      <c r="A77" s="1" t="s">
        <v>95</v>
      </c>
      <c r="B77" s="1">
        <v>6</v>
      </c>
      <c r="C77" s="1">
        <v>2</v>
      </c>
      <c r="D77" s="1" t="s">
        <v>17</v>
      </c>
      <c r="E77" s="1">
        <v>8</v>
      </c>
      <c r="F77" s="1">
        <v>3</v>
      </c>
      <c r="G77" s="1" t="s">
        <v>17</v>
      </c>
      <c r="H77" s="1">
        <v>-3</v>
      </c>
      <c r="I77" s="1">
        <v>3</v>
      </c>
      <c r="J77" s="1" t="s">
        <v>19</v>
      </c>
      <c r="K77" s="1" t="s">
        <v>20</v>
      </c>
      <c r="L77" s="1" t="s">
        <v>17</v>
      </c>
      <c r="M77" s="1">
        <v>170.23999499999999</v>
      </c>
      <c r="N77" s="1">
        <v>170.24</v>
      </c>
      <c r="O77" s="2">
        <f t="shared" si="2"/>
        <v>2.9370301707292245E-8</v>
      </c>
      <c r="P77" s="4">
        <v>19.309999999999999</v>
      </c>
      <c r="Q77" s="5">
        <v>7.2999973781406879E-6</v>
      </c>
    </row>
    <row r="78" spans="1:17">
      <c r="A78" s="1" t="s">
        <v>96</v>
      </c>
      <c r="B78" s="1">
        <v>6</v>
      </c>
      <c r="C78" s="1">
        <v>3</v>
      </c>
      <c r="D78" s="1" t="s">
        <v>18</v>
      </c>
      <c r="E78" s="1">
        <v>6</v>
      </c>
      <c r="F78" s="1">
        <v>2</v>
      </c>
      <c r="G78" s="1" t="s">
        <v>18</v>
      </c>
      <c r="H78" s="1">
        <v>0</v>
      </c>
      <c r="I78" s="1">
        <v>4</v>
      </c>
      <c r="J78" s="1" t="s">
        <v>19</v>
      </c>
      <c r="K78" s="1" t="s">
        <v>20</v>
      </c>
      <c r="L78" s="1" t="s">
        <v>18</v>
      </c>
      <c r="M78" s="1">
        <v>124.040002</v>
      </c>
      <c r="N78" s="1">
        <v>124.04</v>
      </c>
      <c r="O78" s="2">
        <f t="shared" si="2"/>
        <v>1.6123830721564205E-8</v>
      </c>
      <c r="P78" s="4">
        <v>18.809999999999999</v>
      </c>
      <c r="Q78" s="5">
        <v>7.1999966166913509E-6</v>
      </c>
    </row>
    <row r="79" spans="1:17">
      <c r="A79" s="1" t="s">
        <v>97</v>
      </c>
      <c r="B79" s="1">
        <v>8</v>
      </c>
      <c r="C79" s="1">
        <v>1</v>
      </c>
      <c r="D79" s="1" t="s">
        <v>18</v>
      </c>
      <c r="E79" s="1">
        <v>5</v>
      </c>
      <c r="F79" s="1">
        <v>1</v>
      </c>
      <c r="G79" s="1" t="s">
        <v>18</v>
      </c>
      <c r="H79" s="1">
        <v>-4</v>
      </c>
      <c r="I79" s="1">
        <v>3</v>
      </c>
      <c r="J79" s="1" t="s">
        <v>19</v>
      </c>
      <c r="K79" s="1" t="s">
        <v>20</v>
      </c>
      <c r="L79" s="1" t="s">
        <v>18</v>
      </c>
      <c r="M79" s="1">
        <v>75.880000999999993</v>
      </c>
      <c r="N79" s="1">
        <v>75.88</v>
      </c>
      <c r="O79" s="2">
        <f t="shared" si="2"/>
        <v>1.3178703008652344E-8</v>
      </c>
      <c r="P79" s="4">
        <v>20.46</v>
      </c>
      <c r="Q79" s="5">
        <v>7.0999958552420139E-6</v>
      </c>
    </row>
    <row r="80" spans="1:17">
      <c r="A80" s="1" t="s">
        <v>98</v>
      </c>
      <c r="B80" s="1">
        <v>8</v>
      </c>
      <c r="C80" s="1">
        <v>1</v>
      </c>
      <c r="D80" s="1" t="s">
        <v>17</v>
      </c>
      <c r="E80" s="1">
        <v>6</v>
      </c>
      <c r="F80" s="1">
        <v>2</v>
      </c>
      <c r="G80" s="1" t="s">
        <v>17</v>
      </c>
      <c r="H80" s="1">
        <v>2</v>
      </c>
      <c r="I80" s="1">
        <v>1</v>
      </c>
      <c r="J80" s="1" t="s">
        <v>19</v>
      </c>
      <c r="K80" s="1" t="s">
        <v>20</v>
      </c>
      <c r="L80" s="1" t="s">
        <v>17</v>
      </c>
      <c r="M80" s="1">
        <v>26.039999000000002</v>
      </c>
      <c r="N80" s="1">
        <v>26.04</v>
      </c>
      <c r="O80" s="2">
        <f t="shared" si="2"/>
        <v>3.8402459135088394E-8</v>
      </c>
      <c r="P80" s="4">
        <v>19.64</v>
      </c>
      <c r="Q80" s="5">
        <v>7.3999981395900249E-6</v>
      </c>
    </row>
    <row r="81" spans="1:17">
      <c r="A81" s="1" t="s">
        <v>99</v>
      </c>
      <c r="B81" s="1">
        <v>12</v>
      </c>
      <c r="C81" s="1">
        <v>1</v>
      </c>
      <c r="D81" s="1" t="s">
        <v>18</v>
      </c>
      <c r="E81" s="1">
        <v>10</v>
      </c>
      <c r="F81" s="1">
        <v>8</v>
      </c>
      <c r="G81" s="1" t="s">
        <v>18</v>
      </c>
      <c r="H81" s="1">
        <v>1</v>
      </c>
      <c r="I81" s="1">
        <v>6</v>
      </c>
      <c r="J81" s="1" t="s">
        <v>19</v>
      </c>
      <c r="K81" s="1" t="s">
        <v>20</v>
      </c>
      <c r="L81" s="1" t="s">
        <v>17</v>
      </c>
      <c r="M81" s="1">
        <v>97.439997000000005</v>
      </c>
      <c r="N81" s="1">
        <v>89.6</v>
      </c>
      <c r="O81" s="2">
        <f t="shared" si="2"/>
        <v>8.0459741803974097E-2</v>
      </c>
      <c r="P81" s="4">
        <v>19.760000000000002</v>
      </c>
      <c r="Q81" s="5">
        <v>8.000002708286047E-6</v>
      </c>
    </row>
    <row r="82" spans="1:17">
      <c r="A82" s="1" t="s">
        <v>100</v>
      </c>
      <c r="B82" s="1">
        <v>12</v>
      </c>
      <c r="C82" s="1">
        <v>6</v>
      </c>
      <c r="D82" s="1" t="s">
        <v>17</v>
      </c>
      <c r="E82" s="1">
        <v>10</v>
      </c>
      <c r="F82" s="1">
        <v>3</v>
      </c>
      <c r="G82" s="1" t="s">
        <v>17</v>
      </c>
      <c r="H82" s="1">
        <v>1</v>
      </c>
      <c r="I82" s="1">
        <v>4</v>
      </c>
      <c r="J82" s="1" t="s">
        <v>19</v>
      </c>
      <c r="K82" s="1" t="s">
        <v>20</v>
      </c>
      <c r="L82" s="1" t="s">
        <v>18</v>
      </c>
      <c r="M82" s="1">
        <v>246.40000499999999</v>
      </c>
      <c r="N82" s="1">
        <v>246.4</v>
      </c>
      <c r="O82" s="2">
        <f t="shared" si="2"/>
        <v>2.0292207329201205E-8</v>
      </c>
      <c r="P82" s="4">
        <v>19.190000000000001</v>
      </c>
      <c r="Q82" s="5">
        <v>7.3999981395900249E-6</v>
      </c>
    </row>
    <row r="83" spans="1:17">
      <c r="A83" s="1" t="s">
        <v>101</v>
      </c>
      <c r="B83" s="1">
        <v>14</v>
      </c>
      <c r="C83" s="1">
        <v>4</v>
      </c>
      <c r="D83" s="1" t="s">
        <v>18</v>
      </c>
      <c r="E83" s="1">
        <v>16</v>
      </c>
      <c r="F83" s="1">
        <v>1</v>
      </c>
      <c r="G83" s="1" t="s">
        <v>18</v>
      </c>
      <c r="H83" s="1">
        <v>1</v>
      </c>
      <c r="I83" s="1">
        <v>0</v>
      </c>
      <c r="J83" s="1" t="s">
        <v>19</v>
      </c>
      <c r="K83" s="1" t="s">
        <v>20</v>
      </c>
      <c r="L83" s="1" t="s">
        <v>17</v>
      </c>
      <c r="M83" s="1">
        <v>30.24</v>
      </c>
      <c r="N83" s="1">
        <v>30.24</v>
      </c>
      <c r="O83" s="2">
        <f t="shared" si="2"/>
        <v>0</v>
      </c>
      <c r="P83" s="4">
        <v>18.739999999999998</v>
      </c>
      <c r="Q83" s="5">
        <v>8.400005754083395E-6</v>
      </c>
    </row>
    <row r="84" spans="1:17">
      <c r="A84" s="1" t="s">
        <v>102</v>
      </c>
      <c r="B84" s="1">
        <v>16</v>
      </c>
      <c r="C84" s="1">
        <v>8</v>
      </c>
      <c r="D84" s="1" t="s">
        <v>18</v>
      </c>
      <c r="E84" s="1">
        <v>6</v>
      </c>
      <c r="F84" s="1">
        <v>2</v>
      </c>
      <c r="G84" s="1" t="s">
        <v>18</v>
      </c>
      <c r="H84" s="1">
        <v>-3</v>
      </c>
      <c r="I84" s="1">
        <v>2</v>
      </c>
      <c r="J84" s="1" t="s">
        <v>19</v>
      </c>
      <c r="K84" s="1" t="s">
        <v>20</v>
      </c>
      <c r="L84" s="1" t="s">
        <v>17</v>
      </c>
      <c r="M84" s="1">
        <v>87.359998000000004</v>
      </c>
      <c r="N84" s="1">
        <v>87.36</v>
      </c>
      <c r="O84" s="2">
        <f t="shared" si="2"/>
        <v>2.289377336009652E-8</v>
      </c>
      <c r="P84" s="4">
        <v>19.05</v>
      </c>
      <c r="Q84" s="5">
        <v>7.3999981395900249E-6</v>
      </c>
    </row>
    <row r="85" spans="1:17">
      <c r="A85" s="1" t="s">
        <v>103</v>
      </c>
      <c r="B85" s="1">
        <v>14</v>
      </c>
      <c r="C85" s="1">
        <v>3</v>
      </c>
      <c r="D85" s="1" t="s">
        <v>17</v>
      </c>
      <c r="E85" s="1">
        <v>10</v>
      </c>
      <c r="F85" s="1">
        <v>0</v>
      </c>
      <c r="G85" s="1" t="s">
        <v>17</v>
      </c>
      <c r="H85" s="1">
        <v>2</v>
      </c>
      <c r="I85" s="1">
        <v>4</v>
      </c>
      <c r="J85" s="1" t="s">
        <v>19</v>
      </c>
      <c r="K85" s="1" t="s">
        <v>20</v>
      </c>
      <c r="L85" s="1" t="s">
        <v>17</v>
      </c>
      <c r="M85" s="1">
        <v>283.35999199999998</v>
      </c>
      <c r="N85" s="1">
        <v>280</v>
      </c>
      <c r="O85" s="2">
        <f t="shared" si="2"/>
        <v>1.1857679612017977E-2</v>
      </c>
      <c r="P85" s="4">
        <v>19.07</v>
      </c>
      <c r="Q85" s="5">
        <v>7.700000423938036E-6</v>
      </c>
    </row>
    <row r="86" spans="1:17">
      <c r="A86" s="1" t="s">
        <v>104</v>
      </c>
      <c r="B86" s="1">
        <v>12</v>
      </c>
      <c r="C86" s="1">
        <v>4</v>
      </c>
      <c r="D86" s="1" t="s">
        <v>17</v>
      </c>
      <c r="E86" s="1">
        <v>12</v>
      </c>
      <c r="F86" s="1">
        <v>2</v>
      </c>
      <c r="G86" s="1" t="s">
        <v>17</v>
      </c>
      <c r="H86" s="1">
        <v>-1</v>
      </c>
      <c r="I86" s="1">
        <v>3</v>
      </c>
      <c r="J86" s="1" t="s">
        <v>19</v>
      </c>
      <c r="K86" s="1" t="s">
        <v>20</v>
      </c>
      <c r="L86" s="1" t="s">
        <v>18</v>
      </c>
      <c r="M86" s="1">
        <v>225.12000399999999</v>
      </c>
      <c r="N86" s="1">
        <v>225.12</v>
      </c>
      <c r="O86" s="2">
        <f t="shared" si="2"/>
        <v>1.7768300989817728E-8</v>
      </c>
      <c r="P86" s="4">
        <v>19.03</v>
      </c>
      <c r="Q86" s="5">
        <v>7.499998901039362E-6</v>
      </c>
    </row>
    <row r="87" spans="1:17">
      <c r="A87" s="1" t="s">
        <v>105</v>
      </c>
      <c r="B87" s="1">
        <v>14</v>
      </c>
      <c r="C87" s="1">
        <v>6</v>
      </c>
      <c r="D87" s="1" t="s">
        <v>17</v>
      </c>
      <c r="E87" s="1">
        <v>12</v>
      </c>
      <c r="F87" s="1">
        <v>0</v>
      </c>
      <c r="G87" s="1" t="s">
        <v>17</v>
      </c>
      <c r="H87" s="1">
        <v>-1</v>
      </c>
      <c r="I87" s="1">
        <v>0</v>
      </c>
      <c r="J87" s="1" t="s">
        <v>19</v>
      </c>
      <c r="K87" s="1" t="s">
        <v>20</v>
      </c>
      <c r="L87" s="1" t="s">
        <v>17</v>
      </c>
      <c r="M87" s="1">
        <v>26.88</v>
      </c>
      <c r="N87" s="1">
        <v>26.88</v>
      </c>
      <c r="O87" s="2">
        <f t="shared" si="2"/>
        <v>0</v>
      </c>
      <c r="P87" s="4">
        <v>18.84</v>
      </c>
      <c r="Q87" s="5">
        <v>7.3999981395900249E-6</v>
      </c>
    </row>
    <row r="88" spans="1:17">
      <c r="A88" s="1" t="s">
        <v>106</v>
      </c>
      <c r="B88" s="1">
        <v>14</v>
      </c>
      <c r="C88" s="1">
        <v>1</v>
      </c>
      <c r="D88" s="1" t="s">
        <v>18</v>
      </c>
      <c r="E88" s="1">
        <v>10</v>
      </c>
      <c r="F88" s="1">
        <v>2</v>
      </c>
      <c r="G88" s="1" t="s">
        <v>18</v>
      </c>
      <c r="H88" s="1">
        <v>0</v>
      </c>
      <c r="I88" s="1">
        <v>3</v>
      </c>
      <c r="J88" s="1" t="s">
        <v>19</v>
      </c>
      <c r="K88" s="1" t="s">
        <v>20</v>
      </c>
      <c r="L88" s="1" t="s">
        <v>17</v>
      </c>
      <c r="M88" s="1">
        <v>192.359994</v>
      </c>
      <c r="N88" s="1">
        <v>192.36</v>
      </c>
      <c r="O88" s="2">
        <f t="shared" si="2"/>
        <v>3.1191516949585506E-8</v>
      </c>
      <c r="P88" s="4">
        <v>19.2</v>
      </c>
      <c r="Q88" s="5">
        <v>8.100003469735384E-6</v>
      </c>
    </row>
    <row r="89" spans="1:17">
      <c r="A89" s="1" t="s">
        <v>107</v>
      </c>
      <c r="B89" s="1">
        <v>10</v>
      </c>
      <c r="C89" s="1">
        <v>8</v>
      </c>
      <c r="D89" s="1" t="s">
        <v>18</v>
      </c>
      <c r="E89" s="1">
        <v>16</v>
      </c>
      <c r="F89" s="1">
        <v>4</v>
      </c>
      <c r="G89" s="1" t="s">
        <v>18</v>
      </c>
      <c r="H89" s="1">
        <v>2</v>
      </c>
      <c r="I89" s="1">
        <v>6</v>
      </c>
      <c r="J89" s="1" t="s">
        <v>19</v>
      </c>
      <c r="K89" s="1" t="s">
        <v>20</v>
      </c>
      <c r="L89" s="1" t="s">
        <v>17</v>
      </c>
      <c r="M89" s="1">
        <v>350.55999000000003</v>
      </c>
      <c r="N89" s="1">
        <v>338.24</v>
      </c>
      <c r="O89" s="2">
        <f t="shared" si="2"/>
        <v>3.5143742444766778E-2</v>
      </c>
      <c r="P89" s="4">
        <v>19.88</v>
      </c>
      <c r="Q89" s="5">
        <v>7.90000194683671E-6</v>
      </c>
    </row>
    <row r="90" spans="1:17">
      <c r="A90" s="1" t="s">
        <v>108</v>
      </c>
      <c r="B90" s="1">
        <v>16</v>
      </c>
      <c r="C90" s="1">
        <v>6</v>
      </c>
      <c r="D90" s="1" t="s">
        <v>17</v>
      </c>
      <c r="E90" s="1">
        <v>16</v>
      </c>
      <c r="F90" s="1">
        <v>1</v>
      </c>
      <c r="G90" s="1" t="s">
        <v>17</v>
      </c>
      <c r="H90" s="1">
        <v>-3</v>
      </c>
      <c r="I90" s="1">
        <v>2</v>
      </c>
      <c r="J90" s="1" t="s">
        <v>19</v>
      </c>
      <c r="K90" s="1" t="s">
        <v>20</v>
      </c>
      <c r="L90" s="1" t="s">
        <v>17</v>
      </c>
      <c r="M90" s="1">
        <v>232.959993</v>
      </c>
      <c r="N90" s="1">
        <v>232.96</v>
      </c>
      <c r="O90" s="2">
        <f t="shared" si="2"/>
        <v>3.004807787210231E-8</v>
      </c>
      <c r="P90" s="4">
        <v>19</v>
      </c>
      <c r="Q90" s="5">
        <v>7.800001185387373E-6</v>
      </c>
    </row>
    <row r="91" spans="1:17">
      <c r="A91" s="1" t="s">
        <v>109</v>
      </c>
      <c r="B91" s="1">
        <v>9</v>
      </c>
      <c r="C91" s="1">
        <v>4</v>
      </c>
      <c r="D91" s="1" t="s">
        <v>18</v>
      </c>
      <c r="E91" s="1">
        <v>12</v>
      </c>
      <c r="F91" s="1">
        <v>3</v>
      </c>
      <c r="G91" s="1" t="s">
        <v>18</v>
      </c>
      <c r="H91" s="1">
        <v>2</v>
      </c>
      <c r="I91" s="1">
        <v>0</v>
      </c>
      <c r="J91" s="1" t="s">
        <v>19</v>
      </c>
      <c r="K91" s="1" t="s">
        <v>20</v>
      </c>
      <c r="L91" s="1" t="s">
        <v>18</v>
      </c>
      <c r="M91" s="1">
        <v>22.68</v>
      </c>
      <c r="N91" s="1">
        <v>22.68</v>
      </c>
      <c r="O91" s="2">
        <f t="shared" si="2"/>
        <v>0</v>
      </c>
      <c r="P91" s="4">
        <v>18.86</v>
      </c>
      <c r="Q91" s="5">
        <v>8.300004992634058E-6</v>
      </c>
    </row>
    <row r="92" spans="1:17">
      <c r="A92" s="1" t="s">
        <v>110</v>
      </c>
      <c r="B92" s="1">
        <v>16</v>
      </c>
      <c r="C92" s="1">
        <v>2</v>
      </c>
      <c r="D92" s="1" t="s">
        <v>18</v>
      </c>
      <c r="E92" s="1">
        <v>5</v>
      </c>
      <c r="F92" s="1">
        <v>3</v>
      </c>
      <c r="G92" s="1" t="s">
        <v>18</v>
      </c>
      <c r="H92" s="1">
        <v>0</v>
      </c>
      <c r="I92" s="1">
        <v>2</v>
      </c>
      <c r="J92" s="1" t="s">
        <v>19</v>
      </c>
      <c r="K92" s="1" t="s">
        <v>20</v>
      </c>
      <c r="L92" s="1" t="s">
        <v>17</v>
      </c>
      <c r="M92" s="1">
        <v>59.079998000000003</v>
      </c>
      <c r="N92" s="1">
        <v>59.08</v>
      </c>
      <c r="O92" s="2">
        <f t="shared" si="2"/>
        <v>3.3852404581166121E-8</v>
      </c>
      <c r="P92" s="4">
        <v>18.87</v>
      </c>
      <c r="Q92" s="5">
        <v>7.3999981395900249E-6</v>
      </c>
    </row>
    <row r="93" spans="1:17">
      <c r="A93" s="1" t="s">
        <v>111</v>
      </c>
      <c r="B93" s="1">
        <v>16</v>
      </c>
      <c r="C93" s="1">
        <v>4</v>
      </c>
      <c r="D93" s="1" t="s">
        <v>18</v>
      </c>
      <c r="E93" s="1">
        <v>12</v>
      </c>
      <c r="F93" s="1">
        <v>2</v>
      </c>
      <c r="G93" s="1" t="s">
        <v>18</v>
      </c>
      <c r="H93" s="1">
        <v>-4</v>
      </c>
      <c r="I93" s="1">
        <v>0</v>
      </c>
      <c r="J93" s="1" t="s">
        <v>19</v>
      </c>
      <c r="K93" s="1" t="s">
        <v>20</v>
      </c>
      <c r="L93" s="1" t="s">
        <v>18</v>
      </c>
      <c r="M93" s="1">
        <v>24.08</v>
      </c>
      <c r="N93" s="1">
        <v>24.08</v>
      </c>
      <c r="O93" s="2">
        <f t="shared" si="2"/>
        <v>0</v>
      </c>
      <c r="P93" s="4">
        <v>18.79</v>
      </c>
      <c r="Q93" s="5">
        <v>8.200004231184721E-6</v>
      </c>
    </row>
    <row r="94" spans="1:17">
      <c r="A94" s="1" t="s">
        <v>112</v>
      </c>
      <c r="B94" s="1">
        <v>10</v>
      </c>
      <c r="C94" s="1">
        <v>2</v>
      </c>
      <c r="D94" s="1" t="s">
        <v>17</v>
      </c>
      <c r="E94" s="1">
        <v>8</v>
      </c>
      <c r="F94" s="1">
        <v>2</v>
      </c>
      <c r="G94" s="1" t="s">
        <v>17</v>
      </c>
      <c r="H94" s="1">
        <v>-2</v>
      </c>
      <c r="I94" s="1">
        <v>0</v>
      </c>
      <c r="J94" s="1" t="s">
        <v>19</v>
      </c>
      <c r="K94" s="1" t="s">
        <v>20</v>
      </c>
      <c r="L94" s="1" t="s">
        <v>18</v>
      </c>
      <c r="M94" s="1">
        <v>17.920000000000002</v>
      </c>
      <c r="N94" s="1">
        <v>17.920000000000002</v>
      </c>
      <c r="O94" s="2">
        <f t="shared" si="2"/>
        <v>0</v>
      </c>
      <c r="P94" s="4">
        <v>18.440000000000001</v>
      </c>
      <c r="Q94" s="5">
        <v>7.1999966166913509E-6</v>
      </c>
    </row>
    <row r="95" spans="1:17">
      <c r="A95" s="1" t="s">
        <v>113</v>
      </c>
      <c r="B95" s="1">
        <v>16</v>
      </c>
      <c r="C95" s="1">
        <v>3</v>
      </c>
      <c r="D95" s="1" t="s">
        <v>17</v>
      </c>
      <c r="E95" s="1">
        <v>12</v>
      </c>
      <c r="F95" s="1">
        <v>0</v>
      </c>
      <c r="G95" s="1" t="s">
        <v>17</v>
      </c>
      <c r="H95" s="1">
        <v>-2</v>
      </c>
      <c r="I95" s="1">
        <v>3</v>
      </c>
      <c r="J95" s="1" t="s">
        <v>19</v>
      </c>
      <c r="K95" s="1" t="s">
        <v>20</v>
      </c>
      <c r="L95" s="1" t="s">
        <v>17</v>
      </c>
      <c r="M95" s="1">
        <v>255.359993</v>
      </c>
      <c r="N95" s="1">
        <v>255.36</v>
      </c>
      <c r="O95" s="2">
        <f t="shared" si="2"/>
        <v>2.7412281495278741E-8</v>
      </c>
      <c r="P95" s="4">
        <v>19.77</v>
      </c>
      <c r="Q95" s="5">
        <v>7.90000194683671E-6</v>
      </c>
    </row>
    <row r="96" spans="1:17">
      <c r="A96" s="1" t="s">
        <v>114</v>
      </c>
      <c r="B96" s="1">
        <v>9</v>
      </c>
      <c r="C96" s="1">
        <v>1</v>
      </c>
      <c r="D96" s="1" t="s">
        <v>17</v>
      </c>
      <c r="E96" s="1">
        <v>16</v>
      </c>
      <c r="F96" s="1">
        <v>0</v>
      </c>
      <c r="G96" s="1" t="s">
        <v>17</v>
      </c>
      <c r="H96" s="1">
        <v>-3</v>
      </c>
      <c r="I96" s="1">
        <v>6</v>
      </c>
      <c r="J96" s="1" t="s">
        <v>19</v>
      </c>
      <c r="K96" s="1" t="s">
        <v>20</v>
      </c>
      <c r="L96" s="1" t="s">
        <v>18</v>
      </c>
      <c r="M96" s="1">
        <v>582.40001099999995</v>
      </c>
      <c r="N96" s="1">
        <v>582.4</v>
      </c>
      <c r="O96" s="2">
        <f t="shared" si="2"/>
        <v>1.8887362232944174E-8</v>
      </c>
      <c r="P96" s="4">
        <v>19.36</v>
      </c>
      <c r="Q96" s="5">
        <v>7.599999662488699E-6</v>
      </c>
    </row>
    <row r="97" spans="1:17">
      <c r="A97" s="1" t="s">
        <v>115</v>
      </c>
      <c r="B97" s="1">
        <v>10</v>
      </c>
      <c r="C97" s="1">
        <v>8</v>
      </c>
      <c r="D97" s="1" t="s">
        <v>17</v>
      </c>
      <c r="E97" s="1">
        <v>5</v>
      </c>
      <c r="F97" s="1">
        <v>0</v>
      </c>
      <c r="G97" s="1" t="s">
        <v>17</v>
      </c>
      <c r="H97" s="1">
        <v>-1</v>
      </c>
      <c r="I97" s="1">
        <v>6</v>
      </c>
      <c r="J97" s="1" t="s">
        <v>19</v>
      </c>
      <c r="K97" s="1" t="s">
        <v>20</v>
      </c>
      <c r="L97" s="1" t="s">
        <v>17</v>
      </c>
      <c r="M97" s="1">
        <v>207.199994</v>
      </c>
      <c r="N97" s="1">
        <v>207.2</v>
      </c>
      <c r="O97" s="2">
        <f t="shared" si="2"/>
        <v>2.8957529722956731E-8</v>
      </c>
      <c r="P97" s="4">
        <v>18.64</v>
      </c>
      <c r="Q97" s="5">
        <v>7.499998901039362E-6</v>
      </c>
    </row>
    <row r="98" spans="1:17">
      <c r="A98" s="1" t="s">
        <v>116</v>
      </c>
      <c r="B98" s="1">
        <v>10</v>
      </c>
      <c r="C98" s="1">
        <v>4</v>
      </c>
      <c r="D98" s="1" t="s">
        <v>17</v>
      </c>
      <c r="E98" s="1">
        <v>10</v>
      </c>
      <c r="F98" s="1">
        <v>6</v>
      </c>
      <c r="G98" s="1" t="s">
        <v>17</v>
      </c>
      <c r="H98" s="1">
        <v>-2</v>
      </c>
      <c r="I98" s="1">
        <v>2</v>
      </c>
      <c r="J98" s="1" t="s">
        <v>19</v>
      </c>
      <c r="K98" s="1" t="s">
        <v>20</v>
      </c>
      <c r="L98" s="1" t="s">
        <v>18</v>
      </c>
      <c r="M98" s="1">
        <v>128.80000200000001</v>
      </c>
      <c r="N98" s="1">
        <v>128.80000000000001</v>
      </c>
      <c r="O98" s="2">
        <f t="shared" ref="O98:O129" si="3">ABS(N98-M98)/M98</f>
        <v>1.5527950030237464E-8</v>
      </c>
      <c r="P98" s="4">
        <v>18.68</v>
      </c>
      <c r="Q98" s="5">
        <v>7.499998901039362E-6</v>
      </c>
    </row>
    <row r="99" spans="1:17">
      <c r="A99" s="1" t="s">
        <v>117</v>
      </c>
      <c r="B99" s="1">
        <v>16</v>
      </c>
      <c r="C99" s="1">
        <v>1</v>
      </c>
      <c r="D99" s="1" t="s">
        <v>18</v>
      </c>
      <c r="E99" s="1">
        <v>8</v>
      </c>
      <c r="F99" s="1">
        <v>3</v>
      </c>
      <c r="G99" s="1" t="s">
        <v>18</v>
      </c>
      <c r="H99" s="1">
        <v>0</v>
      </c>
      <c r="I99" s="1">
        <v>2</v>
      </c>
      <c r="J99" s="1" t="s">
        <v>19</v>
      </c>
      <c r="K99" s="1" t="s">
        <v>20</v>
      </c>
      <c r="L99" s="1" t="s">
        <v>18</v>
      </c>
      <c r="M99" s="1">
        <v>78.960001000000005</v>
      </c>
      <c r="N99" s="1">
        <v>78.959999999999994</v>
      </c>
      <c r="O99" s="2">
        <f t="shared" si="3"/>
        <v>1.2664640311821897E-8</v>
      </c>
      <c r="P99" s="4">
        <v>18.97</v>
      </c>
      <c r="Q99" s="5">
        <v>8.100003469735384E-6</v>
      </c>
    </row>
    <row r="100" spans="1:17">
      <c r="A100" s="1" t="s">
        <v>118</v>
      </c>
      <c r="B100" s="1">
        <v>16</v>
      </c>
      <c r="C100" s="1">
        <v>6</v>
      </c>
      <c r="D100" s="1" t="s">
        <v>18</v>
      </c>
      <c r="E100" s="1">
        <v>8</v>
      </c>
      <c r="F100" s="1">
        <v>0</v>
      </c>
      <c r="G100" s="1" t="s">
        <v>18</v>
      </c>
      <c r="H100" s="1">
        <v>-1</v>
      </c>
      <c r="I100" s="1">
        <v>3</v>
      </c>
      <c r="J100" s="1" t="s">
        <v>19</v>
      </c>
      <c r="K100" s="1" t="s">
        <v>20</v>
      </c>
      <c r="L100" s="1" t="s">
        <v>17</v>
      </c>
      <c r="M100" s="1">
        <v>170.23999499999999</v>
      </c>
      <c r="N100" s="1">
        <v>170.24</v>
      </c>
      <c r="O100" s="2">
        <f t="shared" si="3"/>
        <v>2.9370301707292245E-8</v>
      </c>
      <c r="P100" s="4">
        <v>18.899999999999999</v>
      </c>
      <c r="Q100" s="5">
        <v>8.100003469735384E-6</v>
      </c>
    </row>
    <row r="101" spans="1:17">
      <c r="A101" s="1" t="s">
        <v>119</v>
      </c>
      <c r="B101" s="1">
        <v>16</v>
      </c>
      <c r="C101" s="1">
        <v>2</v>
      </c>
      <c r="D101" s="1" t="s">
        <v>17</v>
      </c>
      <c r="E101" s="1">
        <v>10</v>
      </c>
      <c r="F101" s="1">
        <v>6</v>
      </c>
      <c r="G101" s="1" t="s">
        <v>17</v>
      </c>
      <c r="H101" s="1">
        <v>4</v>
      </c>
      <c r="I101" s="1">
        <v>4</v>
      </c>
      <c r="J101" s="1" t="s">
        <v>19</v>
      </c>
      <c r="K101" s="1" t="s">
        <v>20</v>
      </c>
      <c r="L101" s="1" t="s">
        <v>18</v>
      </c>
      <c r="M101" s="1">
        <v>56.000000999999997</v>
      </c>
      <c r="N101" s="1">
        <v>56</v>
      </c>
      <c r="O101" s="2">
        <f t="shared" si="3"/>
        <v>1.7857142493180362E-8</v>
      </c>
      <c r="P101" s="4">
        <v>19.010000000000002</v>
      </c>
      <c r="Q101" s="5">
        <v>8.100003469735384E-6</v>
      </c>
    </row>
    <row r="102" spans="1:17">
      <c r="O102" s="6">
        <f>AVERAGE(O2:O101)</f>
        <v>3.4761218176927234E-3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Abs</vt:lpstr>
      <vt:lpstr>AdderTree</vt:lpstr>
      <vt:lpstr>CAdd</vt:lpstr>
      <vt:lpstr>CMul</vt:lpstr>
      <vt:lpstr>CNorm</vt:lpstr>
      <vt:lpstr>Comp</vt:lpstr>
      <vt:lpstr>CompTree</vt:lpstr>
      <vt:lpstr>Counter</vt:lpstr>
      <vt:lpstr>CSub</vt:lpstr>
      <vt:lpstr>MUX</vt:lpstr>
      <vt:lpstr>Neg</vt:lpstr>
      <vt:lpstr>SxMatch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晶杰 马</cp:lastModifiedBy>
  <dcterms:created xsi:type="dcterms:W3CDTF">2026-09-29T15:19:44Z</dcterms:created>
  <dcterms:modified xsi:type="dcterms:W3CDTF">2026-09-29T16:23:50Z</dcterms:modified>
</cp:coreProperties>
</file>