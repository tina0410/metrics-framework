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0312\OneDrive\桌面\mjj\mjj\Area_TP_Estimator\result\result\Delay\report\"/>
    </mc:Choice>
  </mc:AlternateContent>
  <xr:revisionPtr revIDLastSave="0" documentId="13_ncr:1_{3FBD0C19-FB35-49C6-B1C2-5CCE991A7C2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Add" sheetId="1" r:id="rId1"/>
    <sheet name="Sub" sheetId="2" r:id="rId2"/>
    <sheet name="Mul" sheetId="3" r:id="rId3"/>
    <sheet name="Delay" sheetId="4" r:id="rId4"/>
    <sheet name="FxMatch" sheetId="5" r:id="rId5"/>
    <sheet name="汇总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2" i="3" l="1"/>
  <c r="Q162" i="2"/>
  <c r="Q162" i="1"/>
  <c r="N142" i="5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G6" i="6" s="1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5" i="6" s="1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G4" i="6" s="1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G3" i="6" s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G2" i="6" s="1"/>
</calcChain>
</file>

<file path=xl/sharedStrings.xml><?xml version="1.0" encoding="utf-8"?>
<sst xmlns="http://schemas.openxmlformats.org/spreadsheetml/2006/main" count="5779" uniqueCount="207">
  <si>
    <t>RTLx</t>
  </si>
  <si>
    <t>QU_IN_1_DWT</t>
  </si>
  <si>
    <t>QU_IN_1_FRAC</t>
  </si>
  <si>
    <t>QU_IN_1_IF_SIGNED</t>
  </si>
  <si>
    <t>QU_IN_2_DWT</t>
  </si>
  <si>
    <t>QU_IN_2_FRAC</t>
  </si>
  <si>
    <t>QU_IN_2_IF_SIGNED</t>
  </si>
  <si>
    <t>QU_OUT_DWT</t>
  </si>
  <si>
    <t>QU_OUT_FRAC</t>
  </si>
  <si>
    <t>QU_OUT_IF_SIGNED</t>
  </si>
  <si>
    <t>N_CLK</t>
  </si>
  <si>
    <t>QU_MODE</t>
  </si>
  <si>
    <t>OF_MODE</t>
  </si>
  <si>
    <t>IF_RST_N</t>
  </si>
  <si>
    <t>area</t>
  </si>
  <si>
    <t>Est_ADD</t>
  </si>
  <si>
    <t>MAPE</t>
  </si>
  <si>
    <t>来源</t>
  </si>
  <si>
    <t>综合时间(s)</t>
  </si>
  <si>
    <t>评估时间(s)</t>
  </si>
  <si>
    <t>RTL1</t>
  </si>
  <si>
    <t>true</t>
  </si>
  <si>
    <t>false</t>
  </si>
  <si>
    <t>TRN.TCPL</t>
  </si>
  <si>
    <t>WRP.TCPL</t>
  </si>
  <si>
    <t>basic</t>
  </si>
  <si>
    <t>RTL2</t>
  </si>
  <si>
    <t>RTL3</t>
  </si>
  <si>
    <t>RTL4</t>
  </si>
  <si>
    <t>RTL5</t>
  </si>
  <si>
    <t>RTL6</t>
  </si>
  <si>
    <t>RTL7</t>
  </si>
  <si>
    <t>RTL8</t>
  </si>
  <si>
    <t>RTL9</t>
  </si>
  <si>
    <t>RTL10</t>
  </si>
  <si>
    <t>RTL11</t>
  </si>
  <si>
    <t>RTL12</t>
  </si>
  <si>
    <t>RTL13</t>
  </si>
  <si>
    <t>RTL14</t>
  </si>
  <si>
    <t>RTL15</t>
  </si>
  <si>
    <t>RTL16</t>
  </si>
  <si>
    <t>RTL17</t>
  </si>
  <si>
    <t>RTL18</t>
  </si>
  <si>
    <t>RTL19</t>
  </si>
  <si>
    <t>RTL20</t>
  </si>
  <si>
    <t>RTL21</t>
  </si>
  <si>
    <t>RTL22</t>
  </si>
  <si>
    <t>RTL23</t>
  </si>
  <si>
    <t>RTL24</t>
  </si>
  <si>
    <t>RTL25</t>
  </si>
  <si>
    <t>RTL26</t>
  </si>
  <si>
    <t>RTL27</t>
  </si>
  <si>
    <t>RTL28</t>
  </si>
  <si>
    <t>RTL29</t>
  </si>
  <si>
    <t>RTL30</t>
  </si>
  <si>
    <t>RTL31</t>
  </si>
  <si>
    <t>RTL32</t>
  </si>
  <si>
    <t>RTL33</t>
  </si>
  <si>
    <t>RTL34</t>
  </si>
  <si>
    <t>RTL35</t>
  </si>
  <si>
    <t>RTL36</t>
  </si>
  <si>
    <t>RTL37</t>
  </si>
  <si>
    <t>RTL38</t>
  </si>
  <si>
    <t>RTL39</t>
  </si>
  <si>
    <t>RTL40</t>
  </si>
  <si>
    <t>RTL41</t>
  </si>
  <si>
    <t>RTL42</t>
  </si>
  <si>
    <t>RTL43</t>
  </si>
  <si>
    <t>RTL44</t>
  </si>
  <si>
    <t>RTL45</t>
  </si>
  <si>
    <t>RTL46</t>
  </si>
  <si>
    <t>RTL47</t>
  </si>
  <si>
    <t>RTL48</t>
  </si>
  <si>
    <t>RTL49</t>
  </si>
  <si>
    <t>RTL50</t>
  </si>
  <si>
    <t>RTL51</t>
  </si>
  <si>
    <t>RTL52</t>
  </si>
  <si>
    <t>RTL53</t>
  </si>
  <si>
    <t>RTL54</t>
  </si>
  <si>
    <t>RTL55</t>
  </si>
  <si>
    <t>RTL56</t>
  </si>
  <si>
    <t>RTL57</t>
  </si>
  <si>
    <t>RTL58</t>
  </si>
  <si>
    <t>RTL59</t>
  </si>
  <si>
    <t>RTL60</t>
  </si>
  <si>
    <t>RTL61</t>
  </si>
  <si>
    <t>RTL62</t>
  </si>
  <si>
    <t>RTL63</t>
  </si>
  <si>
    <t>RTL64</t>
  </si>
  <si>
    <t>RTL65</t>
  </si>
  <si>
    <t>RTL66</t>
  </si>
  <si>
    <t>RTL67</t>
  </si>
  <si>
    <t>RTL68</t>
  </si>
  <si>
    <t>RTL69</t>
  </si>
  <si>
    <t>RTL70</t>
  </si>
  <si>
    <t>RTL71</t>
  </si>
  <si>
    <t>RTL72</t>
  </si>
  <si>
    <t>RTL73</t>
  </si>
  <si>
    <t>RTL74</t>
  </si>
  <si>
    <t>RTL75</t>
  </si>
  <si>
    <t>RTL76</t>
  </si>
  <si>
    <t>RTL77</t>
  </si>
  <si>
    <t>RTL78</t>
  </si>
  <si>
    <t>RTL79</t>
  </si>
  <si>
    <t>RTL80</t>
  </si>
  <si>
    <t>RTL81</t>
  </si>
  <si>
    <t>RTL82</t>
  </si>
  <si>
    <t>RTL83</t>
  </si>
  <si>
    <t>RTL84</t>
  </si>
  <si>
    <t>RTL85</t>
  </si>
  <si>
    <t>RTL86</t>
  </si>
  <si>
    <t>RTL87</t>
  </si>
  <si>
    <t>RTL88</t>
  </si>
  <si>
    <t>RTL89</t>
  </si>
  <si>
    <t>RTL90</t>
  </si>
  <si>
    <t>RTL91</t>
  </si>
  <si>
    <t>RTL92</t>
  </si>
  <si>
    <t>RTL93</t>
  </si>
  <si>
    <t>RTL94</t>
  </si>
  <si>
    <t>RTL95</t>
  </si>
  <si>
    <t>RTL96</t>
  </si>
  <si>
    <t>RTL97</t>
  </si>
  <si>
    <t>RTL98</t>
  </si>
  <si>
    <t>RTL99</t>
  </si>
  <si>
    <t>RTL100</t>
  </si>
  <si>
    <t>extra</t>
  </si>
  <si>
    <t>Est_SUB</t>
  </si>
  <si>
    <t>Est_MUL</t>
  </si>
  <si>
    <t>RTL101</t>
  </si>
  <si>
    <t>RTL102</t>
  </si>
  <si>
    <t>RTL103</t>
  </si>
  <si>
    <t>RTL104</t>
  </si>
  <si>
    <t>RTL105</t>
  </si>
  <si>
    <t>RTL106</t>
  </si>
  <si>
    <t>RTL107</t>
  </si>
  <si>
    <t>RTL108</t>
  </si>
  <si>
    <t>RTL109</t>
  </si>
  <si>
    <t>RTL110</t>
  </si>
  <si>
    <t>RTL111</t>
  </si>
  <si>
    <t>RTL112</t>
  </si>
  <si>
    <t>RTL113</t>
  </si>
  <si>
    <t>RTL114</t>
  </si>
  <si>
    <t>RTL115</t>
  </si>
  <si>
    <t>RTL116</t>
  </si>
  <si>
    <t>RTL117</t>
  </si>
  <si>
    <t>RTL118</t>
  </si>
  <si>
    <t>RTL119</t>
  </si>
  <si>
    <t>RTL120</t>
  </si>
  <si>
    <t>RTL121</t>
  </si>
  <si>
    <t>RTL122</t>
  </si>
  <si>
    <t>RTL123</t>
  </si>
  <si>
    <t>RTL124</t>
  </si>
  <si>
    <t>RTL125</t>
  </si>
  <si>
    <t>RTL126</t>
  </si>
  <si>
    <t>RTL127</t>
  </si>
  <si>
    <t>RTL128</t>
  </si>
  <si>
    <t>RTL129</t>
  </si>
  <si>
    <t>RTL130</t>
  </si>
  <si>
    <t>DWT</t>
  </si>
  <si>
    <t>Est_Delay</t>
  </si>
  <si>
    <t>true | false | true | false | true</t>
  </si>
  <si>
    <t>true | false | false | true | false</t>
  </si>
  <si>
    <t>false | true | false | true</t>
  </si>
  <si>
    <t>false | true | true | false</t>
  </si>
  <si>
    <t>true | false | true | false</t>
  </si>
  <si>
    <t>true | false</t>
  </si>
  <si>
    <t>true | false | true</t>
  </si>
  <si>
    <t>false | true | false</t>
  </si>
  <si>
    <t>true | true | false | true | true | false | true | true | false | true | true | false | true | true | false | true</t>
  </si>
  <si>
    <t>true | false | false | true | false | false | true | false | false | true | false | false | true | false | false | true</t>
  </si>
  <si>
    <t>false | true | false | true | false | true</t>
  </si>
  <si>
    <t>true | false | false | true | false | false | true | false</t>
  </si>
  <si>
    <t>true | true | false | true | true | false</t>
  </si>
  <si>
    <t>true | false | false | true | false | false | true | false | false | true</t>
  </si>
  <si>
    <t>true | true | false | true | true | false | true | true | false | true</t>
  </si>
  <si>
    <t>false | true | false | true | false | true | false | true | false | true | false | true | false | true | false | true</t>
  </si>
  <si>
    <t>true | true | false | true | true</t>
  </si>
  <si>
    <t>true | false | true | false | true | false | true | false</t>
  </si>
  <si>
    <t>true | false | true | false | true | false</t>
  </si>
  <si>
    <t>false | true | false | true | false | true | false | true | false | true</t>
  </si>
  <si>
    <t>false | false | true | false | false | true | false | false | true | false | false | true | false | false | true | false</t>
  </si>
  <si>
    <t>true | false | true | false | true | false | true | false | true | false | true | false | true | false | true | false</t>
  </si>
  <si>
    <t>false | true | true | false | true | true</t>
  </si>
  <si>
    <t>false | false | true | false | false</t>
  </si>
  <si>
    <t>true | false | false | true | false | false</t>
  </si>
  <si>
    <t>false | true | true | false | true</t>
  </si>
  <si>
    <t>true | true | false | true</t>
  </si>
  <si>
    <t>true | false | false | true</t>
  </si>
  <si>
    <t>true | false | false</t>
  </si>
  <si>
    <t>true | true | false</t>
  </si>
  <si>
    <t>true | true | false | true | true | false | true | true</t>
  </si>
  <si>
    <t>QU_IN_DWT</t>
  </si>
  <si>
    <t>QU_IN_FRAC</t>
  </si>
  <si>
    <t>QU_IN_IF_SIGNED</t>
  </si>
  <si>
    <t>Est_FxMatch</t>
  </si>
  <si>
    <t>模块</t>
  </si>
  <si>
    <t>基本集例数</t>
  </si>
  <si>
    <t>基本集 MAPE</t>
  </si>
  <si>
    <t>独立集例数</t>
  </si>
  <si>
    <t>独立集 MAPE</t>
  </si>
  <si>
    <t>全部例数</t>
  </si>
  <si>
    <t>全部 MAPE</t>
  </si>
  <si>
    <t>Add</t>
  </si>
  <si>
    <t>Sub</t>
  </si>
  <si>
    <t>Mul</t>
  </si>
  <si>
    <t>Delay</t>
  </si>
  <si>
    <t>FxMatch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</si>
</sst>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000"/>
  </numFmts>
  <fonts count="5">
    <font>
      <sz val="11"/>
      <name val="Carlito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  <xf numFmtId="176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2"/>
  <sheetViews>
    <sheetView topLeftCell="D1" workbookViewId="0">
      <pane ySplit="1" topLeftCell="A138" activePane="bottomLeft" state="frozen"/>
      <selection pane="bottomLeft" activeCell="Q163" sqref="Q163"/>
    </sheetView>
  </sheetViews>
  <sheetFormatPr defaultRowHeight="14"/>
  <cols>
    <col min="1" max="1" width="6.6640625" customWidth="1"/>
    <col min="2" max="2" width="13.4140625" customWidth="1"/>
    <col min="3" max="3" width="14.1640625" customWidth="1"/>
    <col min="4" max="4" width="18.75" customWidth="1"/>
    <col min="5" max="5" width="13.4140625" customWidth="1"/>
    <col min="6" max="6" width="14.1640625" customWidth="1"/>
    <col min="7" max="7" width="18.75" customWidth="1"/>
    <col min="8" max="8" width="13.5" customWidth="1"/>
    <col min="9" max="9" width="14.25" customWidth="1"/>
    <col min="10" max="10" width="18.9140625" customWidth="1"/>
    <col min="11" max="11" width="6.75" customWidth="1"/>
    <col min="12" max="12" width="9.9140625" customWidth="1"/>
    <col min="13" max="13" width="9.75" customWidth="1"/>
    <col min="14" max="14" width="9.1640625" customWidth="1"/>
    <col min="15" max="15" width="15" customWidth="1"/>
    <col min="16" max="16" width="10.25" customWidth="1"/>
    <col min="17" max="17" width="6" customWidth="1"/>
    <col min="18" max="18" width="4.4140625" customWidth="1"/>
    <col min="19" max="19" width="9.914062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 t="s">
        <v>20</v>
      </c>
      <c r="B2" s="1">
        <v>9</v>
      </c>
      <c r="C2" s="1">
        <v>6</v>
      </c>
      <c r="D2" s="1" t="s">
        <v>21</v>
      </c>
      <c r="E2" s="1">
        <v>10</v>
      </c>
      <c r="F2" s="1">
        <v>2</v>
      </c>
      <c r="G2" s="1" t="s">
        <v>22</v>
      </c>
      <c r="H2" s="1">
        <v>10</v>
      </c>
      <c r="I2" s="1">
        <v>3</v>
      </c>
      <c r="J2" s="1" t="s">
        <v>21</v>
      </c>
      <c r="K2" s="1">
        <v>4</v>
      </c>
      <c r="L2" s="1" t="s">
        <v>23</v>
      </c>
      <c r="M2" s="1" t="s">
        <v>24</v>
      </c>
      <c r="N2" s="1" t="s">
        <v>21</v>
      </c>
      <c r="O2" s="1">
        <v>386.11999100000003</v>
      </c>
      <c r="P2" s="1">
        <v>377.07781699999998</v>
      </c>
      <c r="Q2" s="2">
        <f t="shared" ref="Q2:Q33" si="0">ABS(P2-O2)/O2</f>
        <v>2.3418041569362943E-2</v>
      </c>
      <c r="R2" s="1" t="s">
        <v>25</v>
      </c>
      <c r="S2" s="4">
        <v>18.600000000000001</v>
      </c>
      <c r="T2" s="5">
        <v>1.176000223495066E-4</v>
      </c>
    </row>
    <row r="3" spans="1:20">
      <c r="A3" s="1" t="s">
        <v>26</v>
      </c>
      <c r="B3" s="1">
        <v>16</v>
      </c>
      <c r="C3" s="1">
        <v>2</v>
      </c>
      <c r="D3" s="1" t="s">
        <v>21</v>
      </c>
      <c r="E3" s="1">
        <v>8</v>
      </c>
      <c r="F3" s="1">
        <v>4</v>
      </c>
      <c r="G3" s="1" t="s">
        <v>21</v>
      </c>
      <c r="H3" s="1">
        <v>5</v>
      </c>
      <c r="I3" s="1">
        <v>1</v>
      </c>
      <c r="J3" s="1" t="s">
        <v>21</v>
      </c>
      <c r="K3" s="1">
        <v>2</v>
      </c>
      <c r="L3" s="1" t="s">
        <v>23</v>
      </c>
      <c r="M3" s="1" t="s">
        <v>24</v>
      </c>
      <c r="N3" s="1" t="s">
        <v>22</v>
      </c>
      <c r="O3" s="1">
        <v>120.680001</v>
      </c>
      <c r="P3" s="1">
        <v>119.54568999999999</v>
      </c>
      <c r="Q3" s="2">
        <f t="shared" si="0"/>
        <v>9.3993287255608408E-3</v>
      </c>
      <c r="R3" s="1" t="s">
        <v>25</v>
      </c>
      <c r="S3" s="4">
        <v>19.190000000000001</v>
      </c>
      <c r="T3" s="5">
        <v>9.9500000942498446E-5</v>
      </c>
    </row>
    <row r="4" spans="1:20">
      <c r="A4" s="1" t="s">
        <v>27</v>
      </c>
      <c r="B4" s="1">
        <v>16</v>
      </c>
      <c r="C4" s="1">
        <v>8</v>
      </c>
      <c r="D4" s="1" t="s">
        <v>22</v>
      </c>
      <c r="E4" s="1">
        <v>4</v>
      </c>
      <c r="F4" s="1">
        <v>1</v>
      </c>
      <c r="G4" s="1" t="s">
        <v>22</v>
      </c>
      <c r="H4" s="1">
        <v>5</v>
      </c>
      <c r="I4" s="1">
        <v>1</v>
      </c>
      <c r="J4" s="1" t="s">
        <v>22</v>
      </c>
      <c r="K4" s="1">
        <v>0</v>
      </c>
      <c r="L4" s="1" t="s">
        <v>23</v>
      </c>
      <c r="M4" s="1" t="s">
        <v>24</v>
      </c>
      <c r="N4" s="1" t="s">
        <v>22</v>
      </c>
      <c r="O4" s="1">
        <v>55.16</v>
      </c>
      <c r="P4" s="1">
        <v>55.263026000000004</v>
      </c>
      <c r="Q4" s="2">
        <f t="shared" si="0"/>
        <v>1.8677664974620549E-3</v>
      </c>
      <c r="R4" s="1" t="s">
        <v>25</v>
      </c>
      <c r="S4" s="4">
        <v>19.27</v>
      </c>
      <c r="T4" s="5">
        <v>9.9800003226846457E-5</v>
      </c>
    </row>
    <row r="5" spans="1:20">
      <c r="A5" s="1" t="s">
        <v>28</v>
      </c>
      <c r="B5" s="1">
        <v>10</v>
      </c>
      <c r="C5" s="1">
        <v>8</v>
      </c>
      <c r="D5" s="1" t="s">
        <v>22</v>
      </c>
      <c r="E5" s="1">
        <v>8</v>
      </c>
      <c r="F5" s="1">
        <v>6</v>
      </c>
      <c r="G5" s="1" t="s">
        <v>21</v>
      </c>
      <c r="H5" s="1">
        <v>12</v>
      </c>
      <c r="I5" s="1">
        <v>0</v>
      </c>
      <c r="J5" s="1" t="s">
        <v>21</v>
      </c>
      <c r="K5" s="1">
        <v>3</v>
      </c>
      <c r="L5" s="1" t="s">
        <v>23</v>
      </c>
      <c r="M5" s="1" t="s">
        <v>24</v>
      </c>
      <c r="N5" s="1" t="s">
        <v>21</v>
      </c>
      <c r="O5" s="1">
        <v>319.75999200000001</v>
      </c>
      <c r="P5" s="1">
        <v>313.56260600000002</v>
      </c>
      <c r="Q5" s="2">
        <f t="shared" si="0"/>
        <v>1.9381367760354443E-2</v>
      </c>
      <c r="R5" s="1" t="s">
        <v>25</v>
      </c>
      <c r="S5" s="4">
        <v>18.170000000000002</v>
      </c>
      <c r="T5" s="5">
        <v>9.7799987997859716E-5</v>
      </c>
    </row>
    <row r="6" spans="1:20">
      <c r="A6" s="1" t="s">
        <v>29</v>
      </c>
      <c r="B6" s="1">
        <v>10</v>
      </c>
      <c r="C6" s="1">
        <v>1</v>
      </c>
      <c r="D6" s="1" t="s">
        <v>22</v>
      </c>
      <c r="E6" s="1">
        <v>10</v>
      </c>
      <c r="F6" s="1">
        <v>4</v>
      </c>
      <c r="G6" s="1" t="s">
        <v>22</v>
      </c>
      <c r="H6" s="1">
        <v>12</v>
      </c>
      <c r="I6" s="1">
        <v>1</v>
      </c>
      <c r="J6" s="1" t="s">
        <v>22</v>
      </c>
      <c r="K6" s="1">
        <v>1</v>
      </c>
      <c r="L6" s="1" t="s">
        <v>23</v>
      </c>
      <c r="M6" s="1" t="s">
        <v>24</v>
      </c>
      <c r="N6" s="1" t="s">
        <v>21</v>
      </c>
      <c r="O6" s="1">
        <v>180.039997</v>
      </c>
      <c r="P6" s="1">
        <v>181.76558600000001</v>
      </c>
      <c r="Q6" s="2">
        <f t="shared" si="0"/>
        <v>9.5844758317787226E-3</v>
      </c>
      <c r="R6" s="1" t="s">
        <v>25</v>
      </c>
      <c r="S6" s="4">
        <v>18.809999999999999</v>
      </c>
      <c r="T6" s="5">
        <v>9.9800003226846457E-5</v>
      </c>
    </row>
    <row r="7" spans="1:20">
      <c r="A7" s="1" t="s">
        <v>30</v>
      </c>
      <c r="B7" s="1">
        <v>12</v>
      </c>
      <c r="C7" s="1">
        <v>3</v>
      </c>
      <c r="D7" s="1" t="s">
        <v>21</v>
      </c>
      <c r="E7" s="1">
        <v>8</v>
      </c>
      <c r="F7" s="1">
        <v>4</v>
      </c>
      <c r="G7" s="1" t="s">
        <v>21</v>
      </c>
      <c r="H7" s="1">
        <v>5</v>
      </c>
      <c r="I7" s="1">
        <v>2</v>
      </c>
      <c r="J7" s="1" t="s">
        <v>21</v>
      </c>
      <c r="K7" s="1">
        <v>6</v>
      </c>
      <c r="L7" s="1" t="s">
        <v>23</v>
      </c>
      <c r="M7" s="1" t="s">
        <v>24</v>
      </c>
      <c r="N7" s="1" t="s">
        <v>21</v>
      </c>
      <c r="O7" s="1">
        <v>263.47999299999998</v>
      </c>
      <c r="P7" s="1">
        <v>262.34568999999999</v>
      </c>
      <c r="Q7" s="2">
        <f t="shared" si="0"/>
        <v>4.3050820940320452E-3</v>
      </c>
      <c r="R7" s="1" t="s">
        <v>25</v>
      </c>
      <c r="S7" s="4">
        <v>19.190000000000001</v>
      </c>
      <c r="T7" s="5">
        <v>9.1299996711313725E-5</v>
      </c>
    </row>
    <row r="8" spans="1:20">
      <c r="A8" s="1" t="s">
        <v>31</v>
      </c>
      <c r="B8" s="1">
        <v>6</v>
      </c>
      <c r="C8" s="1">
        <v>4</v>
      </c>
      <c r="D8" s="1" t="s">
        <v>22</v>
      </c>
      <c r="E8" s="1">
        <v>5</v>
      </c>
      <c r="F8" s="1">
        <v>1</v>
      </c>
      <c r="G8" s="1" t="s">
        <v>21</v>
      </c>
      <c r="H8" s="1">
        <v>16</v>
      </c>
      <c r="I8" s="1">
        <v>8</v>
      </c>
      <c r="J8" s="1" t="s">
        <v>21</v>
      </c>
      <c r="K8" s="1">
        <v>1</v>
      </c>
      <c r="L8" s="1" t="s">
        <v>23</v>
      </c>
      <c r="M8" s="1" t="s">
        <v>24</v>
      </c>
      <c r="N8" s="1" t="s">
        <v>21</v>
      </c>
      <c r="O8" s="1">
        <v>143.919997</v>
      </c>
      <c r="P8" s="1">
        <v>157.640613</v>
      </c>
      <c r="Q8" s="2">
        <f t="shared" si="0"/>
        <v>9.5335021442503276E-2</v>
      </c>
      <c r="R8" s="1" t="s">
        <v>25</v>
      </c>
      <c r="S8" s="4">
        <v>19.02</v>
      </c>
      <c r="T8" s="5">
        <v>9.1599998995661736E-5</v>
      </c>
    </row>
    <row r="9" spans="1:20">
      <c r="A9" s="1" t="s">
        <v>32</v>
      </c>
      <c r="B9" s="1">
        <v>8</v>
      </c>
      <c r="C9" s="1">
        <v>3</v>
      </c>
      <c r="D9" s="1" t="s">
        <v>22</v>
      </c>
      <c r="E9" s="1">
        <v>9</v>
      </c>
      <c r="F9" s="1">
        <v>6</v>
      </c>
      <c r="G9" s="1" t="s">
        <v>21</v>
      </c>
      <c r="H9" s="1">
        <v>6</v>
      </c>
      <c r="I9" s="1">
        <v>0</v>
      </c>
      <c r="J9" s="1" t="s">
        <v>21</v>
      </c>
      <c r="K9" s="1">
        <v>1</v>
      </c>
      <c r="L9" s="1" t="s">
        <v>23</v>
      </c>
      <c r="M9" s="1" t="s">
        <v>24</v>
      </c>
      <c r="N9" s="1" t="s">
        <v>21</v>
      </c>
      <c r="O9" s="1">
        <v>125.159998</v>
      </c>
      <c r="P9" s="1">
        <v>128.435678</v>
      </c>
      <c r="Q9" s="2">
        <f t="shared" si="0"/>
        <v>2.6171940335122042E-2</v>
      </c>
      <c r="R9" s="1" t="s">
        <v>25</v>
      </c>
      <c r="S9" s="4">
        <v>19.37</v>
      </c>
      <c r="T9" s="5">
        <v>9.4200018793344498E-5</v>
      </c>
    </row>
    <row r="10" spans="1:20">
      <c r="A10" s="1" t="s">
        <v>33</v>
      </c>
      <c r="B10" s="1">
        <v>9</v>
      </c>
      <c r="C10" s="1">
        <v>2</v>
      </c>
      <c r="D10" s="1" t="s">
        <v>22</v>
      </c>
      <c r="E10" s="1">
        <v>8</v>
      </c>
      <c r="F10" s="1">
        <v>0</v>
      </c>
      <c r="G10" s="1" t="s">
        <v>22</v>
      </c>
      <c r="H10" s="1">
        <v>12</v>
      </c>
      <c r="I10" s="1">
        <v>8</v>
      </c>
      <c r="J10" s="1" t="s">
        <v>22</v>
      </c>
      <c r="K10" s="1">
        <v>4</v>
      </c>
      <c r="L10" s="1" t="s">
        <v>23</v>
      </c>
      <c r="M10" s="1" t="s">
        <v>24</v>
      </c>
      <c r="N10" s="1" t="s">
        <v>22</v>
      </c>
      <c r="O10" s="1">
        <v>191.80000200000001</v>
      </c>
      <c r="P10" s="1">
        <v>192.17032599999999</v>
      </c>
      <c r="Q10" s="2">
        <f t="shared" si="0"/>
        <v>1.9307820445173005E-3</v>
      </c>
      <c r="R10" s="1" t="s">
        <v>25</v>
      </c>
      <c r="S10" s="4">
        <v>19.63</v>
      </c>
      <c r="T10" s="5">
        <v>9.280000813305378E-5</v>
      </c>
    </row>
    <row r="11" spans="1:20">
      <c r="A11" s="1" t="s">
        <v>34</v>
      </c>
      <c r="B11" s="1">
        <v>9</v>
      </c>
      <c r="C11" s="1">
        <v>2</v>
      </c>
      <c r="D11" s="1" t="s">
        <v>21</v>
      </c>
      <c r="E11" s="1">
        <v>9</v>
      </c>
      <c r="F11" s="1">
        <v>4</v>
      </c>
      <c r="G11" s="1" t="s">
        <v>22</v>
      </c>
      <c r="H11" s="1">
        <v>12</v>
      </c>
      <c r="I11" s="1">
        <v>0</v>
      </c>
      <c r="J11" s="1" t="s">
        <v>21</v>
      </c>
      <c r="K11" s="1">
        <v>0</v>
      </c>
      <c r="L11" s="1" t="s">
        <v>23</v>
      </c>
      <c r="M11" s="1" t="s">
        <v>24</v>
      </c>
      <c r="N11" s="1" t="s">
        <v>21</v>
      </c>
      <c r="O11" s="1">
        <v>107.52</v>
      </c>
      <c r="P11" s="1">
        <v>120.27142000000001</v>
      </c>
      <c r="Q11" s="2">
        <f t="shared" si="0"/>
        <v>0.11859579613095247</v>
      </c>
      <c r="R11" s="1" t="s">
        <v>25</v>
      </c>
      <c r="S11" s="4">
        <v>19.440000000000001</v>
      </c>
      <c r="T11" s="5">
        <v>1.009000116027892E-4</v>
      </c>
    </row>
    <row r="12" spans="1:20">
      <c r="A12" s="1" t="s">
        <v>35</v>
      </c>
      <c r="B12" s="1">
        <v>14</v>
      </c>
      <c r="C12" s="1">
        <v>1</v>
      </c>
      <c r="D12" s="1" t="s">
        <v>21</v>
      </c>
      <c r="E12" s="1">
        <v>9</v>
      </c>
      <c r="F12" s="1">
        <v>6</v>
      </c>
      <c r="G12" s="1" t="s">
        <v>22</v>
      </c>
      <c r="H12" s="1">
        <v>5</v>
      </c>
      <c r="I12" s="1">
        <v>1</v>
      </c>
      <c r="J12" s="1" t="s">
        <v>21</v>
      </c>
      <c r="K12" s="1">
        <v>0</v>
      </c>
      <c r="L12" s="1" t="s">
        <v>23</v>
      </c>
      <c r="M12" s="1" t="s">
        <v>24</v>
      </c>
      <c r="N12" s="1" t="s">
        <v>21</v>
      </c>
      <c r="O12" s="1">
        <v>55.16</v>
      </c>
      <c r="P12" s="1">
        <v>60.616664</v>
      </c>
      <c r="Q12" s="2">
        <f t="shared" si="0"/>
        <v>9.8924292965917399E-2</v>
      </c>
      <c r="R12" s="1" t="s">
        <v>25</v>
      </c>
      <c r="S12" s="4">
        <v>19.420000000000002</v>
      </c>
      <c r="T12" s="5">
        <v>9.5299968961626291E-5</v>
      </c>
    </row>
    <row r="13" spans="1:20">
      <c r="A13" s="1" t="s">
        <v>36</v>
      </c>
      <c r="B13" s="1">
        <v>14</v>
      </c>
      <c r="C13" s="1">
        <v>3</v>
      </c>
      <c r="D13" s="1" t="s">
        <v>21</v>
      </c>
      <c r="E13" s="1">
        <v>5</v>
      </c>
      <c r="F13" s="1">
        <v>0</v>
      </c>
      <c r="G13" s="1" t="s">
        <v>21</v>
      </c>
      <c r="H13" s="1">
        <v>16</v>
      </c>
      <c r="I13" s="1">
        <v>4</v>
      </c>
      <c r="J13" s="1" t="s">
        <v>21</v>
      </c>
      <c r="K13" s="1">
        <v>2</v>
      </c>
      <c r="L13" s="1" t="s">
        <v>23</v>
      </c>
      <c r="M13" s="1" t="s">
        <v>24</v>
      </c>
      <c r="N13" s="1" t="s">
        <v>21</v>
      </c>
      <c r="O13" s="1">
        <v>349.43999300000002</v>
      </c>
      <c r="P13" s="1">
        <v>352.99552799999998</v>
      </c>
      <c r="Q13" s="2">
        <f t="shared" si="0"/>
        <v>1.0174951554557648E-2</v>
      </c>
      <c r="R13" s="1" t="s">
        <v>25</v>
      </c>
      <c r="S13" s="4">
        <v>19.95</v>
      </c>
      <c r="T13" s="5">
        <v>9.8599994089454412E-5</v>
      </c>
    </row>
    <row r="14" spans="1:20">
      <c r="A14" s="1" t="s">
        <v>37</v>
      </c>
      <c r="B14" s="1">
        <v>9</v>
      </c>
      <c r="C14" s="1">
        <v>4</v>
      </c>
      <c r="D14" s="1" t="s">
        <v>22</v>
      </c>
      <c r="E14" s="1">
        <v>14</v>
      </c>
      <c r="F14" s="1">
        <v>0</v>
      </c>
      <c r="G14" s="1" t="s">
        <v>21</v>
      </c>
      <c r="H14" s="1">
        <v>10</v>
      </c>
      <c r="I14" s="1">
        <v>2</v>
      </c>
      <c r="J14" s="1" t="s">
        <v>21</v>
      </c>
      <c r="K14" s="1">
        <v>3</v>
      </c>
      <c r="L14" s="1" t="s">
        <v>23</v>
      </c>
      <c r="M14" s="1" t="s">
        <v>24</v>
      </c>
      <c r="N14" s="1" t="s">
        <v>22</v>
      </c>
      <c r="O14" s="1">
        <v>267.680003</v>
      </c>
      <c r="P14" s="1">
        <v>273.59515299999998</v>
      </c>
      <c r="Q14" s="2">
        <f t="shared" si="0"/>
        <v>2.2097840457660122E-2</v>
      </c>
      <c r="R14" s="1" t="s">
        <v>25</v>
      </c>
      <c r="S14" s="4">
        <v>19.87</v>
      </c>
      <c r="T14" s="5">
        <v>9.5500028692185879E-5</v>
      </c>
    </row>
    <row r="15" spans="1:20">
      <c r="A15" s="1" t="s">
        <v>38</v>
      </c>
      <c r="B15" s="1">
        <v>9</v>
      </c>
      <c r="C15" s="1">
        <v>6</v>
      </c>
      <c r="D15" s="1" t="s">
        <v>22</v>
      </c>
      <c r="E15" s="1">
        <v>6</v>
      </c>
      <c r="F15" s="1">
        <v>2</v>
      </c>
      <c r="G15" s="1" t="s">
        <v>21</v>
      </c>
      <c r="H15" s="1">
        <v>10</v>
      </c>
      <c r="I15" s="1">
        <v>3</v>
      </c>
      <c r="J15" s="1" t="s">
        <v>21</v>
      </c>
      <c r="K15" s="1">
        <v>1</v>
      </c>
      <c r="L15" s="1" t="s">
        <v>23</v>
      </c>
      <c r="M15" s="1" t="s">
        <v>24</v>
      </c>
      <c r="N15" s="1" t="s">
        <v>22</v>
      </c>
      <c r="O15" s="1">
        <v>136.08000100000001</v>
      </c>
      <c r="P15" s="1">
        <v>141.492842</v>
      </c>
      <c r="Q15" s="2">
        <f t="shared" si="0"/>
        <v>3.9776902999875678E-2</v>
      </c>
      <c r="R15" s="1" t="s">
        <v>25</v>
      </c>
      <c r="S15" s="4">
        <v>19.59</v>
      </c>
      <c r="T15" s="5">
        <v>9.2200003564357758E-5</v>
      </c>
    </row>
    <row r="16" spans="1:20">
      <c r="A16" s="1" t="s">
        <v>39</v>
      </c>
      <c r="B16" s="1">
        <v>14</v>
      </c>
      <c r="C16" s="1">
        <v>8</v>
      </c>
      <c r="D16" s="1" t="s">
        <v>22</v>
      </c>
      <c r="E16" s="1">
        <v>8</v>
      </c>
      <c r="F16" s="1">
        <v>2</v>
      </c>
      <c r="G16" s="1" t="s">
        <v>21</v>
      </c>
      <c r="H16" s="1">
        <v>6</v>
      </c>
      <c r="I16" s="1">
        <v>1</v>
      </c>
      <c r="J16" s="1" t="s">
        <v>21</v>
      </c>
      <c r="K16" s="1">
        <v>1</v>
      </c>
      <c r="L16" s="1" t="s">
        <v>23</v>
      </c>
      <c r="M16" s="1" t="s">
        <v>24</v>
      </c>
      <c r="N16" s="1" t="s">
        <v>21</v>
      </c>
      <c r="O16" s="1">
        <v>125.719998</v>
      </c>
      <c r="P16" s="1">
        <v>113.934453</v>
      </c>
      <c r="Q16" s="2">
        <f t="shared" si="0"/>
        <v>9.3744393791670266E-2</v>
      </c>
      <c r="R16" s="1" t="s">
        <v>25</v>
      </c>
      <c r="S16" s="4">
        <v>19.649999999999999</v>
      </c>
      <c r="T16" s="5">
        <v>9.3200011178851128E-5</v>
      </c>
    </row>
    <row r="17" spans="1:20">
      <c r="A17" s="1" t="s">
        <v>40</v>
      </c>
      <c r="B17" s="1">
        <v>12</v>
      </c>
      <c r="C17" s="1">
        <v>8</v>
      </c>
      <c r="D17" s="1" t="s">
        <v>22</v>
      </c>
      <c r="E17" s="1">
        <v>14</v>
      </c>
      <c r="F17" s="1">
        <v>0</v>
      </c>
      <c r="G17" s="1" t="s">
        <v>21</v>
      </c>
      <c r="H17" s="1">
        <v>16</v>
      </c>
      <c r="I17" s="1">
        <v>4</v>
      </c>
      <c r="J17" s="1" t="s">
        <v>21</v>
      </c>
      <c r="K17" s="1">
        <v>4</v>
      </c>
      <c r="L17" s="1" t="s">
        <v>23</v>
      </c>
      <c r="M17" s="1" t="s">
        <v>24</v>
      </c>
      <c r="N17" s="1" t="s">
        <v>22</v>
      </c>
      <c r="O17" s="1">
        <v>493.64000700000003</v>
      </c>
      <c r="P17" s="1">
        <v>528.56240600000001</v>
      </c>
      <c r="Q17" s="2">
        <f t="shared" si="0"/>
        <v>7.0744669201821764E-2</v>
      </c>
      <c r="R17" s="1" t="s">
        <v>25</v>
      </c>
      <c r="S17" s="4">
        <v>19.64</v>
      </c>
      <c r="T17" s="5">
        <v>1.02299964055419E-4</v>
      </c>
    </row>
    <row r="18" spans="1:20">
      <c r="A18" s="1" t="s">
        <v>41</v>
      </c>
      <c r="B18" s="1">
        <v>8</v>
      </c>
      <c r="C18" s="1">
        <v>2</v>
      </c>
      <c r="D18" s="1" t="s">
        <v>21</v>
      </c>
      <c r="E18" s="1">
        <v>9</v>
      </c>
      <c r="F18" s="1">
        <v>0</v>
      </c>
      <c r="G18" s="1" t="s">
        <v>21</v>
      </c>
      <c r="H18" s="1">
        <v>16</v>
      </c>
      <c r="I18" s="1">
        <v>0</v>
      </c>
      <c r="J18" s="1" t="s">
        <v>21</v>
      </c>
      <c r="K18" s="1">
        <v>2</v>
      </c>
      <c r="L18" s="1" t="s">
        <v>23</v>
      </c>
      <c r="M18" s="1" t="s">
        <v>24</v>
      </c>
      <c r="N18" s="1" t="s">
        <v>21</v>
      </c>
      <c r="O18" s="1">
        <v>336.27999299999999</v>
      </c>
      <c r="P18" s="1">
        <v>334.75643500000001</v>
      </c>
      <c r="Q18" s="2">
        <f t="shared" si="0"/>
        <v>4.530623384424717E-3</v>
      </c>
      <c r="R18" s="1" t="s">
        <v>25</v>
      </c>
      <c r="S18" s="4">
        <v>19.46</v>
      </c>
      <c r="T18" s="5">
        <v>9.0699992142617702E-5</v>
      </c>
    </row>
    <row r="19" spans="1:20">
      <c r="A19" s="1" t="s">
        <v>42</v>
      </c>
      <c r="B19" s="1">
        <v>16</v>
      </c>
      <c r="C19" s="1">
        <v>4</v>
      </c>
      <c r="D19" s="1" t="s">
        <v>21</v>
      </c>
      <c r="E19" s="1">
        <v>4</v>
      </c>
      <c r="F19" s="1">
        <v>1</v>
      </c>
      <c r="G19" s="1" t="s">
        <v>22</v>
      </c>
      <c r="H19" s="1">
        <v>16</v>
      </c>
      <c r="I19" s="1">
        <v>2</v>
      </c>
      <c r="J19" s="1" t="s">
        <v>21</v>
      </c>
      <c r="K19" s="1">
        <v>4</v>
      </c>
      <c r="L19" s="1" t="s">
        <v>23</v>
      </c>
      <c r="M19" s="1" t="s">
        <v>24</v>
      </c>
      <c r="N19" s="1" t="s">
        <v>22</v>
      </c>
      <c r="O19" s="1">
        <v>491.96000700000002</v>
      </c>
      <c r="P19" s="1">
        <v>549.04333499999996</v>
      </c>
      <c r="Q19" s="2">
        <f t="shared" si="0"/>
        <v>0.11603245627240577</v>
      </c>
      <c r="R19" s="1" t="s">
        <v>25</v>
      </c>
      <c r="S19" s="4">
        <v>19.63</v>
      </c>
      <c r="T19" s="5">
        <v>9.5200026407837868E-5</v>
      </c>
    </row>
    <row r="20" spans="1:20">
      <c r="A20" s="1" t="s">
        <v>43</v>
      </c>
      <c r="B20" s="1">
        <v>12</v>
      </c>
      <c r="C20" s="1">
        <v>2</v>
      </c>
      <c r="D20" s="1" t="s">
        <v>22</v>
      </c>
      <c r="E20" s="1">
        <v>6</v>
      </c>
      <c r="F20" s="1">
        <v>0</v>
      </c>
      <c r="G20" s="1" t="s">
        <v>22</v>
      </c>
      <c r="H20" s="1">
        <v>5</v>
      </c>
      <c r="I20" s="1">
        <v>2</v>
      </c>
      <c r="J20" s="1" t="s">
        <v>22</v>
      </c>
      <c r="K20" s="1">
        <v>0</v>
      </c>
      <c r="L20" s="1" t="s">
        <v>23</v>
      </c>
      <c r="M20" s="1" t="s">
        <v>24</v>
      </c>
      <c r="N20" s="1" t="s">
        <v>22</v>
      </c>
      <c r="O20" s="1">
        <v>37.799999999999997</v>
      </c>
      <c r="P20" s="1">
        <v>38.451337000000002</v>
      </c>
      <c r="Q20" s="2">
        <f t="shared" si="0"/>
        <v>1.7231137566137703E-2</v>
      </c>
      <c r="R20" s="1" t="s">
        <v>25</v>
      </c>
      <c r="S20" s="4">
        <v>19.190000000000001</v>
      </c>
      <c r="T20" s="5">
        <v>8.8499975390732288E-5</v>
      </c>
    </row>
    <row r="21" spans="1:20">
      <c r="A21" s="1" t="s">
        <v>44</v>
      </c>
      <c r="B21" s="1">
        <v>10</v>
      </c>
      <c r="C21" s="1">
        <v>4</v>
      </c>
      <c r="D21" s="1" t="s">
        <v>21</v>
      </c>
      <c r="E21" s="1">
        <v>6</v>
      </c>
      <c r="F21" s="1">
        <v>1</v>
      </c>
      <c r="G21" s="1" t="s">
        <v>21</v>
      </c>
      <c r="H21" s="1">
        <v>10</v>
      </c>
      <c r="I21" s="1">
        <v>1</v>
      </c>
      <c r="J21" s="1" t="s">
        <v>21</v>
      </c>
      <c r="K21" s="1">
        <v>1</v>
      </c>
      <c r="L21" s="1" t="s">
        <v>23</v>
      </c>
      <c r="M21" s="1" t="s">
        <v>24</v>
      </c>
      <c r="N21" s="1" t="s">
        <v>22</v>
      </c>
      <c r="O21" s="1">
        <v>154.840001</v>
      </c>
      <c r="P21" s="1">
        <v>152.57550599999999</v>
      </c>
      <c r="Q21" s="2">
        <f t="shared" si="0"/>
        <v>1.4624741574368827E-2</v>
      </c>
      <c r="R21" s="1" t="s">
        <v>25</v>
      </c>
      <c r="S21" s="4">
        <v>19.34</v>
      </c>
      <c r="T21" s="5">
        <v>8.6600019130855799E-5</v>
      </c>
    </row>
    <row r="22" spans="1:20">
      <c r="A22" s="1" t="s">
        <v>45</v>
      </c>
      <c r="B22" s="1">
        <v>12</v>
      </c>
      <c r="C22" s="1">
        <v>6</v>
      </c>
      <c r="D22" s="1" t="s">
        <v>21</v>
      </c>
      <c r="E22" s="1">
        <v>5</v>
      </c>
      <c r="F22" s="1">
        <v>4</v>
      </c>
      <c r="G22" s="1" t="s">
        <v>21</v>
      </c>
      <c r="H22" s="1">
        <v>5</v>
      </c>
      <c r="I22" s="1">
        <v>1</v>
      </c>
      <c r="J22" s="1" t="s">
        <v>21</v>
      </c>
      <c r="K22" s="1">
        <v>3</v>
      </c>
      <c r="L22" s="1" t="s">
        <v>23</v>
      </c>
      <c r="M22" s="1" t="s">
        <v>24</v>
      </c>
      <c r="N22" s="1" t="s">
        <v>21</v>
      </c>
      <c r="O22" s="1">
        <v>181.71999700000001</v>
      </c>
      <c r="P22" s="1">
        <v>175.99606399999999</v>
      </c>
      <c r="Q22" s="2">
        <f t="shared" si="0"/>
        <v>3.1498641286022123E-2</v>
      </c>
      <c r="R22" s="1" t="s">
        <v>25</v>
      </c>
      <c r="S22" s="4">
        <v>19.37</v>
      </c>
      <c r="T22" s="5">
        <v>8.9799985289573669E-5</v>
      </c>
    </row>
    <row r="23" spans="1:20">
      <c r="A23" s="1" t="s">
        <v>46</v>
      </c>
      <c r="B23" s="1">
        <v>16</v>
      </c>
      <c r="C23" s="1">
        <v>3</v>
      </c>
      <c r="D23" s="1" t="s">
        <v>22</v>
      </c>
      <c r="E23" s="1">
        <v>14</v>
      </c>
      <c r="F23" s="1">
        <v>4</v>
      </c>
      <c r="G23" s="1" t="s">
        <v>22</v>
      </c>
      <c r="H23" s="1">
        <v>9</v>
      </c>
      <c r="I23" s="1">
        <v>0</v>
      </c>
      <c r="J23" s="1" t="s">
        <v>22</v>
      </c>
      <c r="K23" s="1">
        <v>6</v>
      </c>
      <c r="L23" s="1" t="s">
        <v>23</v>
      </c>
      <c r="M23" s="1" t="s">
        <v>24</v>
      </c>
      <c r="N23" s="1" t="s">
        <v>21</v>
      </c>
      <c r="O23" s="1">
        <v>499.79998799999998</v>
      </c>
      <c r="P23" s="1">
        <v>489.55111699999998</v>
      </c>
      <c r="Q23" s="2">
        <f t="shared" si="0"/>
        <v>2.050594487009073E-2</v>
      </c>
      <c r="R23" s="1" t="s">
        <v>25</v>
      </c>
      <c r="S23" s="4">
        <v>19.82</v>
      </c>
      <c r="T23" s="5">
        <v>9.6699979621917009E-5</v>
      </c>
    </row>
    <row r="24" spans="1:20">
      <c r="A24" s="1" t="s">
        <v>47</v>
      </c>
      <c r="B24" s="1">
        <v>9</v>
      </c>
      <c r="C24" s="1">
        <v>1</v>
      </c>
      <c r="D24" s="1" t="s">
        <v>21</v>
      </c>
      <c r="E24" s="1">
        <v>4</v>
      </c>
      <c r="F24" s="1">
        <v>2</v>
      </c>
      <c r="G24" s="1" t="s">
        <v>21</v>
      </c>
      <c r="H24" s="1">
        <v>6</v>
      </c>
      <c r="I24" s="1">
        <v>2</v>
      </c>
      <c r="J24" s="1" t="s">
        <v>21</v>
      </c>
      <c r="K24" s="1">
        <v>2</v>
      </c>
      <c r="L24" s="1" t="s">
        <v>23</v>
      </c>
      <c r="M24" s="1" t="s">
        <v>24</v>
      </c>
      <c r="N24" s="1" t="s">
        <v>22</v>
      </c>
      <c r="O24" s="1">
        <v>126.280001</v>
      </c>
      <c r="P24" s="1">
        <v>127.362764</v>
      </c>
      <c r="Q24" s="2">
        <f t="shared" si="0"/>
        <v>8.5743030679893643E-3</v>
      </c>
      <c r="R24" s="1" t="s">
        <v>25</v>
      </c>
      <c r="S24" s="4">
        <v>19.27</v>
      </c>
      <c r="T24" s="5">
        <v>8.5700012277811766E-5</v>
      </c>
    </row>
    <row r="25" spans="1:20">
      <c r="A25" s="1" t="s">
        <v>48</v>
      </c>
      <c r="B25" s="1">
        <v>9</v>
      </c>
      <c r="C25" s="1">
        <v>3</v>
      </c>
      <c r="D25" s="1" t="s">
        <v>21</v>
      </c>
      <c r="E25" s="1">
        <v>5</v>
      </c>
      <c r="F25" s="1">
        <v>3</v>
      </c>
      <c r="G25" s="1" t="s">
        <v>21</v>
      </c>
      <c r="H25" s="1">
        <v>6</v>
      </c>
      <c r="I25" s="1">
        <v>4</v>
      </c>
      <c r="J25" s="1" t="s">
        <v>21</v>
      </c>
      <c r="K25" s="1">
        <v>4</v>
      </c>
      <c r="L25" s="1" t="s">
        <v>23</v>
      </c>
      <c r="M25" s="1" t="s">
        <v>24</v>
      </c>
      <c r="N25" s="1" t="s">
        <v>21</v>
      </c>
      <c r="O25" s="1">
        <v>188.71999500000001</v>
      </c>
      <c r="P25" s="1">
        <v>190.305035</v>
      </c>
      <c r="Q25" s="2">
        <f t="shared" si="0"/>
        <v>8.3988980605896688E-3</v>
      </c>
      <c r="R25" s="1" t="s">
        <v>25</v>
      </c>
      <c r="S25" s="4">
        <v>19.690000000000001</v>
      </c>
      <c r="T25" s="5">
        <v>8.3699997048825026E-5</v>
      </c>
    </row>
    <row r="26" spans="1:20">
      <c r="A26" s="1" t="s">
        <v>49</v>
      </c>
      <c r="B26" s="1">
        <v>14</v>
      </c>
      <c r="C26" s="1">
        <v>2</v>
      </c>
      <c r="D26" s="1" t="s">
        <v>22</v>
      </c>
      <c r="E26" s="1">
        <v>8</v>
      </c>
      <c r="F26" s="1">
        <v>6</v>
      </c>
      <c r="G26" s="1" t="s">
        <v>22</v>
      </c>
      <c r="H26" s="1">
        <v>10</v>
      </c>
      <c r="I26" s="1">
        <v>3</v>
      </c>
      <c r="J26" s="1" t="s">
        <v>22</v>
      </c>
      <c r="K26" s="1">
        <v>3</v>
      </c>
      <c r="L26" s="1" t="s">
        <v>23</v>
      </c>
      <c r="M26" s="1" t="s">
        <v>24</v>
      </c>
      <c r="N26" s="1" t="s">
        <v>21</v>
      </c>
      <c r="O26" s="1">
        <v>289.23999300000003</v>
      </c>
      <c r="P26" s="1">
        <v>283.10962599999999</v>
      </c>
      <c r="Q26" s="2">
        <f t="shared" si="0"/>
        <v>2.1194741904173794E-2</v>
      </c>
      <c r="R26" s="1" t="s">
        <v>25</v>
      </c>
      <c r="S26" s="4">
        <v>19.34</v>
      </c>
      <c r="T26" s="5">
        <v>9.5899973530322313E-5</v>
      </c>
    </row>
    <row r="27" spans="1:20">
      <c r="A27" s="1" t="s">
        <v>50</v>
      </c>
      <c r="B27" s="1">
        <v>14</v>
      </c>
      <c r="C27" s="1">
        <v>3</v>
      </c>
      <c r="D27" s="1" t="s">
        <v>22</v>
      </c>
      <c r="E27" s="1">
        <v>12</v>
      </c>
      <c r="F27" s="1">
        <v>2</v>
      </c>
      <c r="G27" s="1" t="s">
        <v>21</v>
      </c>
      <c r="H27" s="1">
        <v>8</v>
      </c>
      <c r="I27" s="1">
        <v>0</v>
      </c>
      <c r="J27" s="1" t="s">
        <v>21</v>
      </c>
      <c r="K27" s="1">
        <v>6</v>
      </c>
      <c r="L27" s="1" t="s">
        <v>23</v>
      </c>
      <c r="M27" s="1" t="s">
        <v>24</v>
      </c>
      <c r="N27" s="1" t="s">
        <v>22</v>
      </c>
      <c r="O27" s="1">
        <v>395.64000499999997</v>
      </c>
      <c r="P27" s="1">
        <v>388.81716699999998</v>
      </c>
      <c r="Q27" s="2">
        <f t="shared" si="0"/>
        <v>1.7245066003878932E-2</v>
      </c>
      <c r="R27" s="1" t="s">
        <v>25</v>
      </c>
      <c r="S27" s="4">
        <v>19.329999999999998</v>
      </c>
      <c r="T27" s="5">
        <v>9.7500043921172619E-5</v>
      </c>
    </row>
    <row r="28" spans="1:20">
      <c r="A28" s="1" t="s">
        <v>51</v>
      </c>
      <c r="B28" s="1">
        <v>16</v>
      </c>
      <c r="C28" s="1">
        <v>1</v>
      </c>
      <c r="D28" s="1" t="s">
        <v>22</v>
      </c>
      <c r="E28" s="1">
        <v>9</v>
      </c>
      <c r="F28" s="1">
        <v>1</v>
      </c>
      <c r="G28" s="1" t="s">
        <v>21</v>
      </c>
      <c r="H28" s="1">
        <v>8</v>
      </c>
      <c r="I28" s="1">
        <v>4</v>
      </c>
      <c r="J28" s="1" t="s">
        <v>21</v>
      </c>
      <c r="K28" s="1">
        <v>4</v>
      </c>
      <c r="L28" s="1" t="s">
        <v>23</v>
      </c>
      <c r="M28" s="1" t="s">
        <v>24</v>
      </c>
      <c r="N28" s="1" t="s">
        <v>21</v>
      </c>
      <c r="O28" s="1">
        <v>190.39999499999999</v>
      </c>
      <c r="P28" s="1">
        <v>192.08177699999999</v>
      </c>
      <c r="Q28" s="2">
        <f t="shared" si="0"/>
        <v>8.8328888874182922E-3</v>
      </c>
      <c r="R28" s="1" t="s">
        <v>25</v>
      </c>
      <c r="S28" s="4">
        <v>19.440000000000001</v>
      </c>
      <c r="T28" s="5">
        <v>9.399995906278491E-5</v>
      </c>
    </row>
    <row r="29" spans="1:20">
      <c r="A29" s="1" t="s">
        <v>52</v>
      </c>
      <c r="B29" s="1">
        <v>8</v>
      </c>
      <c r="C29" s="1">
        <v>4</v>
      </c>
      <c r="D29" s="1" t="s">
        <v>21</v>
      </c>
      <c r="E29" s="1">
        <v>14</v>
      </c>
      <c r="F29" s="1">
        <v>0</v>
      </c>
      <c r="G29" s="1" t="s">
        <v>22</v>
      </c>
      <c r="H29" s="1">
        <v>16</v>
      </c>
      <c r="I29" s="1">
        <v>1</v>
      </c>
      <c r="J29" s="1" t="s">
        <v>21</v>
      </c>
      <c r="K29" s="1">
        <v>0</v>
      </c>
      <c r="L29" s="1" t="s">
        <v>23</v>
      </c>
      <c r="M29" s="1" t="s">
        <v>24</v>
      </c>
      <c r="N29" s="1" t="s">
        <v>21</v>
      </c>
      <c r="O29" s="1">
        <v>198.51999900000001</v>
      </c>
      <c r="P29" s="1">
        <v>203.46124699999999</v>
      </c>
      <c r="Q29" s="2">
        <f t="shared" si="0"/>
        <v>2.4890429301281495E-2</v>
      </c>
      <c r="R29" s="1" t="s">
        <v>25</v>
      </c>
      <c r="S29" s="4">
        <v>19.87</v>
      </c>
      <c r="T29" s="5">
        <v>9.8899996373802423E-5</v>
      </c>
    </row>
    <row r="30" spans="1:20">
      <c r="A30" s="1" t="s">
        <v>53</v>
      </c>
      <c r="B30" s="1">
        <v>10</v>
      </c>
      <c r="C30" s="1">
        <v>6</v>
      </c>
      <c r="D30" s="1" t="s">
        <v>21</v>
      </c>
      <c r="E30" s="1">
        <v>10</v>
      </c>
      <c r="F30" s="1">
        <v>0</v>
      </c>
      <c r="G30" s="1" t="s">
        <v>22</v>
      </c>
      <c r="H30" s="1">
        <v>5</v>
      </c>
      <c r="I30" s="1">
        <v>4</v>
      </c>
      <c r="J30" s="1" t="s">
        <v>21</v>
      </c>
      <c r="K30" s="1">
        <v>1</v>
      </c>
      <c r="L30" s="1" t="s">
        <v>23</v>
      </c>
      <c r="M30" s="1" t="s">
        <v>24</v>
      </c>
      <c r="N30" s="1" t="s">
        <v>22</v>
      </c>
      <c r="O30" s="1">
        <v>44.520001000000001</v>
      </c>
      <c r="P30" s="1">
        <v>43.208353000000002</v>
      </c>
      <c r="Q30" s="2">
        <f t="shared" si="0"/>
        <v>2.9461993947394523E-2</v>
      </c>
      <c r="R30" s="1" t="s">
        <v>25</v>
      </c>
      <c r="S30" s="4">
        <v>19.54</v>
      </c>
      <c r="T30" s="5">
        <v>9.0499990619719028E-5</v>
      </c>
    </row>
    <row r="31" spans="1:20">
      <c r="A31" s="1" t="s">
        <v>54</v>
      </c>
      <c r="B31" s="1">
        <v>12</v>
      </c>
      <c r="C31" s="1">
        <v>2</v>
      </c>
      <c r="D31" s="1" t="s">
        <v>21</v>
      </c>
      <c r="E31" s="1">
        <v>5</v>
      </c>
      <c r="F31" s="1">
        <v>4</v>
      </c>
      <c r="G31" s="1" t="s">
        <v>22</v>
      </c>
      <c r="H31" s="1">
        <v>8</v>
      </c>
      <c r="I31" s="1">
        <v>4</v>
      </c>
      <c r="J31" s="1" t="s">
        <v>21</v>
      </c>
      <c r="K31" s="1">
        <v>0</v>
      </c>
      <c r="L31" s="1" t="s">
        <v>23</v>
      </c>
      <c r="M31" s="1" t="s">
        <v>24</v>
      </c>
      <c r="N31" s="1" t="s">
        <v>21</v>
      </c>
      <c r="O31" s="1">
        <v>63.28</v>
      </c>
      <c r="P31" s="1">
        <v>80.417626999999996</v>
      </c>
      <c r="Q31" s="2">
        <f t="shared" si="0"/>
        <v>0.27082217130214908</v>
      </c>
      <c r="R31" s="1" t="s">
        <v>25</v>
      </c>
      <c r="S31" s="4">
        <v>19.71</v>
      </c>
      <c r="T31" s="5">
        <v>9.1099995188415051E-5</v>
      </c>
    </row>
    <row r="32" spans="1:20">
      <c r="A32" s="1" t="s">
        <v>55</v>
      </c>
      <c r="B32" s="1">
        <v>10</v>
      </c>
      <c r="C32" s="1">
        <v>1</v>
      </c>
      <c r="D32" s="1" t="s">
        <v>21</v>
      </c>
      <c r="E32" s="1">
        <v>6</v>
      </c>
      <c r="F32" s="1">
        <v>4</v>
      </c>
      <c r="G32" s="1" t="s">
        <v>21</v>
      </c>
      <c r="H32" s="1">
        <v>16</v>
      </c>
      <c r="I32" s="1">
        <v>0</v>
      </c>
      <c r="J32" s="1" t="s">
        <v>21</v>
      </c>
      <c r="K32" s="1">
        <v>0</v>
      </c>
      <c r="L32" s="1" t="s">
        <v>23</v>
      </c>
      <c r="M32" s="1" t="s">
        <v>24</v>
      </c>
      <c r="N32" s="1" t="s">
        <v>21</v>
      </c>
      <c r="O32" s="1">
        <v>148.67999900000001</v>
      </c>
      <c r="P32" s="1">
        <v>143.36546000000001</v>
      </c>
      <c r="Q32" s="2">
        <f t="shared" si="0"/>
        <v>3.5744814606838919E-2</v>
      </c>
      <c r="R32" s="1" t="s">
        <v>25</v>
      </c>
      <c r="S32" s="4">
        <v>20.11</v>
      </c>
      <c r="T32" s="5">
        <v>9.4000017270445824E-5</v>
      </c>
    </row>
    <row r="33" spans="1:20">
      <c r="A33" s="1" t="s">
        <v>56</v>
      </c>
      <c r="B33" s="1">
        <v>8</v>
      </c>
      <c r="C33" s="1">
        <v>2</v>
      </c>
      <c r="D33" s="1" t="s">
        <v>22</v>
      </c>
      <c r="E33" s="1">
        <v>5</v>
      </c>
      <c r="F33" s="1">
        <v>1</v>
      </c>
      <c r="G33" s="1" t="s">
        <v>21</v>
      </c>
      <c r="H33" s="1">
        <v>8</v>
      </c>
      <c r="I33" s="1">
        <v>4</v>
      </c>
      <c r="J33" s="1" t="s">
        <v>21</v>
      </c>
      <c r="K33" s="1">
        <v>0</v>
      </c>
      <c r="L33" s="1" t="s">
        <v>23</v>
      </c>
      <c r="M33" s="1" t="s">
        <v>24</v>
      </c>
      <c r="N33" s="1" t="s">
        <v>21</v>
      </c>
      <c r="O33" s="1">
        <v>71.959999999999994</v>
      </c>
      <c r="P33" s="1">
        <v>65.299505999999994</v>
      </c>
      <c r="Q33" s="2">
        <f t="shared" si="0"/>
        <v>9.2558282379099507E-2</v>
      </c>
      <c r="R33" s="1" t="s">
        <v>25</v>
      </c>
      <c r="S33" s="4">
        <v>19.670000000000002</v>
      </c>
      <c r="T33" s="5">
        <v>8.690002141520381E-5</v>
      </c>
    </row>
    <row r="34" spans="1:20">
      <c r="A34" s="1" t="s">
        <v>57</v>
      </c>
      <c r="B34" s="1">
        <v>8</v>
      </c>
      <c r="C34" s="1">
        <v>1</v>
      </c>
      <c r="D34" s="1" t="s">
        <v>21</v>
      </c>
      <c r="E34" s="1">
        <v>5</v>
      </c>
      <c r="F34" s="1">
        <v>1</v>
      </c>
      <c r="G34" s="1" t="s">
        <v>22</v>
      </c>
      <c r="H34" s="1">
        <v>16</v>
      </c>
      <c r="I34" s="1">
        <v>1</v>
      </c>
      <c r="J34" s="1" t="s">
        <v>21</v>
      </c>
      <c r="K34" s="1">
        <v>4</v>
      </c>
      <c r="L34" s="1" t="s">
        <v>23</v>
      </c>
      <c r="M34" s="1" t="s">
        <v>24</v>
      </c>
      <c r="N34" s="1" t="s">
        <v>21</v>
      </c>
      <c r="O34" s="1">
        <v>528.07998599999996</v>
      </c>
      <c r="P34" s="1">
        <v>536.978522</v>
      </c>
      <c r="Q34" s="2">
        <f t="shared" ref="Q34:Q65" si="1">ABS(P34-O34)/O34</f>
        <v>1.6850735183893215E-2</v>
      </c>
      <c r="R34" s="1" t="s">
        <v>25</v>
      </c>
      <c r="S34" s="4">
        <v>19.46</v>
      </c>
      <c r="T34" s="5">
        <v>8.9699984528124332E-5</v>
      </c>
    </row>
    <row r="35" spans="1:20">
      <c r="A35" s="1" t="s">
        <v>58</v>
      </c>
      <c r="B35" s="1">
        <v>16</v>
      </c>
      <c r="C35" s="1">
        <v>4</v>
      </c>
      <c r="D35" s="1" t="s">
        <v>22</v>
      </c>
      <c r="E35" s="1">
        <v>10</v>
      </c>
      <c r="F35" s="1">
        <v>4</v>
      </c>
      <c r="G35" s="1" t="s">
        <v>22</v>
      </c>
      <c r="H35" s="1">
        <v>16</v>
      </c>
      <c r="I35" s="1">
        <v>2</v>
      </c>
      <c r="J35" s="1" t="s">
        <v>22</v>
      </c>
      <c r="K35" s="1">
        <v>3</v>
      </c>
      <c r="L35" s="1" t="s">
        <v>23</v>
      </c>
      <c r="M35" s="1" t="s">
        <v>24</v>
      </c>
      <c r="N35" s="1" t="s">
        <v>21</v>
      </c>
      <c r="O35" s="1">
        <v>455.27999</v>
      </c>
      <c r="P35" s="1">
        <v>458.61393700000002</v>
      </c>
      <c r="Q35" s="2">
        <f t="shared" si="1"/>
        <v>7.3228498357681467E-3</v>
      </c>
      <c r="R35" s="1" t="s">
        <v>25</v>
      </c>
      <c r="S35" s="4">
        <v>19.32</v>
      </c>
      <c r="T35" s="5">
        <v>1.022000215016305E-4</v>
      </c>
    </row>
    <row r="36" spans="1:20">
      <c r="A36" s="1" t="s">
        <v>59</v>
      </c>
      <c r="B36" s="1">
        <v>10</v>
      </c>
      <c r="C36" s="1">
        <v>2</v>
      </c>
      <c r="D36" s="1" t="s">
        <v>21</v>
      </c>
      <c r="E36" s="1">
        <v>9</v>
      </c>
      <c r="F36" s="1">
        <v>4</v>
      </c>
      <c r="G36" s="1" t="s">
        <v>21</v>
      </c>
      <c r="H36" s="1">
        <v>9</v>
      </c>
      <c r="I36" s="1">
        <v>4</v>
      </c>
      <c r="J36" s="1" t="s">
        <v>21</v>
      </c>
      <c r="K36" s="1">
        <v>6</v>
      </c>
      <c r="L36" s="1" t="s">
        <v>23</v>
      </c>
      <c r="M36" s="1" t="s">
        <v>24</v>
      </c>
      <c r="N36" s="1" t="s">
        <v>21</v>
      </c>
      <c r="O36" s="1">
        <v>465.63998800000002</v>
      </c>
      <c r="P36" s="1">
        <v>447.20639</v>
      </c>
      <c r="Q36" s="2">
        <f t="shared" si="1"/>
        <v>3.9587661015058735E-2</v>
      </c>
      <c r="R36" s="1" t="s">
        <v>25</v>
      </c>
      <c r="S36" s="4">
        <v>19.86</v>
      </c>
      <c r="T36" s="5">
        <v>8.890003664419055E-5</v>
      </c>
    </row>
    <row r="37" spans="1:20">
      <c r="A37" s="1" t="s">
        <v>60</v>
      </c>
      <c r="B37" s="1">
        <v>10</v>
      </c>
      <c r="C37" s="1">
        <v>2</v>
      </c>
      <c r="D37" s="1" t="s">
        <v>22</v>
      </c>
      <c r="E37" s="1">
        <v>10</v>
      </c>
      <c r="F37" s="1">
        <v>1</v>
      </c>
      <c r="G37" s="1" t="s">
        <v>21</v>
      </c>
      <c r="H37" s="1">
        <v>16</v>
      </c>
      <c r="I37" s="1">
        <v>6</v>
      </c>
      <c r="J37" s="1" t="s">
        <v>21</v>
      </c>
      <c r="K37" s="1">
        <v>0</v>
      </c>
      <c r="L37" s="1" t="s">
        <v>23</v>
      </c>
      <c r="M37" s="1" t="s">
        <v>24</v>
      </c>
      <c r="N37" s="1" t="s">
        <v>22</v>
      </c>
      <c r="O37" s="1">
        <v>137.75999899999999</v>
      </c>
      <c r="P37" s="1">
        <v>151.05967799999999</v>
      </c>
      <c r="Q37" s="2">
        <f t="shared" si="1"/>
        <v>9.6542386008582934E-2</v>
      </c>
      <c r="R37" s="1" t="s">
        <v>25</v>
      </c>
      <c r="S37" s="4">
        <v>19.75</v>
      </c>
      <c r="T37" s="5">
        <v>1.150000025518239E-4</v>
      </c>
    </row>
    <row r="38" spans="1:20">
      <c r="A38" s="1" t="s">
        <v>61</v>
      </c>
      <c r="B38" s="1">
        <v>16</v>
      </c>
      <c r="C38" s="1">
        <v>1</v>
      </c>
      <c r="D38" s="1" t="s">
        <v>21</v>
      </c>
      <c r="E38" s="1">
        <v>12</v>
      </c>
      <c r="F38" s="1">
        <v>4</v>
      </c>
      <c r="G38" s="1" t="s">
        <v>22</v>
      </c>
      <c r="H38" s="1">
        <v>16</v>
      </c>
      <c r="I38" s="1">
        <v>2</v>
      </c>
      <c r="J38" s="1" t="s">
        <v>21</v>
      </c>
      <c r="K38" s="1">
        <v>2</v>
      </c>
      <c r="L38" s="1" t="s">
        <v>23</v>
      </c>
      <c r="M38" s="1" t="s">
        <v>24</v>
      </c>
      <c r="N38" s="1" t="s">
        <v>22</v>
      </c>
      <c r="O38" s="1">
        <v>340.48000300000001</v>
      </c>
      <c r="P38" s="1">
        <v>373.650397</v>
      </c>
      <c r="Q38" s="2">
        <f t="shared" si="1"/>
        <v>9.74224439254366E-2</v>
      </c>
      <c r="R38" s="1" t="s">
        <v>25</v>
      </c>
      <c r="S38" s="4">
        <v>19.760000000000002</v>
      </c>
      <c r="T38" s="5">
        <v>1.278999843634665E-4</v>
      </c>
    </row>
    <row r="39" spans="1:20">
      <c r="A39" s="1" t="s">
        <v>62</v>
      </c>
      <c r="B39" s="1">
        <v>12</v>
      </c>
      <c r="C39" s="1">
        <v>6</v>
      </c>
      <c r="D39" s="1" t="s">
        <v>22</v>
      </c>
      <c r="E39" s="1">
        <v>4</v>
      </c>
      <c r="F39" s="1">
        <v>0</v>
      </c>
      <c r="G39" s="1" t="s">
        <v>22</v>
      </c>
      <c r="H39" s="1">
        <v>8</v>
      </c>
      <c r="I39" s="1">
        <v>6</v>
      </c>
      <c r="J39" s="1" t="s">
        <v>22</v>
      </c>
      <c r="K39" s="1">
        <v>1</v>
      </c>
      <c r="L39" s="1" t="s">
        <v>23</v>
      </c>
      <c r="M39" s="1" t="s">
        <v>24</v>
      </c>
      <c r="N39" s="1" t="s">
        <v>21</v>
      </c>
      <c r="O39" s="1">
        <v>83.439998000000003</v>
      </c>
      <c r="P39" s="1">
        <v>80.886972999999998</v>
      </c>
      <c r="Q39" s="2">
        <f t="shared" si="1"/>
        <v>3.0597136399739669E-2</v>
      </c>
      <c r="R39" s="1" t="s">
        <v>25</v>
      </c>
      <c r="S39" s="4">
        <v>19.53</v>
      </c>
      <c r="T39" s="5">
        <v>1.100000226870179E-4</v>
      </c>
    </row>
    <row r="40" spans="1:20">
      <c r="A40" s="1" t="s">
        <v>63</v>
      </c>
      <c r="B40" s="1">
        <v>14</v>
      </c>
      <c r="C40" s="1">
        <v>6</v>
      </c>
      <c r="D40" s="1" t="s">
        <v>21</v>
      </c>
      <c r="E40" s="1">
        <v>9</v>
      </c>
      <c r="F40" s="1">
        <v>3</v>
      </c>
      <c r="G40" s="1" t="s">
        <v>22</v>
      </c>
      <c r="H40" s="1">
        <v>8</v>
      </c>
      <c r="I40" s="1">
        <v>1</v>
      </c>
      <c r="J40" s="1" t="s">
        <v>21</v>
      </c>
      <c r="K40" s="1">
        <v>6</v>
      </c>
      <c r="L40" s="1" t="s">
        <v>23</v>
      </c>
      <c r="M40" s="1" t="s">
        <v>24</v>
      </c>
      <c r="N40" s="1" t="s">
        <v>21</v>
      </c>
      <c r="O40" s="1">
        <v>432.03998899999999</v>
      </c>
      <c r="P40" s="1">
        <v>429.13716699999998</v>
      </c>
      <c r="Q40" s="2">
        <f t="shared" si="1"/>
        <v>6.7188734235432424E-3</v>
      </c>
      <c r="R40" s="1" t="s">
        <v>25</v>
      </c>
      <c r="S40" s="4">
        <v>19.12</v>
      </c>
      <c r="T40" s="5">
        <v>1.142999972216785E-4</v>
      </c>
    </row>
    <row r="41" spans="1:20">
      <c r="A41" s="1" t="s">
        <v>64</v>
      </c>
      <c r="B41" s="1">
        <v>14</v>
      </c>
      <c r="C41" s="1">
        <v>4</v>
      </c>
      <c r="D41" s="1" t="s">
        <v>21</v>
      </c>
      <c r="E41" s="1">
        <v>12</v>
      </c>
      <c r="F41" s="1">
        <v>2</v>
      </c>
      <c r="G41" s="1" t="s">
        <v>22</v>
      </c>
      <c r="H41" s="1">
        <v>16</v>
      </c>
      <c r="I41" s="1">
        <v>4</v>
      </c>
      <c r="J41" s="1" t="s">
        <v>21</v>
      </c>
      <c r="K41" s="1">
        <v>4</v>
      </c>
      <c r="L41" s="1" t="s">
        <v>23</v>
      </c>
      <c r="M41" s="1" t="s">
        <v>24</v>
      </c>
      <c r="N41" s="1" t="s">
        <v>21</v>
      </c>
      <c r="O41" s="1">
        <v>600.31998599999997</v>
      </c>
      <c r="P41" s="1">
        <v>591.72067100000004</v>
      </c>
      <c r="Q41" s="2">
        <f t="shared" si="1"/>
        <v>1.4324552239711595E-2</v>
      </c>
      <c r="R41" s="1" t="s">
        <v>25</v>
      </c>
      <c r="S41" s="4">
        <v>19.46</v>
      </c>
      <c r="T41" s="5">
        <v>1.060999929904938E-4</v>
      </c>
    </row>
    <row r="42" spans="1:20">
      <c r="A42" s="1" t="s">
        <v>65</v>
      </c>
      <c r="B42" s="1">
        <v>6</v>
      </c>
      <c r="C42" s="1">
        <v>2</v>
      </c>
      <c r="D42" s="1" t="s">
        <v>22</v>
      </c>
      <c r="E42" s="1">
        <v>9</v>
      </c>
      <c r="F42" s="1">
        <v>0</v>
      </c>
      <c r="G42" s="1" t="s">
        <v>21</v>
      </c>
      <c r="H42" s="1">
        <v>16</v>
      </c>
      <c r="I42" s="1">
        <v>0</v>
      </c>
      <c r="J42" s="1" t="s">
        <v>21</v>
      </c>
      <c r="K42" s="1">
        <v>1</v>
      </c>
      <c r="L42" s="1" t="s">
        <v>23</v>
      </c>
      <c r="M42" s="1" t="s">
        <v>24</v>
      </c>
      <c r="N42" s="1" t="s">
        <v>22</v>
      </c>
      <c r="O42" s="1">
        <v>185.36000100000001</v>
      </c>
      <c r="P42" s="1">
        <v>213.796435</v>
      </c>
      <c r="Q42" s="2">
        <f t="shared" si="1"/>
        <v>0.15341192191728564</v>
      </c>
      <c r="R42" s="1" t="s">
        <v>25</v>
      </c>
      <c r="S42" s="4">
        <v>19.260000000000002</v>
      </c>
      <c r="T42" s="5">
        <v>1.009000116027892E-4</v>
      </c>
    </row>
    <row r="43" spans="1:20">
      <c r="A43" s="1" t="s">
        <v>66</v>
      </c>
      <c r="B43" s="1">
        <v>10</v>
      </c>
      <c r="C43" s="1">
        <v>8</v>
      </c>
      <c r="D43" s="1" t="s">
        <v>21</v>
      </c>
      <c r="E43" s="1">
        <v>10</v>
      </c>
      <c r="F43" s="1">
        <v>2</v>
      </c>
      <c r="G43" s="1" t="s">
        <v>21</v>
      </c>
      <c r="H43" s="1">
        <v>9</v>
      </c>
      <c r="I43" s="1">
        <v>3</v>
      </c>
      <c r="J43" s="1" t="s">
        <v>21</v>
      </c>
      <c r="K43" s="1">
        <v>0</v>
      </c>
      <c r="L43" s="1" t="s">
        <v>23</v>
      </c>
      <c r="M43" s="1" t="s">
        <v>24</v>
      </c>
      <c r="N43" s="1" t="s">
        <v>22</v>
      </c>
      <c r="O43" s="1">
        <v>116.2</v>
      </c>
      <c r="P43" s="1">
        <v>105.489054</v>
      </c>
      <c r="Q43" s="2">
        <f t="shared" si="1"/>
        <v>9.2176815834767695E-2</v>
      </c>
      <c r="R43" s="1" t="s">
        <v>25</v>
      </c>
      <c r="S43" s="4">
        <v>19.8</v>
      </c>
      <c r="T43" s="5">
        <v>9.970000246539712E-5</v>
      </c>
    </row>
    <row r="44" spans="1:20">
      <c r="A44" s="1" t="s">
        <v>67</v>
      </c>
      <c r="B44" s="1">
        <v>16</v>
      </c>
      <c r="C44" s="1">
        <v>8</v>
      </c>
      <c r="D44" s="1" t="s">
        <v>21</v>
      </c>
      <c r="E44" s="1">
        <v>12</v>
      </c>
      <c r="F44" s="1">
        <v>1</v>
      </c>
      <c r="G44" s="1" t="s">
        <v>21</v>
      </c>
      <c r="H44" s="1">
        <v>8</v>
      </c>
      <c r="I44" s="1">
        <v>6</v>
      </c>
      <c r="J44" s="1" t="s">
        <v>21</v>
      </c>
      <c r="K44" s="1">
        <v>0</v>
      </c>
      <c r="L44" s="1" t="s">
        <v>23</v>
      </c>
      <c r="M44" s="1" t="s">
        <v>24</v>
      </c>
      <c r="N44" s="1" t="s">
        <v>21</v>
      </c>
      <c r="O44" s="1">
        <v>47.88</v>
      </c>
      <c r="P44" s="1">
        <v>47.169635999999997</v>
      </c>
      <c r="Q44" s="2">
        <f t="shared" si="1"/>
        <v>1.4836340852130441E-2</v>
      </c>
      <c r="R44" s="1" t="s">
        <v>25</v>
      </c>
      <c r="S44" s="4">
        <v>19.82</v>
      </c>
      <c r="T44" s="5">
        <v>9.7099982667714357E-5</v>
      </c>
    </row>
    <row r="45" spans="1:20">
      <c r="A45" s="1" t="s">
        <v>68</v>
      </c>
      <c r="B45" s="1">
        <v>16</v>
      </c>
      <c r="C45" s="1">
        <v>3</v>
      </c>
      <c r="D45" s="1" t="s">
        <v>21</v>
      </c>
      <c r="E45" s="1">
        <v>14</v>
      </c>
      <c r="F45" s="1">
        <v>2</v>
      </c>
      <c r="G45" s="1" t="s">
        <v>22</v>
      </c>
      <c r="H45" s="1">
        <v>10</v>
      </c>
      <c r="I45" s="1">
        <v>8</v>
      </c>
      <c r="J45" s="1" t="s">
        <v>21</v>
      </c>
      <c r="K45" s="1">
        <v>4</v>
      </c>
      <c r="L45" s="1" t="s">
        <v>23</v>
      </c>
      <c r="M45" s="1" t="s">
        <v>24</v>
      </c>
      <c r="N45" s="1" t="s">
        <v>21</v>
      </c>
      <c r="O45" s="1">
        <v>185.359995</v>
      </c>
      <c r="P45" s="1">
        <v>182.775856</v>
      </c>
      <c r="Q45" s="2">
        <f t="shared" si="1"/>
        <v>1.3941190492587106E-2</v>
      </c>
      <c r="R45" s="1" t="s">
        <v>25</v>
      </c>
      <c r="S45" s="4">
        <v>19.47</v>
      </c>
      <c r="T45" s="5">
        <v>9.2499947641044855E-5</v>
      </c>
    </row>
    <row r="46" spans="1:20">
      <c r="A46" s="1" t="s">
        <v>69</v>
      </c>
      <c r="B46" s="1">
        <v>12</v>
      </c>
      <c r="C46" s="1">
        <v>1</v>
      </c>
      <c r="D46" s="1" t="s">
        <v>21</v>
      </c>
      <c r="E46" s="1">
        <v>9</v>
      </c>
      <c r="F46" s="1">
        <v>1</v>
      </c>
      <c r="G46" s="1" t="s">
        <v>21</v>
      </c>
      <c r="H46" s="1">
        <v>12</v>
      </c>
      <c r="I46" s="1">
        <v>8</v>
      </c>
      <c r="J46" s="1" t="s">
        <v>21</v>
      </c>
      <c r="K46" s="1">
        <v>1</v>
      </c>
      <c r="L46" s="1" t="s">
        <v>23</v>
      </c>
      <c r="M46" s="1" t="s">
        <v>24</v>
      </c>
      <c r="N46" s="1" t="s">
        <v>21</v>
      </c>
      <c r="O46" s="1">
        <v>92.959997999999999</v>
      </c>
      <c r="P46" s="1">
        <v>94.835261000000003</v>
      </c>
      <c r="Q46" s="2">
        <f t="shared" si="1"/>
        <v>2.0172795184440557E-2</v>
      </c>
      <c r="R46" s="1" t="s">
        <v>25</v>
      </c>
      <c r="S46" s="4">
        <v>19.37</v>
      </c>
      <c r="T46" s="5">
        <v>9.0299989096820354E-5</v>
      </c>
    </row>
    <row r="47" spans="1:20">
      <c r="A47" s="1" t="s">
        <v>70</v>
      </c>
      <c r="B47" s="1">
        <v>10</v>
      </c>
      <c r="C47" s="1">
        <v>3</v>
      </c>
      <c r="D47" s="1" t="s">
        <v>21</v>
      </c>
      <c r="E47" s="1">
        <v>10</v>
      </c>
      <c r="F47" s="1">
        <v>6</v>
      </c>
      <c r="G47" s="1" t="s">
        <v>21</v>
      </c>
      <c r="H47" s="1">
        <v>5</v>
      </c>
      <c r="I47" s="1">
        <v>3</v>
      </c>
      <c r="J47" s="1" t="s">
        <v>21</v>
      </c>
      <c r="K47" s="1">
        <v>0</v>
      </c>
      <c r="L47" s="1" t="s">
        <v>23</v>
      </c>
      <c r="M47" s="1" t="s">
        <v>24</v>
      </c>
      <c r="N47" s="1" t="s">
        <v>21</v>
      </c>
      <c r="O47" s="1">
        <v>75.88</v>
      </c>
      <c r="P47" s="1">
        <v>60.616664</v>
      </c>
      <c r="Q47" s="2">
        <f t="shared" si="1"/>
        <v>0.20115097522403791</v>
      </c>
      <c r="R47" s="1" t="s">
        <v>25</v>
      </c>
      <c r="S47" s="4">
        <v>19.72</v>
      </c>
      <c r="T47" s="5">
        <v>9.2300004325807095E-5</v>
      </c>
    </row>
    <row r="48" spans="1:20">
      <c r="A48" s="1" t="s">
        <v>71</v>
      </c>
      <c r="B48" s="1">
        <v>14</v>
      </c>
      <c r="C48" s="1">
        <v>4</v>
      </c>
      <c r="D48" s="1" t="s">
        <v>22</v>
      </c>
      <c r="E48" s="1">
        <v>8</v>
      </c>
      <c r="F48" s="1">
        <v>1</v>
      </c>
      <c r="G48" s="1" t="s">
        <v>22</v>
      </c>
      <c r="H48" s="1">
        <v>16</v>
      </c>
      <c r="I48" s="1">
        <v>0</v>
      </c>
      <c r="J48" s="1" t="s">
        <v>22</v>
      </c>
      <c r="K48" s="1">
        <v>0</v>
      </c>
      <c r="L48" s="1" t="s">
        <v>23</v>
      </c>
      <c r="M48" s="1" t="s">
        <v>24</v>
      </c>
      <c r="N48" s="1" t="s">
        <v>22</v>
      </c>
      <c r="O48" s="1">
        <v>130.19999899999999</v>
      </c>
      <c r="P48" s="1">
        <v>129.448095</v>
      </c>
      <c r="Q48" s="2">
        <f t="shared" si="1"/>
        <v>5.7749923638631996E-3</v>
      </c>
      <c r="R48" s="1" t="s">
        <v>25</v>
      </c>
      <c r="S48" s="4">
        <v>19.45</v>
      </c>
      <c r="T48" s="5">
        <v>1.134999911300838E-4</v>
      </c>
    </row>
    <row r="49" spans="1:20">
      <c r="A49" s="1" t="s">
        <v>72</v>
      </c>
      <c r="B49" s="1">
        <v>9</v>
      </c>
      <c r="C49" s="1">
        <v>1</v>
      </c>
      <c r="D49" s="1" t="s">
        <v>22</v>
      </c>
      <c r="E49" s="1">
        <v>4</v>
      </c>
      <c r="F49" s="1">
        <v>1</v>
      </c>
      <c r="G49" s="1" t="s">
        <v>22</v>
      </c>
      <c r="H49" s="1">
        <v>8</v>
      </c>
      <c r="I49" s="1">
        <v>0</v>
      </c>
      <c r="J49" s="1" t="s">
        <v>22</v>
      </c>
      <c r="K49" s="1">
        <v>3</v>
      </c>
      <c r="L49" s="1" t="s">
        <v>23</v>
      </c>
      <c r="M49" s="1" t="s">
        <v>24</v>
      </c>
      <c r="N49" s="1" t="s">
        <v>21</v>
      </c>
      <c r="O49" s="1">
        <v>232.67999399999999</v>
      </c>
      <c r="P49" s="1">
        <v>233.863788</v>
      </c>
      <c r="Q49" s="2">
        <f t="shared" si="1"/>
        <v>5.0876484034979219E-3</v>
      </c>
      <c r="R49" s="1" t="s">
        <v>25</v>
      </c>
      <c r="S49" s="4">
        <v>19.34</v>
      </c>
      <c r="T49" s="5">
        <v>9.5200026407837868E-5</v>
      </c>
    </row>
    <row r="50" spans="1:20">
      <c r="A50" s="1" t="s">
        <v>73</v>
      </c>
      <c r="B50" s="1">
        <v>8</v>
      </c>
      <c r="C50" s="1">
        <v>6</v>
      </c>
      <c r="D50" s="1" t="s">
        <v>21</v>
      </c>
      <c r="E50" s="1">
        <v>12</v>
      </c>
      <c r="F50" s="1">
        <v>1</v>
      </c>
      <c r="G50" s="1" t="s">
        <v>21</v>
      </c>
      <c r="H50" s="1">
        <v>5</v>
      </c>
      <c r="I50" s="1">
        <v>0</v>
      </c>
      <c r="J50" s="1" t="s">
        <v>21</v>
      </c>
      <c r="K50" s="1">
        <v>4</v>
      </c>
      <c r="L50" s="1" t="s">
        <v>23</v>
      </c>
      <c r="M50" s="1" t="s">
        <v>24</v>
      </c>
      <c r="N50" s="1" t="s">
        <v>22</v>
      </c>
      <c r="O50" s="1">
        <v>179.48000200000001</v>
      </c>
      <c r="P50" s="1">
        <v>178.34568999999999</v>
      </c>
      <c r="Q50" s="2">
        <f t="shared" si="1"/>
        <v>6.3199910149322512E-3</v>
      </c>
      <c r="R50" s="1" t="s">
        <v>25</v>
      </c>
      <c r="S50" s="4">
        <v>19.77</v>
      </c>
      <c r="T50" s="5">
        <v>9.5000024884939194E-5</v>
      </c>
    </row>
    <row r="51" spans="1:20">
      <c r="A51" s="1" t="s">
        <v>74</v>
      </c>
      <c r="B51" s="1">
        <v>16</v>
      </c>
      <c r="C51" s="1">
        <v>6</v>
      </c>
      <c r="D51" s="1" t="s">
        <v>22</v>
      </c>
      <c r="E51" s="1">
        <v>12</v>
      </c>
      <c r="F51" s="1">
        <v>1</v>
      </c>
      <c r="G51" s="1" t="s">
        <v>22</v>
      </c>
      <c r="H51" s="1">
        <v>16</v>
      </c>
      <c r="I51" s="1">
        <v>3</v>
      </c>
      <c r="J51" s="1" t="s">
        <v>22</v>
      </c>
      <c r="K51" s="1">
        <v>0</v>
      </c>
      <c r="L51" s="1" t="s">
        <v>23</v>
      </c>
      <c r="M51" s="1" t="s">
        <v>24</v>
      </c>
      <c r="N51" s="1" t="s">
        <v>22</v>
      </c>
      <c r="O51" s="1">
        <v>166.03999899999999</v>
      </c>
      <c r="P51" s="1">
        <v>164.662588</v>
      </c>
      <c r="Q51" s="2">
        <f t="shared" si="1"/>
        <v>8.2956577228116887E-3</v>
      </c>
      <c r="R51" s="1" t="s">
        <v>25</v>
      </c>
      <c r="S51" s="4">
        <v>19.670000000000002</v>
      </c>
      <c r="T51" s="5">
        <v>1.0529998689889911E-4</v>
      </c>
    </row>
    <row r="52" spans="1:20">
      <c r="A52" s="1" t="s">
        <v>75</v>
      </c>
      <c r="B52" s="1">
        <v>6</v>
      </c>
      <c r="C52" s="1">
        <v>3</v>
      </c>
      <c r="D52" s="1" t="s">
        <v>21</v>
      </c>
      <c r="E52" s="1">
        <v>10</v>
      </c>
      <c r="F52" s="1">
        <v>6</v>
      </c>
      <c r="G52" s="1" t="s">
        <v>22</v>
      </c>
      <c r="H52" s="1">
        <v>8</v>
      </c>
      <c r="I52" s="1">
        <v>3</v>
      </c>
      <c r="J52" s="1" t="s">
        <v>21</v>
      </c>
      <c r="K52" s="1">
        <v>3</v>
      </c>
      <c r="L52" s="1" t="s">
        <v>23</v>
      </c>
      <c r="M52" s="1" t="s">
        <v>24</v>
      </c>
      <c r="N52" s="1" t="s">
        <v>22</v>
      </c>
      <c r="O52" s="1">
        <v>232.120002</v>
      </c>
      <c r="P52" s="1">
        <v>234.79380499999999</v>
      </c>
      <c r="Q52" s="2">
        <f t="shared" si="1"/>
        <v>1.151905469999088E-2</v>
      </c>
      <c r="R52" s="1" t="s">
        <v>25</v>
      </c>
      <c r="S52" s="4">
        <v>19.190000000000001</v>
      </c>
      <c r="T52" s="5">
        <v>9.5599971245974302E-5</v>
      </c>
    </row>
    <row r="53" spans="1:20">
      <c r="A53" s="1" t="s">
        <v>76</v>
      </c>
      <c r="B53" s="1">
        <v>9</v>
      </c>
      <c r="C53" s="1">
        <v>8</v>
      </c>
      <c r="D53" s="1" t="s">
        <v>21</v>
      </c>
      <c r="E53" s="1">
        <v>14</v>
      </c>
      <c r="F53" s="1">
        <v>3</v>
      </c>
      <c r="G53" s="1" t="s">
        <v>22</v>
      </c>
      <c r="H53" s="1">
        <v>16</v>
      </c>
      <c r="I53" s="1">
        <v>6</v>
      </c>
      <c r="J53" s="1" t="s">
        <v>21</v>
      </c>
      <c r="K53" s="1">
        <v>4</v>
      </c>
      <c r="L53" s="1" t="s">
        <v>23</v>
      </c>
      <c r="M53" s="1" t="s">
        <v>24</v>
      </c>
      <c r="N53" s="1" t="s">
        <v>21</v>
      </c>
      <c r="O53" s="1">
        <v>607.87998600000003</v>
      </c>
      <c r="P53" s="1">
        <v>593.40506900000003</v>
      </c>
      <c r="Q53" s="2">
        <f t="shared" si="1"/>
        <v>2.3812129587039908E-2</v>
      </c>
      <c r="R53" s="1" t="s">
        <v>25</v>
      </c>
      <c r="S53" s="4">
        <v>19.72</v>
      </c>
      <c r="T53" s="5">
        <v>1.038000336848199E-4</v>
      </c>
    </row>
    <row r="54" spans="1:20">
      <c r="A54" s="1" t="s">
        <v>77</v>
      </c>
      <c r="B54" s="1">
        <v>6</v>
      </c>
      <c r="C54" s="1">
        <v>3</v>
      </c>
      <c r="D54" s="1" t="s">
        <v>22</v>
      </c>
      <c r="E54" s="1">
        <v>12</v>
      </c>
      <c r="F54" s="1">
        <v>2</v>
      </c>
      <c r="G54" s="1" t="s">
        <v>22</v>
      </c>
      <c r="H54" s="1">
        <v>6</v>
      </c>
      <c r="I54" s="1">
        <v>3</v>
      </c>
      <c r="J54" s="1" t="s">
        <v>22</v>
      </c>
      <c r="K54" s="1">
        <v>4</v>
      </c>
      <c r="L54" s="1" t="s">
        <v>23</v>
      </c>
      <c r="M54" s="1" t="s">
        <v>24</v>
      </c>
      <c r="N54" s="1" t="s">
        <v>21</v>
      </c>
      <c r="O54" s="1">
        <v>216.99999500000001</v>
      </c>
      <c r="P54" s="1">
        <v>218.082764</v>
      </c>
      <c r="Q54" s="2">
        <f t="shared" si="1"/>
        <v>4.9897190089796305E-3</v>
      </c>
      <c r="R54" s="1" t="s">
        <v>25</v>
      </c>
      <c r="S54" s="4">
        <v>19.670000000000002</v>
      </c>
      <c r="T54" s="5">
        <v>9.6000032499432564E-5</v>
      </c>
    </row>
    <row r="55" spans="1:20">
      <c r="A55" s="1" t="s">
        <v>78</v>
      </c>
      <c r="B55" s="1">
        <v>12</v>
      </c>
      <c r="C55" s="1">
        <v>1</v>
      </c>
      <c r="D55" s="1" t="s">
        <v>22</v>
      </c>
      <c r="E55" s="1">
        <v>12</v>
      </c>
      <c r="F55" s="1">
        <v>3</v>
      </c>
      <c r="G55" s="1" t="s">
        <v>21</v>
      </c>
      <c r="H55" s="1">
        <v>5</v>
      </c>
      <c r="I55" s="1">
        <v>2</v>
      </c>
      <c r="J55" s="1" t="s">
        <v>21</v>
      </c>
      <c r="K55" s="1">
        <v>3</v>
      </c>
      <c r="L55" s="1" t="s">
        <v>23</v>
      </c>
      <c r="M55" s="1" t="s">
        <v>24</v>
      </c>
      <c r="N55" s="1" t="s">
        <v>22</v>
      </c>
      <c r="O55" s="1">
        <v>131.60000099999999</v>
      </c>
      <c r="P55" s="1">
        <v>132.13400100000001</v>
      </c>
      <c r="Q55" s="2">
        <f t="shared" si="1"/>
        <v>4.0577507290446013E-3</v>
      </c>
      <c r="R55" s="1" t="s">
        <v>25</v>
      </c>
      <c r="S55" s="4">
        <v>19.559999999999999</v>
      </c>
      <c r="T55" s="5">
        <v>1.088000135496259E-4</v>
      </c>
    </row>
    <row r="56" spans="1:20">
      <c r="A56" s="1" t="s">
        <v>79</v>
      </c>
      <c r="B56" s="1">
        <v>8</v>
      </c>
      <c r="C56" s="1">
        <v>3</v>
      </c>
      <c r="D56" s="1" t="s">
        <v>21</v>
      </c>
      <c r="E56" s="1">
        <v>9</v>
      </c>
      <c r="F56" s="1">
        <v>3</v>
      </c>
      <c r="G56" s="1" t="s">
        <v>21</v>
      </c>
      <c r="H56" s="1">
        <v>5</v>
      </c>
      <c r="I56" s="1">
        <v>3</v>
      </c>
      <c r="J56" s="1" t="s">
        <v>21</v>
      </c>
      <c r="K56" s="1">
        <v>6</v>
      </c>
      <c r="L56" s="1" t="s">
        <v>23</v>
      </c>
      <c r="M56" s="1" t="s">
        <v>24</v>
      </c>
      <c r="N56" s="1" t="s">
        <v>21</v>
      </c>
      <c r="O56" s="1">
        <v>266.27999299999999</v>
      </c>
      <c r="P56" s="1">
        <v>256.61666400000001</v>
      </c>
      <c r="Q56" s="2">
        <f t="shared" si="1"/>
        <v>3.6290105355380478E-2</v>
      </c>
      <c r="R56" s="1" t="s">
        <v>25</v>
      </c>
      <c r="S56" s="4">
        <v>19.25</v>
      </c>
      <c r="T56" s="5">
        <v>8.8799977675080299E-5</v>
      </c>
    </row>
    <row r="57" spans="1:20">
      <c r="A57" s="1" t="s">
        <v>80</v>
      </c>
      <c r="B57" s="1">
        <v>14</v>
      </c>
      <c r="C57" s="1">
        <v>2</v>
      </c>
      <c r="D57" s="1" t="s">
        <v>21</v>
      </c>
      <c r="E57" s="1">
        <v>14</v>
      </c>
      <c r="F57" s="1">
        <v>4</v>
      </c>
      <c r="G57" s="1" t="s">
        <v>21</v>
      </c>
      <c r="H57" s="1">
        <v>12</v>
      </c>
      <c r="I57" s="1">
        <v>8</v>
      </c>
      <c r="J57" s="1" t="s">
        <v>21</v>
      </c>
      <c r="K57" s="1">
        <v>0</v>
      </c>
      <c r="L57" s="1" t="s">
        <v>23</v>
      </c>
      <c r="M57" s="1" t="s">
        <v>24</v>
      </c>
      <c r="N57" s="1" t="s">
        <v>22</v>
      </c>
      <c r="O57" s="1">
        <v>105</v>
      </c>
      <c r="P57" s="1">
        <v>83.971110999999993</v>
      </c>
      <c r="Q57" s="2">
        <f t="shared" si="1"/>
        <v>0.20027513333333338</v>
      </c>
      <c r="R57" s="1" t="s">
        <v>25</v>
      </c>
      <c r="S57" s="4">
        <v>20.27</v>
      </c>
      <c r="T57" s="5">
        <v>9.3799957539886236E-5</v>
      </c>
    </row>
    <row r="58" spans="1:20">
      <c r="A58" s="1" t="s">
        <v>81</v>
      </c>
      <c r="B58" s="1">
        <v>12</v>
      </c>
      <c r="C58" s="1">
        <v>3</v>
      </c>
      <c r="D58" s="1" t="s">
        <v>22</v>
      </c>
      <c r="E58" s="1">
        <v>8</v>
      </c>
      <c r="F58" s="1">
        <v>3</v>
      </c>
      <c r="G58" s="1" t="s">
        <v>21</v>
      </c>
      <c r="H58" s="1">
        <v>9</v>
      </c>
      <c r="I58" s="1">
        <v>4</v>
      </c>
      <c r="J58" s="1" t="s">
        <v>21</v>
      </c>
      <c r="K58" s="1">
        <v>1</v>
      </c>
      <c r="L58" s="1" t="s">
        <v>23</v>
      </c>
      <c r="M58" s="1" t="s">
        <v>24</v>
      </c>
      <c r="N58" s="1" t="s">
        <v>21</v>
      </c>
      <c r="O58" s="1">
        <v>156.23999800000001</v>
      </c>
      <c r="P58" s="1">
        <v>148.27132499999999</v>
      </c>
      <c r="Q58" s="2">
        <f t="shared" si="1"/>
        <v>5.1002772030245565E-2</v>
      </c>
      <c r="R58" s="1" t="s">
        <v>25</v>
      </c>
      <c r="S58" s="4">
        <v>19.329999999999998</v>
      </c>
      <c r="T58" s="5">
        <v>9.0799992904067039E-5</v>
      </c>
    </row>
    <row r="59" spans="1:20">
      <c r="A59" s="1" t="s">
        <v>82</v>
      </c>
      <c r="B59" s="1">
        <v>9</v>
      </c>
      <c r="C59" s="1">
        <v>4</v>
      </c>
      <c r="D59" s="1" t="s">
        <v>21</v>
      </c>
      <c r="E59" s="1">
        <v>4</v>
      </c>
      <c r="F59" s="1">
        <v>2</v>
      </c>
      <c r="G59" s="1" t="s">
        <v>21</v>
      </c>
      <c r="H59" s="1">
        <v>10</v>
      </c>
      <c r="I59" s="1">
        <v>4</v>
      </c>
      <c r="J59" s="1" t="s">
        <v>21</v>
      </c>
      <c r="K59" s="1">
        <v>3</v>
      </c>
      <c r="L59" s="1" t="s">
        <v>23</v>
      </c>
      <c r="M59" s="1" t="s">
        <v>24</v>
      </c>
      <c r="N59" s="1" t="s">
        <v>22</v>
      </c>
      <c r="O59" s="1">
        <v>270.76000299999998</v>
      </c>
      <c r="P59" s="1">
        <v>273.646004</v>
      </c>
      <c r="Q59" s="2">
        <f t="shared" si="1"/>
        <v>1.0658889673597845E-2</v>
      </c>
      <c r="R59" s="1" t="s">
        <v>25</v>
      </c>
      <c r="S59" s="4">
        <v>19.38</v>
      </c>
      <c r="T59" s="5">
        <v>9.0999994426965714E-5</v>
      </c>
    </row>
    <row r="60" spans="1:20">
      <c r="A60" s="1" t="s">
        <v>83</v>
      </c>
      <c r="B60" s="1">
        <v>6</v>
      </c>
      <c r="C60" s="1">
        <v>4</v>
      </c>
      <c r="D60" s="1" t="s">
        <v>21</v>
      </c>
      <c r="E60" s="1">
        <v>14</v>
      </c>
      <c r="F60" s="1">
        <v>0</v>
      </c>
      <c r="G60" s="1" t="s">
        <v>21</v>
      </c>
      <c r="H60" s="1">
        <v>10</v>
      </c>
      <c r="I60" s="1">
        <v>3</v>
      </c>
      <c r="J60" s="1" t="s">
        <v>21</v>
      </c>
      <c r="K60" s="1">
        <v>2</v>
      </c>
      <c r="L60" s="1" t="s">
        <v>23</v>
      </c>
      <c r="M60" s="1" t="s">
        <v>24</v>
      </c>
      <c r="N60" s="1" t="s">
        <v>22</v>
      </c>
      <c r="O60" s="1">
        <v>224.840002</v>
      </c>
      <c r="P60" s="1">
        <v>203.71249</v>
      </c>
      <c r="Q60" s="2">
        <f t="shared" si="1"/>
        <v>9.3966873385813235E-2</v>
      </c>
      <c r="R60" s="1" t="s">
        <v>25</v>
      </c>
      <c r="S60" s="4">
        <v>19.66</v>
      </c>
      <c r="T60" s="5">
        <v>1.777000143192708E-4</v>
      </c>
    </row>
    <row r="61" spans="1:20">
      <c r="A61" s="1" t="s">
        <v>84</v>
      </c>
      <c r="B61" s="1">
        <v>10</v>
      </c>
      <c r="C61" s="1">
        <v>3</v>
      </c>
      <c r="D61" s="1" t="s">
        <v>22</v>
      </c>
      <c r="E61" s="1">
        <v>9</v>
      </c>
      <c r="F61" s="1">
        <v>2</v>
      </c>
      <c r="G61" s="1" t="s">
        <v>22</v>
      </c>
      <c r="H61" s="1">
        <v>9</v>
      </c>
      <c r="I61" s="1">
        <v>3</v>
      </c>
      <c r="J61" s="1" t="s">
        <v>22</v>
      </c>
      <c r="K61" s="1">
        <v>1</v>
      </c>
      <c r="L61" s="1" t="s">
        <v>23</v>
      </c>
      <c r="M61" s="1" t="s">
        <v>24</v>
      </c>
      <c r="N61" s="1" t="s">
        <v>21</v>
      </c>
      <c r="O61" s="1">
        <v>156.51999799999999</v>
      </c>
      <c r="P61" s="1">
        <v>155.88905399999999</v>
      </c>
      <c r="Q61" s="2">
        <f t="shared" si="1"/>
        <v>4.0310759523521046E-3</v>
      </c>
      <c r="R61" s="1" t="s">
        <v>25</v>
      </c>
      <c r="S61" s="4">
        <v>19.5</v>
      </c>
      <c r="T61" s="5">
        <v>1.7890002345666289E-4</v>
      </c>
    </row>
    <row r="62" spans="1:20">
      <c r="A62" s="1" t="s">
        <v>85</v>
      </c>
      <c r="B62" s="1">
        <v>6</v>
      </c>
      <c r="C62" s="1">
        <v>2</v>
      </c>
      <c r="D62" s="1" t="s">
        <v>21</v>
      </c>
      <c r="E62" s="1">
        <v>4</v>
      </c>
      <c r="F62" s="1">
        <v>0</v>
      </c>
      <c r="G62" s="1" t="s">
        <v>21</v>
      </c>
      <c r="H62" s="1">
        <v>6</v>
      </c>
      <c r="I62" s="1">
        <v>3</v>
      </c>
      <c r="J62" s="1" t="s">
        <v>21</v>
      </c>
      <c r="K62" s="1">
        <v>0</v>
      </c>
      <c r="L62" s="1" t="s">
        <v>23</v>
      </c>
      <c r="M62" s="1" t="s">
        <v>24</v>
      </c>
      <c r="N62" s="1" t="s">
        <v>21</v>
      </c>
      <c r="O62" s="1">
        <v>38.64</v>
      </c>
      <c r="P62" s="1">
        <v>39.339708000000002</v>
      </c>
      <c r="Q62" s="2">
        <f t="shared" si="1"/>
        <v>1.8108385093167732E-2</v>
      </c>
      <c r="R62" s="1" t="s">
        <v>25</v>
      </c>
      <c r="S62" s="4">
        <v>19.7</v>
      </c>
      <c r="T62" s="5">
        <v>1.6720005078241229E-4</v>
      </c>
    </row>
    <row r="63" spans="1:20">
      <c r="A63" s="1" t="s">
        <v>86</v>
      </c>
      <c r="B63" s="1">
        <v>12</v>
      </c>
      <c r="C63" s="1">
        <v>8</v>
      </c>
      <c r="D63" s="1" t="s">
        <v>21</v>
      </c>
      <c r="E63" s="1">
        <v>10</v>
      </c>
      <c r="F63" s="1">
        <v>0</v>
      </c>
      <c r="G63" s="1" t="s">
        <v>21</v>
      </c>
      <c r="H63" s="1">
        <v>16</v>
      </c>
      <c r="I63" s="1">
        <v>2</v>
      </c>
      <c r="J63" s="1" t="s">
        <v>21</v>
      </c>
      <c r="K63" s="1">
        <v>6</v>
      </c>
      <c r="L63" s="1" t="s">
        <v>23</v>
      </c>
      <c r="M63" s="1" t="s">
        <v>24</v>
      </c>
      <c r="N63" s="1" t="s">
        <v>22</v>
      </c>
      <c r="O63" s="1">
        <v>706.44001000000003</v>
      </c>
      <c r="P63" s="1">
        <v>700.48484599999995</v>
      </c>
      <c r="Q63" s="2">
        <f t="shared" si="1"/>
        <v>8.4298226540142889E-3</v>
      </c>
      <c r="R63" s="1" t="s">
        <v>25</v>
      </c>
      <c r="S63" s="4">
        <v>19.87</v>
      </c>
      <c r="T63" s="5">
        <v>1.950000296346843E-4</v>
      </c>
    </row>
    <row r="64" spans="1:20">
      <c r="A64" s="1" t="s">
        <v>87</v>
      </c>
      <c r="B64" s="1">
        <v>8</v>
      </c>
      <c r="C64" s="1">
        <v>1</v>
      </c>
      <c r="D64" s="1" t="s">
        <v>22</v>
      </c>
      <c r="E64" s="1">
        <v>5</v>
      </c>
      <c r="F64" s="1">
        <v>3</v>
      </c>
      <c r="G64" s="1" t="s">
        <v>22</v>
      </c>
      <c r="H64" s="1">
        <v>6</v>
      </c>
      <c r="I64" s="1">
        <v>1</v>
      </c>
      <c r="J64" s="1" t="s">
        <v>22</v>
      </c>
      <c r="K64" s="1">
        <v>2</v>
      </c>
      <c r="L64" s="1" t="s">
        <v>23</v>
      </c>
      <c r="M64" s="1" t="s">
        <v>24</v>
      </c>
      <c r="N64" s="1" t="s">
        <v>22</v>
      </c>
      <c r="O64" s="1">
        <v>120.400001</v>
      </c>
      <c r="P64" s="1">
        <v>122.384513</v>
      </c>
      <c r="Q64" s="2">
        <f t="shared" si="1"/>
        <v>1.6482657670409781E-2</v>
      </c>
      <c r="R64" s="1" t="s">
        <v>25</v>
      </c>
      <c r="S64" s="4">
        <v>19.61</v>
      </c>
      <c r="T64" s="5">
        <v>1.771999523043633E-4</v>
      </c>
    </row>
    <row r="65" spans="1:20">
      <c r="A65" s="1" t="s">
        <v>88</v>
      </c>
      <c r="B65" s="1">
        <v>10</v>
      </c>
      <c r="C65" s="1">
        <v>4</v>
      </c>
      <c r="D65" s="1" t="s">
        <v>22</v>
      </c>
      <c r="E65" s="1">
        <v>10</v>
      </c>
      <c r="F65" s="1">
        <v>1</v>
      </c>
      <c r="G65" s="1" t="s">
        <v>22</v>
      </c>
      <c r="H65" s="1">
        <v>10</v>
      </c>
      <c r="I65" s="1">
        <v>3</v>
      </c>
      <c r="J65" s="1" t="s">
        <v>22</v>
      </c>
      <c r="K65" s="1">
        <v>4</v>
      </c>
      <c r="L65" s="1" t="s">
        <v>23</v>
      </c>
      <c r="M65" s="1" t="s">
        <v>24</v>
      </c>
      <c r="N65" s="1" t="s">
        <v>21</v>
      </c>
      <c r="O65" s="1">
        <v>368.75999100000001</v>
      </c>
      <c r="P65" s="1">
        <v>360.64151500000003</v>
      </c>
      <c r="Q65" s="2">
        <f t="shared" si="1"/>
        <v>2.2015609605544183E-2</v>
      </c>
      <c r="R65" s="1" t="s">
        <v>25</v>
      </c>
      <c r="S65" s="4">
        <v>20.74</v>
      </c>
      <c r="T65" s="5">
        <v>1.88400037586689E-4</v>
      </c>
    </row>
    <row r="66" spans="1:20">
      <c r="A66" s="1" t="s">
        <v>89</v>
      </c>
      <c r="B66" s="1">
        <v>12</v>
      </c>
      <c r="C66" s="1">
        <v>4</v>
      </c>
      <c r="D66" s="1" t="s">
        <v>21</v>
      </c>
      <c r="E66" s="1">
        <v>6</v>
      </c>
      <c r="F66" s="1">
        <v>1</v>
      </c>
      <c r="G66" s="1" t="s">
        <v>21</v>
      </c>
      <c r="H66" s="1">
        <v>9</v>
      </c>
      <c r="I66" s="1">
        <v>1</v>
      </c>
      <c r="J66" s="1" t="s">
        <v>21</v>
      </c>
      <c r="K66" s="1">
        <v>1</v>
      </c>
      <c r="L66" s="1" t="s">
        <v>23</v>
      </c>
      <c r="M66" s="1" t="s">
        <v>24</v>
      </c>
      <c r="N66" s="1" t="s">
        <v>21</v>
      </c>
      <c r="O66" s="1">
        <v>168.83999800000001</v>
      </c>
      <c r="P66" s="1">
        <v>166.97171700000001</v>
      </c>
      <c r="Q66" s="2">
        <f t="shared" ref="Q66:Q97" si="2">ABS(P66-O66)/O66</f>
        <v>1.1065393402812028E-2</v>
      </c>
      <c r="R66" s="1" t="s">
        <v>25</v>
      </c>
      <c r="S66" s="4">
        <v>19.45</v>
      </c>
      <c r="T66" s="5">
        <v>1.8010003259405491E-4</v>
      </c>
    </row>
    <row r="67" spans="1:20">
      <c r="A67" s="1" t="s">
        <v>90</v>
      </c>
      <c r="B67" s="1">
        <v>14</v>
      </c>
      <c r="C67" s="1">
        <v>8</v>
      </c>
      <c r="D67" s="1" t="s">
        <v>21</v>
      </c>
      <c r="E67" s="1">
        <v>12</v>
      </c>
      <c r="F67" s="1">
        <v>6</v>
      </c>
      <c r="G67" s="1" t="s">
        <v>21</v>
      </c>
      <c r="H67" s="1">
        <v>12</v>
      </c>
      <c r="I67" s="1">
        <v>2</v>
      </c>
      <c r="J67" s="1" t="s">
        <v>21</v>
      </c>
      <c r="K67" s="1">
        <v>2</v>
      </c>
      <c r="L67" s="1" t="s">
        <v>23</v>
      </c>
      <c r="M67" s="1" t="s">
        <v>24</v>
      </c>
      <c r="N67" s="1" t="s">
        <v>21</v>
      </c>
      <c r="O67" s="1">
        <v>293.71999399999999</v>
      </c>
      <c r="P67" s="1">
        <v>295.379707</v>
      </c>
      <c r="Q67" s="2">
        <f t="shared" si="2"/>
        <v>5.6506640130191844E-3</v>
      </c>
      <c r="R67" s="1" t="s">
        <v>25</v>
      </c>
      <c r="S67" s="4">
        <v>19.73</v>
      </c>
      <c r="T67" s="5">
        <v>1.950000296346843E-4</v>
      </c>
    </row>
    <row r="68" spans="1:20">
      <c r="A68" s="1" t="s">
        <v>91</v>
      </c>
      <c r="B68" s="1">
        <v>9</v>
      </c>
      <c r="C68" s="1">
        <v>3</v>
      </c>
      <c r="D68" s="1" t="s">
        <v>22</v>
      </c>
      <c r="E68" s="1">
        <v>8</v>
      </c>
      <c r="F68" s="1">
        <v>1</v>
      </c>
      <c r="G68" s="1" t="s">
        <v>21</v>
      </c>
      <c r="H68" s="1">
        <v>16</v>
      </c>
      <c r="I68" s="1">
        <v>6</v>
      </c>
      <c r="J68" s="1" t="s">
        <v>21</v>
      </c>
      <c r="K68" s="1">
        <v>2</v>
      </c>
      <c r="L68" s="1" t="s">
        <v>23</v>
      </c>
      <c r="M68" s="1" t="s">
        <v>24</v>
      </c>
      <c r="N68" s="1" t="s">
        <v>21</v>
      </c>
      <c r="O68" s="1">
        <v>279.15999399999998</v>
      </c>
      <c r="P68" s="1">
        <v>287.60158200000001</v>
      </c>
      <c r="Q68" s="2">
        <f t="shared" si="2"/>
        <v>3.0239246960293405E-2</v>
      </c>
      <c r="R68" s="1" t="s">
        <v>25</v>
      </c>
      <c r="S68" s="4">
        <v>19.57</v>
      </c>
      <c r="T68" s="5">
        <v>1.876000314950943E-4</v>
      </c>
    </row>
    <row r="69" spans="1:20">
      <c r="A69" s="1" t="s">
        <v>92</v>
      </c>
      <c r="B69" s="1">
        <v>6</v>
      </c>
      <c r="C69" s="1">
        <v>1</v>
      </c>
      <c r="D69" s="1" t="s">
        <v>21</v>
      </c>
      <c r="E69" s="1">
        <v>12</v>
      </c>
      <c r="F69" s="1">
        <v>2</v>
      </c>
      <c r="G69" s="1" t="s">
        <v>22</v>
      </c>
      <c r="H69" s="1">
        <v>9</v>
      </c>
      <c r="I69" s="1">
        <v>2</v>
      </c>
      <c r="J69" s="1" t="s">
        <v>21</v>
      </c>
      <c r="K69" s="1">
        <v>4</v>
      </c>
      <c r="L69" s="1" t="s">
        <v>23</v>
      </c>
      <c r="M69" s="1" t="s">
        <v>24</v>
      </c>
      <c r="N69" s="1" t="s">
        <v>22</v>
      </c>
      <c r="O69" s="1">
        <v>314.44000399999999</v>
      </c>
      <c r="P69" s="1">
        <v>307.08905399999998</v>
      </c>
      <c r="Q69" s="2">
        <f t="shared" si="2"/>
        <v>2.3377909637731755E-2</v>
      </c>
      <c r="R69" s="1" t="s">
        <v>25</v>
      </c>
      <c r="S69" s="4">
        <v>19.47</v>
      </c>
      <c r="T69" s="5">
        <v>1.8650002311915159E-4</v>
      </c>
    </row>
    <row r="70" spans="1:20">
      <c r="A70" s="1" t="s">
        <v>93</v>
      </c>
      <c r="B70" s="1">
        <v>8</v>
      </c>
      <c r="C70" s="1">
        <v>6</v>
      </c>
      <c r="D70" s="1" t="s">
        <v>22</v>
      </c>
      <c r="E70" s="1">
        <v>14</v>
      </c>
      <c r="F70" s="1">
        <v>1</v>
      </c>
      <c r="G70" s="1" t="s">
        <v>21</v>
      </c>
      <c r="H70" s="1">
        <v>16</v>
      </c>
      <c r="I70" s="1">
        <v>2</v>
      </c>
      <c r="J70" s="1" t="s">
        <v>21</v>
      </c>
      <c r="K70" s="1">
        <v>2</v>
      </c>
      <c r="L70" s="1" t="s">
        <v>23</v>
      </c>
      <c r="M70" s="1" t="s">
        <v>24</v>
      </c>
      <c r="N70" s="1" t="s">
        <v>21</v>
      </c>
      <c r="O70" s="1">
        <v>332.639993</v>
      </c>
      <c r="P70" s="1">
        <v>400.58124700000002</v>
      </c>
      <c r="Q70" s="2">
        <f t="shared" si="2"/>
        <v>0.20424860338425999</v>
      </c>
      <c r="R70" s="1" t="s">
        <v>25</v>
      </c>
      <c r="S70" s="4">
        <v>20.39</v>
      </c>
      <c r="T70" s="5">
        <v>2.059999969787896E-4</v>
      </c>
    </row>
    <row r="71" spans="1:20">
      <c r="A71" s="1" t="s">
        <v>94</v>
      </c>
      <c r="B71" s="1">
        <v>16</v>
      </c>
      <c r="C71" s="1">
        <v>2</v>
      </c>
      <c r="D71" s="1" t="s">
        <v>22</v>
      </c>
      <c r="E71" s="1">
        <v>9</v>
      </c>
      <c r="F71" s="1">
        <v>3</v>
      </c>
      <c r="G71" s="1" t="s">
        <v>21</v>
      </c>
      <c r="H71" s="1">
        <v>8</v>
      </c>
      <c r="I71" s="1">
        <v>2</v>
      </c>
      <c r="J71" s="1" t="s">
        <v>21</v>
      </c>
      <c r="K71" s="1">
        <v>1</v>
      </c>
      <c r="L71" s="1" t="s">
        <v>23</v>
      </c>
      <c r="M71" s="1" t="s">
        <v>24</v>
      </c>
      <c r="N71" s="1" t="s">
        <v>22</v>
      </c>
      <c r="O71" s="1">
        <v>158.76</v>
      </c>
      <c r="P71" s="1">
        <v>140.66295400000001</v>
      </c>
      <c r="Q71" s="2">
        <f t="shared" si="2"/>
        <v>0.11398995968757861</v>
      </c>
      <c r="R71" s="1" t="s">
        <v>25</v>
      </c>
      <c r="S71" s="4">
        <v>19.22</v>
      </c>
      <c r="T71" s="5">
        <v>1.8720002844929701E-4</v>
      </c>
    </row>
    <row r="72" spans="1:20">
      <c r="A72" s="1" t="s">
        <v>95</v>
      </c>
      <c r="B72" s="1">
        <v>16</v>
      </c>
      <c r="C72" s="1">
        <v>6</v>
      </c>
      <c r="D72" s="1" t="s">
        <v>21</v>
      </c>
      <c r="E72" s="1">
        <v>12</v>
      </c>
      <c r="F72" s="1">
        <v>0</v>
      </c>
      <c r="G72" s="1" t="s">
        <v>22</v>
      </c>
      <c r="H72" s="1">
        <v>9</v>
      </c>
      <c r="I72" s="1">
        <v>4</v>
      </c>
      <c r="J72" s="1" t="s">
        <v>21</v>
      </c>
      <c r="K72" s="1">
        <v>1</v>
      </c>
      <c r="L72" s="1" t="s">
        <v>23</v>
      </c>
      <c r="M72" s="1" t="s">
        <v>24</v>
      </c>
      <c r="N72" s="1" t="s">
        <v>22</v>
      </c>
      <c r="O72" s="1">
        <v>140.000001</v>
      </c>
      <c r="P72" s="1">
        <v>115.081063</v>
      </c>
      <c r="Q72" s="2">
        <f t="shared" si="2"/>
        <v>0.17799241301433988</v>
      </c>
      <c r="R72" s="1" t="s">
        <v>25</v>
      </c>
      <c r="S72" s="4">
        <v>19.73</v>
      </c>
      <c r="T72" s="5">
        <v>1.083000097423792E-4</v>
      </c>
    </row>
    <row r="73" spans="1:20">
      <c r="A73" s="1" t="s">
        <v>96</v>
      </c>
      <c r="B73" s="1">
        <v>10</v>
      </c>
      <c r="C73" s="1">
        <v>6</v>
      </c>
      <c r="D73" s="1" t="s">
        <v>22</v>
      </c>
      <c r="E73" s="1">
        <v>8</v>
      </c>
      <c r="F73" s="1">
        <v>3</v>
      </c>
      <c r="G73" s="1" t="s">
        <v>21</v>
      </c>
      <c r="H73" s="1">
        <v>9</v>
      </c>
      <c r="I73" s="1">
        <v>2</v>
      </c>
      <c r="J73" s="1" t="s">
        <v>21</v>
      </c>
      <c r="K73" s="1">
        <v>3</v>
      </c>
      <c r="L73" s="1" t="s">
        <v>23</v>
      </c>
      <c r="M73" s="1" t="s">
        <v>24</v>
      </c>
      <c r="N73" s="1" t="s">
        <v>22</v>
      </c>
      <c r="O73" s="1">
        <v>252.28000299999999</v>
      </c>
      <c r="P73" s="1">
        <v>258.21368100000001</v>
      </c>
      <c r="Q73" s="2">
        <f t="shared" si="2"/>
        <v>2.3520207426032155E-2</v>
      </c>
      <c r="R73" s="1" t="s">
        <v>25</v>
      </c>
      <c r="S73" s="4">
        <v>19.2</v>
      </c>
      <c r="T73" s="5">
        <v>1.065999967977405E-4</v>
      </c>
    </row>
    <row r="74" spans="1:20">
      <c r="A74" s="1" t="s">
        <v>97</v>
      </c>
      <c r="B74" s="1">
        <v>6</v>
      </c>
      <c r="C74" s="1">
        <v>1</v>
      </c>
      <c r="D74" s="1" t="s">
        <v>22</v>
      </c>
      <c r="E74" s="1">
        <v>6</v>
      </c>
      <c r="F74" s="1">
        <v>1</v>
      </c>
      <c r="G74" s="1" t="s">
        <v>21</v>
      </c>
      <c r="H74" s="1">
        <v>8</v>
      </c>
      <c r="I74" s="1">
        <v>3</v>
      </c>
      <c r="J74" s="1" t="s">
        <v>21</v>
      </c>
      <c r="K74" s="1">
        <v>4</v>
      </c>
      <c r="L74" s="1" t="s">
        <v>23</v>
      </c>
      <c r="M74" s="1" t="s">
        <v>24</v>
      </c>
      <c r="N74" s="1" t="s">
        <v>21</v>
      </c>
      <c r="O74" s="1">
        <v>230.99999500000001</v>
      </c>
      <c r="P74" s="1">
        <v>230.94216900000001</v>
      </c>
      <c r="Q74" s="2">
        <f t="shared" si="2"/>
        <v>2.5032900974740583E-4</v>
      </c>
      <c r="R74" s="1" t="s">
        <v>25</v>
      </c>
      <c r="S74" s="4">
        <v>19.36</v>
      </c>
      <c r="T74" s="5">
        <v>9.1599998995661736E-5</v>
      </c>
    </row>
    <row r="75" spans="1:20">
      <c r="A75" s="1" t="s">
        <v>98</v>
      </c>
      <c r="B75" s="1">
        <v>14</v>
      </c>
      <c r="C75" s="1">
        <v>6</v>
      </c>
      <c r="D75" s="1" t="s">
        <v>22</v>
      </c>
      <c r="E75" s="1">
        <v>12</v>
      </c>
      <c r="F75" s="1">
        <v>2</v>
      </c>
      <c r="G75" s="1" t="s">
        <v>21</v>
      </c>
      <c r="H75" s="1">
        <v>16</v>
      </c>
      <c r="I75" s="1">
        <v>1</v>
      </c>
      <c r="J75" s="1" t="s">
        <v>21</v>
      </c>
      <c r="K75" s="1">
        <v>1</v>
      </c>
      <c r="L75" s="1" t="s">
        <v>23</v>
      </c>
      <c r="M75" s="1" t="s">
        <v>24</v>
      </c>
      <c r="N75" s="1" t="s">
        <v>21</v>
      </c>
      <c r="O75" s="1">
        <v>248.639996</v>
      </c>
      <c r="P75" s="1">
        <v>258.60128500000002</v>
      </c>
      <c r="Q75" s="2">
        <f t="shared" si="2"/>
        <v>4.0063099904490113E-2</v>
      </c>
      <c r="R75" s="1" t="s">
        <v>25</v>
      </c>
      <c r="S75" s="4">
        <v>19.690000000000001</v>
      </c>
      <c r="T75" s="5">
        <v>1.037000329233706E-4</v>
      </c>
    </row>
    <row r="76" spans="1:20">
      <c r="A76" s="1" t="s">
        <v>99</v>
      </c>
      <c r="B76" s="1">
        <v>12</v>
      </c>
      <c r="C76" s="1">
        <v>4</v>
      </c>
      <c r="D76" s="1" t="s">
        <v>22</v>
      </c>
      <c r="E76" s="1">
        <v>6</v>
      </c>
      <c r="F76" s="1">
        <v>2</v>
      </c>
      <c r="G76" s="1" t="s">
        <v>22</v>
      </c>
      <c r="H76" s="1">
        <v>5</v>
      </c>
      <c r="I76" s="1">
        <v>4</v>
      </c>
      <c r="J76" s="1" t="s">
        <v>22</v>
      </c>
      <c r="K76" s="1">
        <v>0</v>
      </c>
      <c r="L76" s="1" t="s">
        <v>23</v>
      </c>
      <c r="M76" s="1" t="s">
        <v>24</v>
      </c>
      <c r="N76" s="1" t="s">
        <v>21</v>
      </c>
      <c r="O76" s="1">
        <v>37.799999999999997</v>
      </c>
      <c r="P76" s="1">
        <v>38.451337000000002</v>
      </c>
      <c r="Q76" s="2">
        <f t="shared" si="2"/>
        <v>1.7231137566137703E-2</v>
      </c>
      <c r="R76" s="1" t="s">
        <v>25</v>
      </c>
      <c r="S76" s="4">
        <v>19.79</v>
      </c>
      <c r="T76" s="5">
        <v>9.9900003988295794E-5</v>
      </c>
    </row>
    <row r="77" spans="1:20">
      <c r="A77" s="1" t="s">
        <v>100</v>
      </c>
      <c r="B77" s="1">
        <v>9</v>
      </c>
      <c r="C77" s="1">
        <v>8</v>
      </c>
      <c r="D77" s="1" t="s">
        <v>22</v>
      </c>
      <c r="E77" s="1">
        <v>5</v>
      </c>
      <c r="F77" s="1">
        <v>1</v>
      </c>
      <c r="G77" s="1" t="s">
        <v>22</v>
      </c>
      <c r="H77" s="1">
        <v>10</v>
      </c>
      <c r="I77" s="1">
        <v>1</v>
      </c>
      <c r="J77" s="1" t="s">
        <v>22</v>
      </c>
      <c r="K77" s="1">
        <v>3</v>
      </c>
      <c r="L77" s="1" t="s">
        <v>23</v>
      </c>
      <c r="M77" s="1" t="s">
        <v>24</v>
      </c>
      <c r="N77" s="1" t="s">
        <v>21</v>
      </c>
      <c r="O77" s="1">
        <v>168.83999600000001</v>
      </c>
      <c r="P77" s="1">
        <v>167.12688199999999</v>
      </c>
      <c r="Q77" s="2">
        <f t="shared" si="2"/>
        <v>1.0146375506903107E-2</v>
      </c>
      <c r="R77" s="1" t="s">
        <v>25</v>
      </c>
      <c r="S77" s="4">
        <v>18.850000000000001</v>
      </c>
      <c r="T77" s="5">
        <v>9.9400000181049109E-5</v>
      </c>
    </row>
    <row r="78" spans="1:20">
      <c r="A78" s="1" t="s">
        <v>101</v>
      </c>
      <c r="B78" s="1">
        <v>8</v>
      </c>
      <c r="C78" s="1">
        <v>4</v>
      </c>
      <c r="D78" s="1" t="s">
        <v>22</v>
      </c>
      <c r="E78" s="1">
        <v>14</v>
      </c>
      <c r="F78" s="1">
        <v>4</v>
      </c>
      <c r="G78" s="1" t="s">
        <v>21</v>
      </c>
      <c r="H78" s="1">
        <v>8</v>
      </c>
      <c r="I78" s="1">
        <v>2</v>
      </c>
      <c r="J78" s="1" t="s">
        <v>21</v>
      </c>
      <c r="K78" s="1">
        <v>6</v>
      </c>
      <c r="L78" s="1" t="s">
        <v>23</v>
      </c>
      <c r="M78" s="1" t="s">
        <v>24</v>
      </c>
      <c r="N78" s="1" t="s">
        <v>22</v>
      </c>
      <c r="O78" s="1">
        <v>381.360005</v>
      </c>
      <c r="P78" s="1">
        <v>388.81716699999998</v>
      </c>
      <c r="Q78" s="2">
        <f t="shared" si="2"/>
        <v>1.9554127077379239E-2</v>
      </c>
      <c r="R78" s="1" t="s">
        <v>25</v>
      </c>
      <c r="S78" s="4">
        <v>19.809999999999999</v>
      </c>
      <c r="T78" s="5">
        <v>1.1459999950602651E-4</v>
      </c>
    </row>
    <row r="79" spans="1:20">
      <c r="A79" s="1" t="s">
        <v>102</v>
      </c>
      <c r="B79" s="1">
        <v>14</v>
      </c>
      <c r="C79" s="1">
        <v>1</v>
      </c>
      <c r="D79" s="1" t="s">
        <v>22</v>
      </c>
      <c r="E79" s="1">
        <v>14</v>
      </c>
      <c r="F79" s="1">
        <v>4</v>
      </c>
      <c r="G79" s="1" t="s">
        <v>22</v>
      </c>
      <c r="H79" s="1">
        <v>5</v>
      </c>
      <c r="I79" s="1">
        <v>4</v>
      </c>
      <c r="J79" s="1" t="s">
        <v>22</v>
      </c>
      <c r="K79" s="1">
        <v>3</v>
      </c>
      <c r="L79" s="1" t="s">
        <v>23</v>
      </c>
      <c r="M79" s="1" t="s">
        <v>24</v>
      </c>
      <c r="N79" s="1" t="s">
        <v>22</v>
      </c>
      <c r="O79" s="1">
        <v>111.16000200000001</v>
      </c>
      <c r="P79" s="1">
        <v>109.96867399999999</v>
      </c>
      <c r="Q79" s="2">
        <f t="shared" si="2"/>
        <v>1.0717236223151676E-2</v>
      </c>
      <c r="R79" s="1" t="s">
        <v>25</v>
      </c>
      <c r="S79" s="4">
        <v>18.739999999999998</v>
      </c>
      <c r="T79" s="5">
        <v>1.105000264942646E-4</v>
      </c>
    </row>
    <row r="80" spans="1:20">
      <c r="A80" s="1" t="s">
        <v>103</v>
      </c>
      <c r="B80" s="1">
        <v>9</v>
      </c>
      <c r="C80" s="1">
        <v>6</v>
      </c>
      <c r="D80" s="1" t="s">
        <v>21</v>
      </c>
      <c r="E80" s="1">
        <v>9</v>
      </c>
      <c r="F80" s="1">
        <v>0</v>
      </c>
      <c r="G80" s="1" t="s">
        <v>21</v>
      </c>
      <c r="H80" s="1">
        <v>12</v>
      </c>
      <c r="I80" s="1">
        <v>0</v>
      </c>
      <c r="J80" s="1" t="s">
        <v>21</v>
      </c>
      <c r="K80" s="1">
        <v>4</v>
      </c>
      <c r="L80" s="1" t="s">
        <v>23</v>
      </c>
      <c r="M80" s="1" t="s">
        <v>24</v>
      </c>
      <c r="N80" s="1" t="s">
        <v>22</v>
      </c>
      <c r="O80" s="1">
        <v>403.48000500000001</v>
      </c>
      <c r="P80" s="1">
        <v>401.75303200000002</v>
      </c>
      <c r="Q80" s="2">
        <f t="shared" si="2"/>
        <v>4.2801947521537943E-3</v>
      </c>
      <c r="R80" s="1" t="s">
        <v>25</v>
      </c>
      <c r="S80" s="4">
        <v>19.399999999999999</v>
      </c>
      <c r="T80" s="5">
        <v>9.9099997896701097E-5</v>
      </c>
    </row>
    <row r="81" spans="1:20">
      <c r="A81" s="1" t="s">
        <v>104</v>
      </c>
      <c r="B81" s="1">
        <v>16</v>
      </c>
      <c r="C81" s="1">
        <v>2</v>
      </c>
      <c r="D81" s="1" t="s">
        <v>21</v>
      </c>
      <c r="E81" s="1">
        <v>10</v>
      </c>
      <c r="F81" s="1">
        <v>1</v>
      </c>
      <c r="G81" s="1" t="s">
        <v>22</v>
      </c>
      <c r="H81" s="1">
        <v>6</v>
      </c>
      <c r="I81" s="1">
        <v>0</v>
      </c>
      <c r="J81" s="1" t="s">
        <v>21</v>
      </c>
      <c r="K81" s="1">
        <v>6</v>
      </c>
      <c r="L81" s="1" t="s">
        <v>23</v>
      </c>
      <c r="M81" s="1" t="s">
        <v>24</v>
      </c>
      <c r="N81" s="1" t="s">
        <v>22</v>
      </c>
      <c r="O81" s="1">
        <v>300.44000399999999</v>
      </c>
      <c r="P81" s="1">
        <v>285.29445299999998</v>
      </c>
      <c r="Q81" s="2">
        <f t="shared" si="2"/>
        <v>5.0411232852999206E-2</v>
      </c>
      <c r="R81" s="1" t="s">
        <v>25</v>
      </c>
      <c r="S81" s="4">
        <v>19.32</v>
      </c>
      <c r="T81" s="5">
        <v>9.5300027169287205E-5</v>
      </c>
    </row>
    <row r="82" spans="1:20">
      <c r="A82" s="1" t="s">
        <v>105</v>
      </c>
      <c r="B82" s="1">
        <v>16</v>
      </c>
      <c r="C82" s="1">
        <v>8</v>
      </c>
      <c r="D82" s="1" t="s">
        <v>22</v>
      </c>
      <c r="E82" s="1">
        <v>12</v>
      </c>
      <c r="F82" s="1">
        <v>1</v>
      </c>
      <c r="G82" s="1" t="s">
        <v>22</v>
      </c>
      <c r="H82" s="1">
        <v>12</v>
      </c>
      <c r="I82" s="1">
        <v>0</v>
      </c>
      <c r="J82" s="1" t="s">
        <v>22</v>
      </c>
      <c r="K82" s="1">
        <v>3</v>
      </c>
      <c r="L82" s="1" t="s">
        <v>23</v>
      </c>
      <c r="M82" s="1" t="s">
        <v>24</v>
      </c>
      <c r="N82" s="1" t="s">
        <v>21</v>
      </c>
      <c r="O82" s="1">
        <v>372.399992</v>
      </c>
      <c r="P82" s="1">
        <v>367.47500300000002</v>
      </c>
      <c r="Q82" s="2">
        <f t="shared" si="2"/>
        <v>1.3224997598818376E-2</v>
      </c>
      <c r="R82" s="1" t="s">
        <v>25</v>
      </c>
      <c r="S82" s="4">
        <v>19.37</v>
      </c>
      <c r="T82" s="5">
        <v>1.045000390149653E-4</v>
      </c>
    </row>
    <row r="83" spans="1:20">
      <c r="A83" s="1" t="s">
        <v>106</v>
      </c>
      <c r="B83" s="1">
        <v>10</v>
      </c>
      <c r="C83" s="1">
        <v>8</v>
      </c>
      <c r="D83" s="1" t="s">
        <v>22</v>
      </c>
      <c r="E83" s="1">
        <v>9</v>
      </c>
      <c r="F83" s="1">
        <v>6</v>
      </c>
      <c r="G83" s="1" t="s">
        <v>21</v>
      </c>
      <c r="H83" s="1">
        <v>6</v>
      </c>
      <c r="I83" s="1">
        <v>0</v>
      </c>
      <c r="J83" s="1" t="s">
        <v>21</v>
      </c>
      <c r="K83" s="1">
        <v>3</v>
      </c>
      <c r="L83" s="1" t="s">
        <v>23</v>
      </c>
      <c r="M83" s="1" t="s">
        <v>24</v>
      </c>
      <c r="N83" s="1" t="s">
        <v>22</v>
      </c>
      <c r="O83" s="1">
        <v>176.960002</v>
      </c>
      <c r="P83" s="1">
        <v>189.99541500000001</v>
      </c>
      <c r="Q83" s="2">
        <f t="shared" si="2"/>
        <v>7.3663047313934846E-2</v>
      </c>
      <c r="R83" s="1" t="s">
        <v>25</v>
      </c>
      <c r="S83" s="4">
        <v>19.239999999999998</v>
      </c>
      <c r="T83" s="5">
        <v>1.007999526336789E-4</v>
      </c>
    </row>
    <row r="84" spans="1:20">
      <c r="A84" s="1" t="s">
        <v>107</v>
      </c>
      <c r="B84" s="1">
        <v>10</v>
      </c>
      <c r="C84" s="1">
        <v>1</v>
      </c>
      <c r="D84" s="1" t="s">
        <v>22</v>
      </c>
      <c r="E84" s="1">
        <v>10</v>
      </c>
      <c r="F84" s="1">
        <v>2</v>
      </c>
      <c r="G84" s="1" t="s">
        <v>21</v>
      </c>
      <c r="H84" s="1">
        <v>9</v>
      </c>
      <c r="I84" s="1">
        <v>1</v>
      </c>
      <c r="J84" s="1" t="s">
        <v>21</v>
      </c>
      <c r="K84" s="1">
        <v>4</v>
      </c>
      <c r="L84" s="1" t="s">
        <v>23</v>
      </c>
      <c r="M84" s="1" t="s">
        <v>24</v>
      </c>
      <c r="N84" s="1" t="s">
        <v>22</v>
      </c>
      <c r="O84" s="1">
        <v>320.04000400000001</v>
      </c>
      <c r="P84" s="1">
        <v>318.171717</v>
      </c>
      <c r="Q84" s="2">
        <f t="shared" si="2"/>
        <v>5.8376670936424848E-3</v>
      </c>
      <c r="R84" s="1" t="s">
        <v>25</v>
      </c>
      <c r="S84" s="4">
        <v>19.36</v>
      </c>
      <c r="T84" s="5">
        <v>9.6299976576119661E-5</v>
      </c>
    </row>
    <row r="85" spans="1:20">
      <c r="A85" s="1" t="s">
        <v>108</v>
      </c>
      <c r="B85" s="1">
        <v>12</v>
      </c>
      <c r="C85" s="1">
        <v>3</v>
      </c>
      <c r="D85" s="1" t="s">
        <v>21</v>
      </c>
      <c r="E85" s="1">
        <v>10</v>
      </c>
      <c r="F85" s="1">
        <v>1</v>
      </c>
      <c r="G85" s="1" t="s">
        <v>22</v>
      </c>
      <c r="H85" s="1">
        <v>16</v>
      </c>
      <c r="I85" s="1">
        <v>6</v>
      </c>
      <c r="J85" s="1" t="s">
        <v>21</v>
      </c>
      <c r="K85" s="1">
        <v>4</v>
      </c>
      <c r="L85" s="1" t="s">
        <v>23</v>
      </c>
      <c r="M85" s="1" t="s">
        <v>24</v>
      </c>
      <c r="N85" s="1" t="s">
        <v>21</v>
      </c>
      <c r="O85" s="1">
        <v>492.23998799999998</v>
      </c>
      <c r="P85" s="1">
        <v>487.95740699999999</v>
      </c>
      <c r="Q85" s="2">
        <f t="shared" si="2"/>
        <v>8.7001891443244418E-3</v>
      </c>
      <c r="R85" s="1" t="s">
        <v>25</v>
      </c>
      <c r="S85" s="4">
        <v>19.760000000000002</v>
      </c>
      <c r="T85" s="5">
        <v>1.014999579638243E-4</v>
      </c>
    </row>
    <row r="86" spans="1:20">
      <c r="A86" s="1" t="s">
        <v>109</v>
      </c>
      <c r="B86" s="1">
        <v>6</v>
      </c>
      <c r="C86" s="1">
        <v>4</v>
      </c>
      <c r="D86" s="1" t="s">
        <v>22</v>
      </c>
      <c r="E86" s="1">
        <v>10</v>
      </c>
      <c r="F86" s="1">
        <v>0</v>
      </c>
      <c r="G86" s="1" t="s">
        <v>21</v>
      </c>
      <c r="H86" s="1">
        <v>8</v>
      </c>
      <c r="I86" s="1">
        <v>1</v>
      </c>
      <c r="J86" s="1" t="s">
        <v>21</v>
      </c>
      <c r="K86" s="1">
        <v>0</v>
      </c>
      <c r="L86" s="1" t="s">
        <v>23</v>
      </c>
      <c r="M86" s="1" t="s">
        <v>24</v>
      </c>
      <c r="N86" s="1" t="s">
        <v>21</v>
      </c>
      <c r="O86" s="1">
        <v>61.32</v>
      </c>
      <c r="P86" s="1">
        <v>91.500290000000007</v>
      </c>
      <c r="Q86" s="2">
        <f t="shared" si="2"/>
        <v>0.49217694063926953</v>
      </c>
      <c r="R86" s="1" t="s">
        <v>25</v>
      </c>
      <c r="S86" s="4">
        <v>19.350000000000001</v>
      </c>
      <c r="T86" s="5">
        <v>9.5199968200176954E-5</v>
      </c>
    </row>
    <row r="87" spans="1:20">
      <c r="A87" s="1" t="s">
        <v>110</v>
      </c>
      <c r="B87" s="1">
        <v>8</v>
      </c>
      <c r="C87" s="1">
        <v>3</v>
      </c>
      <c r="D87" s="1" t="s">
        <v>22</v>
      </c>
      <c r="E87" s="1">
        <v>6</v>
      </c>
      <c r="F87" s="1">
        <v>4</v>
      </c>
      <c r="G87" s="1" t="s">
        <v>21</v>
      </c>
      <c r="H87" s="1">
        <v>10</v>
      </c>
      <c r="I87" s="1">
        <v>1</v>
      </c>
      <c r="J87" s="1" t="s">
        <v>21</v>
      </c>
      <c r="K87" s="1">
        <v>2</v>
      </c>
      <c r="L87" s="1" t="s">
        <v>23</v>
      </c>
      <c r="M87" s="1" t="s">
        <v>24</v>
      </c>
      <c r="N87" s="1" t="s">
        <v>21</v>
      </c>
      <c r="O87" s="1">
        <v>228.479995</v>
      </c>
      <c r="P87" s="1">
        <v>228.31180599999999</v>
      </c>
      <c r="Q87" s="2">
        <f t="shared" si="2"/>
        <v>7.3612133963856376E-4</v>
      </c>
      <c r="R87" s="1" t="s">
        <v>25</v>
      </c>
      <c r="S87" s="4">
        <v>19.27</v>
      </c>
      <c r="T87" s="5">
        <v>9.3200011178851128E-5</v>
      </c>
    </row>
    <row r="88" spans="1:20">
      <c r="A88" s="1" t="s">
        <v>111</v>
      </c>
      <c r="B88" s="1">
        <v>9</v>
      </c>
      <c r="C88" s="1">
        <v>2</v>
      </c>
      <c r="D88" s="1" t="s">
        <v>22</v>
      </c>
      <c r="E88" s="1">
        <v>8</v>
      </c>
      <c r="F88" s="1">
        <v>6</v>
      </c>
      <c r="G88" s="1" t="s">
        <v>21</v>
      </c>
      <c r="H88" s="1">
        <v>5</v>
      </c>
      <c r="I88" s="1">
        <v>2</v>
      </c>
      <c r="J88" s="1" t="s">
        <v>21</v>
      </c>
      <c r="K88" s="1">
        <v>4</v>
      </c>
      <c r="L88" s="1" t="s">
        <v>23</v>
      </c>
      <c r="M88" s="1" t="s">
        <v>24</v>
      </c>
      <c r="N88" s="1" t="s">
        <v>22</v>
      </c>
      <c r="O88" s="1">
        <v>169.400002</v>
      </c>
      <c r="P88" s="1">
        <v>172.61666399999999</v>
      </c>
      <c r="Q88" s="2">
        <f t="shared" si="2"/>
        <v>1.8988559398009839E-2</v>
      </c>
      <c r="R88" s="1" t="s">
        <v>25</v>
      </c>
      <c r="S88" s="4">
        <v>19.23</v>
      </c>
      <c r="T88" s="5">
        <v>9.1900001280009747E-5</v>
      </c>
    </row>
    <row r="89" spans="1:20">
      <c r="A89" s="1" t="s">
        <v>112</v>
      </c>
      <c r="B89" s="1">
        <v>9</v>
      </c>
      <c r="C89" s="1">
        <v>2</v>
      </c>
      <c r="D89" s="1" t="s">
        <v>21</v>
      </c>
      <c r="E89" s="1">
        <v>8</v>
      </c>
      <c r="F89" s="1">
        <v>4</v>
      </c>
      <c r="G89" s="1" t="s">
        <v>22</v>
      </c>
      <c r="H89" s="1">
        <v>16</v>
      </c>
      <c r="I89" s="1">
        <v>2</v>
      </c>
      <c r="J89" s="1" t="s">
        <v>21</v>
      </c>
      <c r="K89" s="1">
        <v>4</v>
      </c>
      <c r="L89" s="1" t="s">
        <v>23</v>
      </c>
      <c r="M89" s="1" t="s">
        <v>24</v>
      </c>
      <c r="N89" s="1" t="s">
        <v>21</v>
      </c>
      <c r="O89" s="1">
        <v>541.51998600000002</v>
      </c>
      <c r="P89" s="1">
        <v>549.79643499999997</v>
      </c>
      <c r="Q89" s="2">
        <f t="shared" si="2"/>
        <v>1.5283736914559524E-2</v>
      </c>
      <c r="R89" s="1" t="s">
        <v>25</v>
      </c>
      <c r="S89" s="4">
        <v>19.440000000000001</v>
      </c>
      <c r="T89" s="5">
        <v>9.180000051856041E-5</v>
      </c>
    </row>
    <row r="90" spans="1:20">
      <c r="A90" s="1" t="s">
        <v>113</v>
      </c>
      <c r="B90" s="1">
        <v>14</v>
      </c>
      <c r="C90" s="1">
        <v>1</v>
      </c>
      <c r="D90" s="1" t="s">
        <v>21</v>
      </c>
      <c r="E90" s="1">
        <v>12</v>
      </c>
      <c r="F90" s="1">
        <v>3</v>
      </c>
      <c r="G90" s="1" t="s">
        <v>22</v>
      </c>
      <c r="H90" s="1">
        <v>5</v>
      </c>
      <c r="I90" s="1">
        <v>2</v>
      </c>
      <c r="J90" s="1" t="s">
        <v>21</v>
      </c>
      <c r="K90" s="1">
        <v>0</v>
      </c>
      <c r="L90" s="1" t="s">
        <v>23</v>
      </c>
      <c r="M90" s="1" t="s">
        <v>24</v>
      </c>
      <c r="N90" s="1" t="s">
        <v>22</v>
      </c>
      <c r="O90" s="1">
        <v>49</v>
      </c>
      <c r="P90" s="1">
        <v>49.534001000000004</v>
      </c>
      <c r="Q90" s="2">
        <f t="shared" si="2"/>
        <v>1.0897979591836806E-2</v>
      </c>
      <c r="R90" s="1" t="s">
        <v>25</v>
      </c>
      <c r="S90" s="4">
        <v>19.87</v>
      </c>
      <c r="T90" s="5">
        <v>8.9299981482326984E-5</v>
      </c>
    </row>
    <row r="91" spans="1:20">
      <c r="A91" s="1" t="s">
        <v>114</v>
      </c>
      <c r="B91" s="1">
        <v>14</v>
      </c>
      <c r="C91" s="1">
        <v>3</v>
      </c>
      <c r="D91" s="1" t="s">
        <v>21</v>
      </c>
      <c r="E91" s="1">
        <v>5</v>
      </c>
      <c r="F91" s="1">
        <v>1</v>
      </c>
      <c r="G91" s="1" t="s">
        <v>22</v>
      </c>
      <c r="H91" s="1">
        <v>5</v>
      </c>
      <c r="I91" s="1">
        <v>0</v>
      </c>
      <c r="J91" s="1" t="s">
        <v>21</v>
      </c>
      <c r="K91" s="1">
        <v>3</v>
      </c>
      <c r="L91" s="1" t="s">
        <v>23</v>
      </c>
      <c r="M91" s="1" t="s">
        <v>24</v>
      </c>
      <c r="N91" s="1" t="s">
        <v>22</v>
      </c>
      <c r="O91" s="1">
        <v>146.16000099999999</v>
      </c>
      <c r="P91" s="1">
        <v>148.94569000000001</v>
      </c>
      <c r="Q91" s="2">
        <f t="shared" si="2"/>
        <v>1.9059174746448033E-2</v>
      </c>
      <c r="R91" s="1" t="s">
        <v>25</v>
      </c>
      <c r="S91" s="4">
        <v>19.21</v>
      </c>
      <c r="T91" s="5">
        <v>9.1199995949864388E-5</v>
      </c>
    </row>
    <row r="92" spans="1:20">
      <c r="A92" s="1" t="s">
        <v>115</v>
      </c>
      <c r="B92" s="1">
        <v>9</v>
      </c>
      <c r="C92" s="1">
        <v>4</v>
      </c>
      <c r="D92" s="1" t="s">
        <v>22</v>
      </c>
      <c r="E92" s="1">
        <v>10</v>
      </c>
      <c r="F92" s="1">
        <v>3</v>
      </c>
      <c r="G92" s="1" t="s">
        <v>21</v>
      </c>
      <c r="H92" s="1">
        <v>12</v>
      </c>
      <c r="I92" s="1">
        <v>4</v>
      </c>
      <c r="J92" s="1" t="s">
        <v>21</v>
      </c>
      <c r="K92" s="1">
        <v>2</v>
      </c>
      <c r="L92" s="1" t="s">
        <v>23</v>
      </c>
      <c r="M92" s="1" t="s">
        <v>24</v>
      </c>
      <c r="N92" s="1" t="s">
        <v>21</v>
      </c>
      <c r="O92" s="1">
        <v>276.079994</v>
      </c>
      <c r="P92" s="1">
        <v>295.34619400000003</v>
      </c>
      <c r="Q92" s="2">
        <f t="shared" si="2"/>
        <v>6.9784846489094124E-2</v>
      </c>
      <c r="R92" s="1" t="s">
        <v>25</v>
      </c>
      <c r="S92" s="4">
        <v>19.190000000000001</v>
      </c>
      <c r="T92" s="5">
        <v>9.3499955255538225E-5</v>
      </c>
    </row>
    <row r="93" spans="1:20">
      <c r="A93" s="1" t="s">
        <v>116</v>
      </c>
      <c r="B93" s="1">
        <v>9</v>
      </c>
      <c r="C93" s="1">
        <v>6</v>
      </c>
      <c r="D93" s="1" t="s">
        <v>22</v>
      </c>
      <c r="E93" s="1">
        <v>9</v>
      </c>
      <c r="F93" s="1">
        <v>1</v>
      </c>
      <c r="G93" s="1" t="s">
        <v>21</v>
      </c>
      <c r="H93" s="1">
        <v>9</v>
      </c>
      <c r="I93" s="1">
        <v>3</v>
      </c>
      <c r="J93" s="1" t="s">
        <v>21</v>
      </c>
      <c r="K93" s="1">
        <v>0</v>
      </c>
      <c r="L93" s="1" t="s">
        <v>23</v>
      </c>
      <c r="M93" s="1" t="s">
        <v>24</v>
      </c>
      <c r="N93" s="1" t="s">
        <v>21</v>
      </c>
      <c r="O93" s="1">
        <v>76.72</v>
      </c>
      <c r="P93" s="1">
        <v>94.406390000000002</v>
      </c>
      <c r="Q93" s="2">
        <f t="shared" si="2"/>
        <v>0.2305316736183525</v>
      </c>
      <c r="R93" s="1" t="s">
        <v>25</v>
      </c>
      <c r="S93" s="4">
        <v>20.69</v>
      </c>
      <c r="T93" s="5">
        <v>9.5599971245974302E-5</v>
      </c>
    </row>
    <row r="94" spans="1:20">
      <c r="A94" s="1" t="s">
        <v>117</v>
      </c>
      <c r="B94" s="1">
        <v>14</v>
      </c>
      <c r="C94" s="1">
        <v>8</v>
      </c>
      <c r="D94" s="1" t="s">
        <v>22</v>
      </c>
      <c r="E94" s="1">
        <v>9</v>
      </c>
      <c r="F94" s="1">
        <v>0</v>
      </c>
      <c r="G94" s="1" t="s">
        <v>21</v>
      </c>
      <c r="H94" s="1">
        <v>5</v>
      </c>
      <c r="I94" s="1">
        <v>0</v>
      </c>
      <c r="J94" s="1" t="s">
        <v>21</v>
      </c>
      <c r="K94" s="1">
        <v>4</v>
      </c>
      <c r="L94" s="1" t="s">
        <v>23</v>
      </c>
      <c r="M94" s="1" t="s">
        <v>24</v>
      </c>
      <c r="N94" s="1" t="s">
        <v>22</v>
      </c>
      <c r="O94" s="1">
        <v>171.64000200000001</v>
      </c>
      <c r="P94" s="1">
        <v>172.61666399999999</v>
      </c>
      <c r="Q94" s="2">
        <f t="shared" si="2"/>
        <v>5.6901770485878701E-3</v>
      </c>
      <c r="R94" s="1" t="s">
        <v>25</v>
      </c>
      <c r="S94" s="4">
        <v>19.739999999999998</v>
      </c>
      <c r="T94" s="5">
        <v>9.380001574754715E-5</v>
      </c>
    </row>
    <row r="95" spans="1:20">
      <c r="A95" s="1" t="s">
        <v>118</v>
      </c>
      <c r="B95" s="1">
        <v>12</v>
      </c>
      <c r="C95" s="1">
        <v>8</v>
      </c>
      <c r="D95" s="1" t="s">
        <v>22</v>
      </c>
      <c r="E95" s="1">
        <v>12</v>
      </c>
      <c r="F95" s="1">
        <v>0</v>
      </c>
      <c r="G95" s="1" t="s">
        <v>21</v>
      </c>
      <c r="H95" s="1">
        <v>9</v>
      </c>
      <c r="I95" s="1">
        <v>2</v>
      </c>
      <c r="J95" s="1" t="s">
        <v>21</v>
      </c>
      <c r="K95" s="1">
        <v>2</v>
      </c>
      <c r="L95" s="1" t="s">
        <v>23</v>
      </c>
      <c r="M95" s="1" t="s">
        <v>24</v>
      </c>
      <c r="N95" s="1" t="s">
        <v>21</v>
      </c>
      <c r="O95" s="1">
        <v>188.15999600000001</v>
      </c>
      <c r="P95" s="1">
        <v>205.28639000000001</v>
      </c>
      <c r="Q95" s="2">
        <f t="shared" si="2"/>
        <v>9.102037821046724E-2</v>
      </c>
      <c r="R95" s="1" t="s">
        <v>25</v>
      </c>
      <c r="S95" s="4">
        <v>19.53</v>
      </c>
      <c r="T95" s="5">
        <v>9.6599978860467672E-5</v>
      </c>
    </row>
    <row r="96" spans="1:20">
      <c r="A96" s="1" t="s">
        <v>119</v>
      </c>
      <c r="B96" s="1">
        <v>8</v>
      </c>
      <c r="C96" s="1">
        <v>2</v>
      </c>
      <c r="D96" s="1" t="s">
        <v>21</v>
      </c>
      <c r="E96" s="1">
        <v>12</v>
      </c>
      <c r="F96" s="1">
        <v>3</v>
      </c>
      <c r="G96" s="1" t="s">
        <v>21</v>
      </c>
      <c r="H96" s="1">
        <v>16</v>
      </c>
      <c r="I96" s="1">
        <v>2</v>
      </c>
      <c r="J96" s="1" t="s">
        <v>21</v>
      </c>
      <c r="K96" s="1">
        <v>0</v>
      </c>
      <c r="L96" s="1" t="s">
        <v>23</v>
      </c>
      <c r="M96" s="1" t="s">
        <v>24</v>
      </c>
      <c r="N96" s="1" t="s">
        <v>22</v>
      </c>
      <c r="O96" s="1">
        <v>160.439999</v>
      </c>
      <c r="P96" s="1">
        <v>163.27225999999999</v>
      </c>
      <c r="Q96" s="2">
        <f t="shared" si="2"/>
        <v>1.7653085375548952E-2</v>
      </c>
      <c r="R96" s="1" t="s">
        <v>25</v>
      </c>
      <c r="S96" s="4">
        <v>19.89</v>
      </c>
      <c r="T96" s="5">
        <v>9.5200026407837868E-5</v>
      </c>
    </row>
    <row r="97" spans="1:20">
      <c r="A97" s="1" t="s">
        <v>120</v>
      </c>
      <c r="B97" s="1">
        <v>16</v>
      </c>
      <c r="C97" s="1">
        <v>4</v>
      </c>
      <c r="D97" s="1" t="s">
        <v>21</v>
      </c>
      <c r="E97" s="1">
        <v>8</v>
      </c>
      <c r="F97" s="1">
        <v>1</v>
      </c>
      <c r="G97" s="1" t="s">
        <v>21</v>
      </c>
      <c r="H97" s="1">
        <v>8</v>
      </c>
      <c r="I97" s="1">
        <v>6</v>
      </c>
      <c r="J97" s="1" t="s">
        <v>21</v>
      </c>
      <c r="K97" s="1">
        <v>3</v>
      </c>
      <c r="L97" s="1" t="s">
        <v>23</v>
      </c>
      <c r="M97" s="1" t="s">
        <v>24</v>
      </c>
      <c r="N97" s="1" t="s">
        <v>21</v>
      </c>
      <c r="O97" s="1">
        <v>159.599996</v>
      </c>
      <c r="P97" s="1">
        <v>157.374179</v>
      </c>
      <c r="Q97" s="2">
        <f t="shared" si="2"/>
        <v>1.3946222154040695E-2</v>
      </c>
      <c r="R97" s="1" t="s">
        <v>25</v>
      </c>
      <c r="S97" s="4">
        <v>20.14</v>
      </c>
      <c r="T97" s="5">
        <v>9.2000002041459084E-5</v>
      </c>
    </row>
    <row r="98" spans="1:20">
      <c r="A98" s="1" t="s">
        <v>121</v>
      </c>
      <c r="B98" s="1">
        <v>12</v>
      </c>
      <c r="C98" s="1">
        <v>2</v>
      </c>
      <c r="D98" s="1" t="s">
        <v>22</v>
      </c>
      <c r="E98" s="1">
        <v>6</v>
      </c>
      <c r="F98" s="1">
        <v>2</v>
      </c>
      <c r="G98" s="1" t="s">
        <v>21</v>
      </c>
      <c r="H98" s="1">
        <v>16</v>
      </c>
      <c r="I98" s="1">
        <v>0</v>
      </c>
      <c r="J98" s="1" t="s">
        <v>21</v>
      </c>
      <c r="K98" s="1">
        <v>4</v>
      </c>
      <c r="L98" s="1" t="s">
        <v>23</v>
      </c>
      <c r="M98" s="1" t="s">
        <v>24</v>
      </c>
      <c r="N98" s="1" t="s">
        <v>21</v>
      </c>
      <c r="O98" s="1">
        <v>583.51998600000002</v>
      </c>
      <c r="P98" s="1">
        <v>575.56856000000005</v>
      </c>
      <c r="Q98" s="2">
        <f t="shared" ref="Q98:Q129" si="3">ABS(P98-O98)/O98</f>
        <v>1.3626655797184587E-2</v>
      </c>
      <c r="R98" s="1" t="s">
        <v>25</v>
      </c>
      <c r="S98" s="4">
        <v>19.91</v>
      </c>
      <c r="T98" s="5">
        <v>9.7099982667714357E-5</v>
      </c>
    </row>
    <row r="99" spans="1:20">
      <c r="A99" s="1" t="s">
        <v>122</v>
      </c>
      <c r="B99" s="1">
        <v>10</v>
      </c>
      <c r="C99" s="1">
        <v>4</v>
      </c>
      <c r="D99" s="1" t="s">
        <v>21</v>
      </c>
      <c r="E99" s="1">
        <v>14</v>
      </c>
      <c r="F99" s="1">
        <v>3</v>
      </c>
      <c r="G99" s="1" t="s">
        <v>22</v>
      </c>
      <c r="H99" s="1">
        <v>8</v>
      </c>
      <c r="I99" s="1">
        <v>2</v>
      </c>
      <c r="J99" s="1" t="s">
        <v>21</v>
      </c>
      <c r="K99" s="1">
        <v>4</v>
      </c>
      <c r="L99" s="1" t="s">
        <v>23</v>
      </c>
      <c r="M99" s="1" t="s">
        <v>24</v>
      </c>
      <c r="N99" s="1" t="s">
        <v>21</v>
      </c>
      <c r="O99" s="1">
        <v>328.43999300000002</v>
      </c>
      <c r="P99" s="1">
        <v>314.39197899999999</v>
      </c>
      <c r="Q99" s="2">
        <f t="shared" si="3"/>
        <v>4.2771934902580584E-2</v>
      </c>
      <c r="R99" s="1" t="s">
        <v>25</v>
      </c>
      <c r="S99" s="4">
        <v>19.38</v>
      </c>
      <c r="T99" s="5">
        <v>9.4300019554793835E-5</v>
      </c>
    </row>
    <row r="100" spans="1:20">
      <c r="A100" s="1" t="s">
        <v>123</v>
      </c>
      <c r="B100" s="1">
        <v>12</v>
      </c>
      <c r="C100" s="1">
        <v>6</v>
      </c>
      <c r="D100" s="1" t="s">
        <v>21</v>
      </c>
      <c r="E100" s="1">
        <v>8</v>
      </c>
      <c r="F100" s="1">
        <v>1</v>
      </c>
      <c r="G100" s="1" t="s">
        <v>22</v>
      </c>
      <c r="H100" s="1">
        <v>8</v>
      </c>
      <c r="I100" s="1">
        <v>3</v>
      </c>
      <c r="J100" s="1" t="s">
        <v>21</v>
      </c>
      <c r="K100" s="1">
        <v>4</v>
      </c>
      <c r="L100" s="1" t="s">
        <v>23</v>
      </c>
      <c r="M100" s="1" t="s">
        <v>24</v>
      </c>
      <c r="N100" s="1" t="s">
        <v>21</v>
      </c>
      <c r="O100" s="1">
        <v>285.31999300000001</v>
      </c>
      <c r="P100" s="1">
        <v>286.49762700000002</v>
      </c>
      <c r="Q100" s="2">
        <f t="shared" si="3"/>
        <v>4.1274149337302548E-3</v>
      </c>
      <c r="R100" s="1" t="s">
        <v>25</v>
      </c>
      <c r="S100" s="4">
        <v>19.41</v>
      </c>
      <c r="T100" s="5">
        <v>9.7699987236410379E-5</v>
      </c>
    </row>
    <row r="101" spans="1:20">
      <c r="A101" s="1" t="s">
        <v>124</v>
      </c>
      <c r="B101" s="1">
        <v>16</v>
      </c>
      <c r="C101" s="1">
        <v>3</v>
      </c>
      <c r="D101" s="1" t="s">
        <v>22</v>
      </c>
      <c r="E101" s="1">
        <v>12</v>
      </c>
      <c r="F101" s="1">
        <v>4</v>
      </c>
      <c r="G101" s="1" t="s">
        <v>22</v>
      </c>
      <c r="H101" s="1">
        <v>16</v>
      </c>
      <c r="I101" s="1">
        <v>4</v>
      </c>
      <c r="J101" s="1" t="s">
        <v>22</v>
      </c>
      <c r="K101" s="1">
        <v>0</v>
      </c>
      <c r="L101" s="1" t="s">
        <v>23</v>
      </c>
      <c r="M101" s="1" t="s">
        <v>24</v>
      </c>
      <c r="N101" s="1" t="s">
        <v>22</v>
      </c>
      <c r="O101" s="1">
        <v>177.51999900000001</v>
      </c>
      <c r="P101" s="1">
        <v>181.99584400000001</v>
      </c>
      <c r="Q101" s="2">
        <f t="shared" si="3"/>
        <v>2.5213187388537516E-2</v>
      </c>
      <c r="R101" s="1" t="s">
        <v>25</v>
      </c>
      <c r="S101" s="4">
        <v>20.65</v>
      </c>
      <c r="T101" s="5">
        <v>1.0330002987757331E-4</v>
      </c>
    </row>
    <row r="102" spans="1:20">
      <c r="A102" s="1" t="s">
        <v>20</v>
      </c>
      <c r="B102" s="1">
        <v>5</v>
      </c>
      <c r="C102" s="1">
        <v>1</v>
      </c>
      <c r="D102" s="1" t="s">
        <v>22</v>
      </c>
      <c r="E102" s="1">
        <v>16</v>
      </c>
      <c r="F102" s="1">
        <v>11</v>
      </c>
      <c r="G102" s="1" t="s">
        <v>21</v>
      </c>
      <c r="H102" s="1">
        <v>18</v>
      </c>
      <c r="I102" s="1">
        <v>6</v>
      </c>
      <c r="J102" s="1" t="s">
        <v>21</v>
      </c>
      <c r="K102" s="1">
        <v>0</v>
      </c>
      <c r="L102" s="1" t="s">
        <v>23</v>
      </c>
      <c r="M102" s="1" t="s">
        <v>24</v>
      </c>
      <c r="N102" s="1" t="s">
        <v>22</v>
      </c>
      <c r="O102" s="1">
        <v>117.6</v>
      </c>
      <c r="P102" s="1">
        <v>110.200644</v>
      </c>
      <c r="Q102" s="2">
        <f t="shared" si="3"/>
        <v>6.2919693877551003E-2</v>
      </c>
      <c r="R102" s="1" t="s">
        <v>125</v>
      </c>
      <c r="S102" s="4">
        <v>19.05</v>
      </c>
      <c r="T102" s="5">
        <v>1.110999728552997E-4</v>
      </c>
    </row>
    <row r="103" spans="1:20">
      <c r="A103" s="1" t="s">
        <v>26</v>
      </c>
      <c r="B103" s="1">
        <v>8</v>
      </c>
      <c r="C103" s="1">
        <v>7</v>
      </c>
      <c r="D103" s="1" t="s">
        <v>21</v>
      </c>
      <c r="E103" s="1">
        <v>7</v>
      </c>
      <c r="F103" s="1">
        <v>4</v>
      </c>
      <c r="G103" s="1" t="s">
        <v>21</v>
      </c>
      <c r="H103" s="1">
        <v>6</v>
      </c>
      <c r="I103" s="1">
        <v>0</v>
      </c>
      <c r="J103" s="1" t="s">
        <v>21</v>
      </c>
      <c r="K103" s="1">
        <v>6</v>
      </c>
      <c r="L103" s="1" t="s">
        <v>23</v>
      </c>
      <c r="M103" s="1" t="s">
        <v>24</v>
      </c>
      <c r="N103" s="1" t="s">
        <v>21</v>
      </c>
      <c r="O103" s="1">
        <v>303.23999199999997</v>
      </c>
      <c r="P103" s="1">
        <v>311.62504000000001</v>
      </c>
      <c r="Q103" s="2">
        <f t="shared" si="3"/>
        <v>2.7651524275201938E-2</v>
      </c>
      <c r="R103" s="1" t="s">
        <v>125</v>
      </c>
      <c r="S103" s="4">
        <v>18.899999999999999</v>
      </c>
      <c r="T103" s="5">
        <v>1.0190001921728251E-4</v>
      </c>
    </row>
    <row r="104" spans="1:20">
      <c r="A104" s="1" t="s">
        <v>27</v>
      </c>
      <c r="B104" s="1">
        <v>7</v>
      </c>
      <c r="C104" s="1">
        <v>4</v>
      </c>
      <c r="D104" s="1" t="s">
        <v>22</v>
      </c>
      <c r="E104" s="1">
        <v>9</v>
      </c>
      <c r="F104" s="1">
        <v>1</v>
      </c>
      <c r="G104" s="1" t="s">
        <v>22</v>
      </c>
      <c r="H104" s="1">
        <v>26</v>
      </c>
      <c r="I104" s="1">
        <v>6</v>
      </c>
      <c r="J104" s="1" t="s">
        <v>22</v>
      </c>
      <c r="K104" s="1">
        <v>0</v>
      </c>
      <c r="L104" s="1" t="s">
        <v>23</v>
      </c>
      <c r="M104" s="1" t="s">
        <v>24</v>
      </c>
      <c r="N104" s="1" t="s">
        <v>21</v>
      </c>
      <c r="O104" s="1">
        <v>113.959999</v>
      </c>
      <c r="P104" s="1">
        <v>114.848297</v>
      </c>
      <c r="Q104" s="2">
        <f t="shared" si="3"/>
        <v>7.7948228132224363E-3</v>
      </c>
      <c r="R104" s="1" t="s">
        <v>125</v>
      </c>
      <c r="S104" s="4">
        <v>19.38</v>
      </c>
      <c r="T104" s="5">
        <v>1.171000185422599E-4</v>
      </c>
    </row>
    <row r="105" spans="1:20">
      <c r="A105" s="1" t="s">
        <v>28</v>
      </c>
      <c r="B105" s="1">
        <v>16</v>
      </c>
      <c r="C105" s="1">
        <v>4</v>
      </c>
      <c r="D105" s="1" t="s">
        <v>22</v>
      </c>
      <c r="E105" s="1">
        <v>4</v>
      </c>
      <c r="F105" s="1">
        <v>2</v>
      </c>
      <c r="G105" s="1" t="s">
        <v>22</v>
      </c>
      <c r="H105" s="1">
        <v>8</v>
      </c>
      <c r="I105" s="1">
        <v>6</v>
      </c>
      <c r="J105" s="1" t="s">
        <v>22</v>
      </c>
      <c r="K105" s="1">
        <v>1</v>
      </c>
      <c r="L105" s="1" t="s">
        <v>23</v>
      </c>
      <c r="M105" s="1" t="s">
        <v>24</v>
      </c>
      <c r="N105" s="1" t="s">
        <v>22</v>
      </c>
      <c r="O105" s="1">
        <v>82.6</v>
      </c>
      <c r="P105" s="1">
        <v>82.776842000000002</v>
      </c>
      <c r="Q105" s="2">
        <f t="shared" si="3"/>
        <v>2.1409443099274545E-3</v>
      </c>
      <c r="R105" s="1" t="s">
        <v>125</v>
      </c>
      <c r="S105" s="4">
        <v>19.12</v>
      </c>
      <c r="T105" s="5">
        <v>9.9500000942498446E-5</v>
      </c>
    </row>
    <row r="106" spans="1:20">
      <c r="A106" s="1" t="s">
        <v>29</v>
      </c>
      <c r="B106" s="1">
        <v>9</v>
      </c>
      <c r="C106" s="1">
        <v>5</v>
      </c>
      <c r="D106" s="1" t="s">
        <v>21</v>
      </c>
      <c r="E106" s="1">
        <v>7</v>
      </c>
      <c r="F106" s="1">
        <v>3</v>
      </c>
      <c r="G106" s="1" t="s">
        <v>21</v>
      </c>
      <c r="H106" s="1">
        <v>7</v>
      </c>
      <c r="I106" s="1">
        <v>3</v>
      </c>
      <c r="J106" s="1" t="s">
        <v>21</v>
      </c>
      <c r="K106" s="1">
        <v>3</v>
      </c>
      <c r="L106" s="1" t="s">
        <v>23</v>
      </c>
      <c r="M106" s="1" t="s">
        <v>24</v>
      </c>
      <c r="N106" s="1" t="s">
        <v>21</v>
      </c>
      <c r="O106" s="1">
        <v>223.71999500000001</v>
      </c>
      <c r="P106" s="1">
        <v>221.874191</v>
      </c>
      <c r="Q106" s="2">
        <f t="shared" si="3"/>
        <v>8.2505097499220633E-3</v>
      </c>
      <c r="R106" s="1" t="s">
        <v>125</v>
      </c>
      <c r="S106" s="4">
        <v>19.07</v>
      </c>
      <c r="T106" s="5">
        <v>9.7199983429163694E-5</v>
      </c>
    </row>
    <row r="107" spans="1:20">
      <c r="A107" s="1" t="s">
        <v>30</v>
      </c>
      <c r="B107" s="1">
        <v>9</v>
      </c>
      <c r="C107" s="1">
        <v>3</v>
      </c>
      <c r="D107" s="1" t="s">
        <v>22</v>
      </c>
      <c r="E107" s="1">
        <v>16</v>
      </c>
      <c r="F107" s="1">
        <v>1</v>
      </c>
      <c r="G107" s="1" t="s">
        <v>21</v>
      </c>
      <c r="H107" s="1">
        <v>7</v>
      </c>
      <c r="I107" s="1">
        <v>3</v>
      </c>
      <c r="J107" s="1" t="s">
        <v>21</v>
      </c>
      <c r="K107" s="1">
        <v>0</v>
      </c>
      <c r="L107" s="1" t="s">
        <v>23</v>
      </c>
      <c r="M107" s="1" t="s">
        <v>24</v>
      </c>
      <c r="N107" s="1" t="s">
        <v>22</v>
      </c>
      <c r="O107" s="1">
        <v>65.8</v>
      </c>
      <c r="P107" s="1">
        <v>66.428864000000004</v>
      </c>
      <c r="Q107" s="2">
        <f t="shared" si="3"/>
        <v>9.5572036474165234E-3</v>
      </c>
      <c r="R107" s="1" t="s">
        <v>125</v>
      </c>
      <c r="S107" s="4">
        <v>19.5</v>
      </c>
      <c r="T107" s="5">
        <v>9.5099967438727617E-5</v>
      </c>
    </row>
    <row r="108" spans="1:20">
      <c r="A108" s="1" t="s">
        <v>31</v>
      </c>
      <c r="B108" s="1">
        <v>5</v>
      </c>
      <c r="C108" s="1">
        <v>3</v>
      </c>
      <c r="D108" s="1" t="s">
        <v>21</v>
      </c>
      <c r="E108" s="1">
        <v>20</v>
      </c>
      <c r="F108" s="1">
        <v>1</v>
      </c>
      <c r="G108" s="1" t="s">
        <v>22</v>
      </c>
      <c r="H108" s="1">
        <v>12</v>
      </c>
      <c r="I108" s="1">
        <v>4</v>
      </c>
      <c r="J108" s="1" t="s">
        <v>21</v>
      </c>
      <c r="K108" s="1">
        <v>0</v>
      </c>
      <c r="L108" s="1" t="s">
        <v>23</v>
      </c>
      <c r="M108" s="1" t="s">
        <v>24</v>
      </c>
      <c r="N108" s="1" t="s">
        <v>21</v>
      </c>
      <c r="O108" s="1">
        <v>149.52000000000001</v>
      </c>
      <c r="P108" s="1">
        <v>123.272288</v>
      </c>
      <c r="Q108" s="2">
        <f t="shared" si="3"/>
        <v>0.17554649545211345</v>
      </c>
      <c r="R108" s="1" t="s">
        <v>125</v>
      </c>
      <c r="S108" s="4">
        <v>19.190000000000001</v>
      </c>
      <c r="T108" s="5">
        <v>9.8899996373802423E-5</v>
      </c>
    </row>
    <row r="109" spans="1:20">
      <c r="A109" s="1" t="s">
        <v>32</v>
      </c>
      <c r="B109" s="1">
        <v>7</v>
      </c>
      <c r="C109" s="1">
        <v>4</v>
      </c>
      <c r="D109" s="1" t="s">
        <v>21</v>
      </c>
      <c r="E109" s="1">
        <v>8</v>
      </c>
      <c r="F109" s="1">
        <v>4</v>
      </c>
      <c r="G109" s="1" t="s">
        <v>22</v>
      </c>
      <c r="H109" s="1">
        <v>15</v>
      </c>
      <c r="I109" s="1">
        <v>3</v>
      </c>
      <c r="J109" s="1" t="s">
        <v>21</v>
      </c>
      <c r="K109" s="1">
        <v>6</v>
      </c>
      <c r="L109" s="1" t="s">
        <v>23</v>
      </c>
      <c r="M109" s="1" t="s">
        <v>24</v>
      </c>
      <c r="N109" s="1" t="s">
        <v>22</v>
      </c>
      <c r="O109" s="1">
        <v>637.28000999999995</v>
      </c>
      <c r="P109" s="1">
        <v>628.95878400000004</v>
      </c>
      <c r="Q109" s="2">
        <f t="shared" si="3"/>
        <v>1.3057409410974481E-2</v>
      </c>
      <c r="R109" s="1" t="s">
        <v>125</v>
      </c>
      <c r="S109" s="4">
        <v>18.86</v>
      </c>
      <c r="T109" s="5">
        <v>9.1499998234212399E-5</v>
      </c>
    </row>
    <row r="110" spans="1:20">
      <c r="A110" s="1" t="s">
        <v>33</v>
      </c>
      <c r="B110" s="1">
        <v>10</v>
      </c>
      <c r="C110" s="1">
        <v>2</v>
      </c>
      <c r="D110" s="1" t="s">
        <v>22</v>
      </c>
      <c r="E110" s="1">
        <v>4</v>
      </c>
      <c r="F110" s="1">
        <v>0</v>
      </c>
      <c r="G110" s="1" t="s">
        <v>22</v>
      </c>
      <c r="H110" s="1">
        <v>3</v>
      </c>
      <c r="I110" s="1">
        <v>1</v>
      </c>
      <c r="J110" s="1" t="s">
        <v>22</v>
      </c>
      <c r="K110" s="1">
        <v>6</v>
      </c>
      <c r="L110" s="1" t="s">
        <v>23</v>
      </c>
      <c r="M110" s="1" t="s">
        <v>24</v>
      </c>
      <c r="N110" s="1" t="s">
        <v>21</v>
      </c>
      <c r="O110" s="1">
        <v>139.43999600000001</v>
      </c>
      <c r="P110" s="1">
        <v>139.156474</v>
      </c>
      <c r="Q110" s="2">
        <f t="shared" si="3"/>
        <v>2.0332903624007913E-3</v>
      </c>
      <c r="R110" s="1" t="s">
        <v>125</v>
      </c>
      <c r="S110" s="4">
        <v>18.41</v>
      </c>
      <c r="T110" s="5">
        <v>9.0699992142617702E-5</v>
      </c>
    </row>
    <row r="111" spans="1:20">
      <c r="A111" s="1" t="s">
        <v>34</v>
      </c>
      <c r="B111" s="1">
        <v>5</v>
      </c>
      <c r="C111" s="1">
        <v>0</v>
      </c>
      <c r="D111" s="1" t="s">
        <v>21</v>
      </c>
      <c r="E111" s="1">
        <v>6</v>
      </c>
      <c r="F111" s="1">
        <v>4</v>
      </c>
      <c r="G111" s="1" t="s">
        <v>21</v>
      </c>
      <c r="H111" s="1">
        <v>8</v>
      </c>
      <c r="I111" s="1">
        <v>6</v>
      </c>
      <c r="J111" s="1" t="s">
        <v>21</v>
      </c>
      <c r="K111" s="1">
        <v>1</v>
      </c>
      <c r="L111" s="1" t="s">
        <v>23</v>
      </c>
      <c r="M111" s="1" t="s">
        <v>24</v>
      </c>
      <c r="N111" s="1" t="s">
        <v>22</v>
      </c>
      <c r="O111" s="1">
        <v>62.160001000000001</v>
      </c>
      <c r="P111" s="1">
        <v>60.611514999999997</v>
      </c>
      <c r="Q111" s="2">
        <f t="shared" si="3"/>
        <v>2.4911293035532672E-2</v>
      </c>
      <c r="R111" s="1" t="s">
        <v>125</v>
      </c>
      <c r="S111" s="4">
        <v>19.05</v>
      </c>
      <c r="T111" s="5">
        <v>1.2369995238259429E-4</v>
      </c>
    </row>
    <row r="112" spans="1:20">
      <c r="A112" s="1" t="s">
        <v>35</v>
      </c>
      <c r="B112" s="1">
        <v>4</v>
      </c>
      <c r="C112" s="1">
        <v>3</v>
      </c>
      <c r="D112" s="1" t="s">
        <v>21</v>
      </c>
      <c r="E112" s="1">
        <v>8</v>
      </c>
      <c r="F112" s="1">
        <v>7</v>
      </c>
      <c r="G112" s="1" t="s">
        <v>21</v>
      </c>
      <c r="H112" s="1">
        <v>6</v>
      </c>
      <c r="I112" s="1">
        <v>0</v>
      </c>
      <c r="J112" s="1" t="s">
        <v>21</v>
      </c>
      <c r="K112" s="1">
        <v>3</v>
      </c>
      <c r="L112" s="1" t="s">
        <v>23</v>
      </c>
      <c r="M112" s="1" t="s">
        <v>24</v>
      </c>
      <c r="N112" s="1" t="s">
        <v>21</v>
      </c>
      <c r="O112" s="1">
        <v>160.43999600000001</v>
      </c>
      <c r="P112" s="1">
        <v>157.80402699999999</v>
      </c>
      <c r="Q112" s="2">
        <f t="shared" si="3"/>
        <v>1.6429625191464209E-2</v>
      </c>
      <c r="R112" s="1" t="s">
        <v>125</v>
      </c>
      <c r="S112" s="4">
        <v>18.829999999999998</v>
      </c>
      <c r="T112" s="5">
        <v>1.065999967977405E-4</v>
      </c>
    </row>
    <row r="113" spans="1:20">
      <c r="A113" s="1" t="s">
        <v>36</v>
      </c>
      <c r="B113" s="1">
        <v>14</v>
      </c>
      <c r="C113" s="1">
        <v>8</v>
      </c>
      <c r="D113" s="1" t="s">
        <v>22</v>
      </c>
      <c r="E113" s="1">
        <v>14</v>
      </c>
      <c r="F113" s="1">
        <v>2</v>
      </c>
      <c r="G113" s="1" t="s">
        <v>21</v>
      </c>
      <c r="H113" s="1">
        <v>15</v>
      </c>
      <c r="I113" s="1">
        <v>3</v>
      </c>
      <c r="J113" s="1" t="s">
        <v>21</v>
      </c>
      <c r="K113" s="1">
        <v>3</v>
      </c>
      <c r="L113" s="1" t="s">
        <v>23</v>
      </c>
      <c r="M113" s="1" t="s">
        <v>24</v>
      </c>
      <c r="N113" s="1" t="s">
        <v>22</v>
      </c>
      <c r="O113" s="1">
        <v>406.84000400000002</v>
      </c>
      <c r="P113" s="1">
        <v>437.221633</v>
      </c>
      <c r="Q113" s="2">
        <f t="shared" si="3"/>
        <v>7.4677093455146004E-2</v>
      </c>
      <c r="R113" s="1" t="s">
        <v>125</v>
      </c>
      <c r="S113" s="4">
        <v>19.22</v>
      </c>
      <c r="T113" s="5">
        <v>1.0549998842179781E-4</v>
      </c>
    </row>
    <row r="114" spans="1:20">
      <c r="A114" s="1" t="s">
        <v>37</v>
      </c>
      <c r="B114" s="1">
        <v>9</v>
      </c>
      <c r="C114" s="1">
        <v>7</v>
      </c>
      <c r="D114" s="1" t="s">
        <v>21</v>
      </c>
      <c r="E114" s="1">
        <v>20</v>
      </c>
      <c r="F114" s="1">
        <v>13</v>
      </c>
      <c r="G114" s="1" t="s">
        <v>21</v>
      </c>
      <c r="H114" s="1">
        <v>22</v>
      </c>
      <c r="I114" s="1">
        <v>2</v>
      </c>
      <c r="J114" s="1" t="s">
        <v>21</v>
      </c>
      <c r="K114" s="1">
        <v>6</v>
      </c>
      <c r="L114" s="1" t="s">
        <v>23</v>
      </c>
      <c r="M114" s="1" t="s">
        <v>24</v>
      </c>
      <c r="N114" s="1" t="s">
        <v>21</v>
      </c>
      <c r="O114" s="1">
        <v>1070.9999720000001</v>
      </c>
      <c r="P114" s="1">
        <v>1041.691313</v>
      </c>
      <c r="Q114" s="2">
        <f t="shared" si="3"/>
        <v>2.7365695393314196E-2</v>
      </c>
      <c r="R114" s="1" t="s">
        <v>125</v>
      </c>
      <c r="S114" s="4">
        <v>19.57</v>
      </c>
      <c r="T114" s="5">
        <v>1.063999952748418E-4</v>
      </c>
    </row>
    <row r="115" spans="1:20">
      <c r="A115" s="1" t="s">
        <v>38</v>
      </c>
      <c r="B115" s="1">
        <v>12</v>
      </c>
      <c r="C115" s="1">
        <v>2</v>
      </c>
      <c r="D115" s="1" t="s">
        <v>22</v>
      </c>
      <c r="E115" s="1">
        <v>20</v>
      </c>
      <c r="F115" s="1">
        <v>16</v>
      </c>
      <c r="G115" s="1" t="s">
        <v>22</v>
      </c>
      <c r="H115" s="1">
        <v>19</v>
      </c>
      <c r="I115" s="1">
        <v>3</v>
      </c>
      <c r="J115" s="1" t="s">
        <v>22</v>
      </c>
      <c r="K115" s="1">
        <v>2</v>
      </c>
      <c r="L115" s="1" t="s">
        <v>23</v>
      </c>
      <c r="M115" s="1" t="s">
        <v>24</v>
      </c>
      <c r="N115" s="1" t="s">
        <v>21</v>
      </c>
      <c r="O115" s="1">
        <v>320.59999299999998</v>
      </c>
      <c r="P115" s="1">
        <v>311.02178099999998</v>
      </c>
      <c r="Q115" s="2">
        <f t="shared" si="3"/>
        <v>2.9875895848818713E-2</v>
      </c>
      <c r="R115" s="1" t="s">
        <v>125</v>
      </c>
      <c r="S115" s="4">
        <v>19.190000000000001</v>
      </c>
      <c r="T115" s="5">
        <v>1.117999781854451E-4</v>
      </c>
    </row>
    <row r="116" spans="1:20">
      <c r="A116" s="1" t="s">
        <v>39</v>
      </c>
      <c r="B116" s="1">
        <v>9</v>
      </c>
      <c r="C116" s="1">
        <v>3</v>
      </c>
      <c r="D116" s="1" t="s">
        <v>21</v>
      </c>
      <c r="E116" s="1">
        <v>14</v>
      </c>
      <c r="F116" s="1">
        <v>10</v>
      </c>
      <c r="G116" s="1" t="s">
        <v>22</v>
      </c>
      <c r="H116" s="1">
        <v>8</v>
      </c>
      <c r="I116" s="1">
        <v>6</v>
      </c>
      <c r="J116" s="1" t="s">
        <v>21</v>
      </c>
      <c r="K116" s="1">
        <v>3</v>
      </c>
      <c r="L116" s="1" t="s">
        <v>23</v>
      </c>
      <c r="M116" s="1" t="s">
        <v>24</v>
      </c>
      <c r="N116" s="1" t="s">
        <v>21</v>
      </c>
      <c r="O116" s="1">
        <v>221.479995</v>
      </c>
      <c r="P116" s="1">
        <v>221.65496300000001</v>
      </c>
      <c r="Q116" s="2">
        <f t="shared" si="3"/>
        <v>7.8999459973803454E-4</v>
      </c>
      <c r="R116" s="1" t="s">
        <v>125</v>
      </c>
      <c r="S116" s="4">
        <v>19.04</v>
      </c>
      <c r="T116" s="5">
        <v>9.899999713525176E-5</v>
      </c>
    </row>
    <row r="117" spans="1:20">
      <c r="A117" s="1" t="s">
        <v>40</v>
      </c>
      <c r="B117" s="1">
        <v>9</v>
      </c>
      <c r="C117" s="1">
        <v>6</v>
      </c>
      <c r="D117" s="1" t="s">
        <v>22</v>
      </c>
      <c r="E117" s="1">
        <v>3</v>
      </c>
      <c r="F117" s="1">
        <v>0</v>
      </c>
      <c r="G117" s="1" t="s">
        <v>22</v>
      </c>
      <c r="H117" s="1">
        <v>26</v>
      </c>
      <c r="I117" s="1">
        <v>6</v>
      </c>
      <c r="J117" s="1" t="s">
        <v>22</v>
      </c>
      <c r="K117" s="1">
        <v>3</v>
      </c>
      <c r="L117" s="1" t="s">
        <v>23</v>
      </c>
      <c r="M117" s="1" t="s">
        <v>24</v>
      </c>
      <c r="N117" s="1" t="s">
        <v>22</v>
      </c>
      <c r="O117" s="1">
        <v>237.16000299999999</v>
      </c>
      <c r="P117" s="1">
        <v>234.26732100000001</v>
      </c>
      <c r="Q117" s="2">
        <f t="shared" si="3"/>
        <v>1.2197174748728518E-2</v>
      </c>
      <c r="R117" s="1" t="s">
        <v>125</v>
      </c>
      <c r="S117" s="4">
        <v>18.760000000000002</v>
      </c>
      <c r="T117" s="5">
        <v>1.8329999875277281E-4</v>
      </c>
    </row>
    <row r="118" spans="1:20">
      <c r="A118" s="1" t="s">
        <v>41</v>
      </c>
      <c r="B118" s="1">
        <v>4</v>
      </c>
      <c r="C118" s="1">
        <v>2</v>
      </c>
      <c r="D118" s="1" t="s">
        <v>21</v>
      </c>
      <c r="E118" s="1">
        <v>7</v>
      </c>
      <c r="F118" s="1">
        <v>3</v>
      </c>
      <c r="G118" s="1" t="s">
        <v>22</v>
      </c>
      <c r="H118" s="1">
        <v>14</v>
      </c>
      <c r="I118" s="1">
        <v>8</v>
      </c>
      <c r="J118" s="1" t="s">
        <v>21</v>
      </c>
      <c r="K118" s="1">
        <v>3</v>
      </c>
      <c r="L118" s="1" t="s">
        <v>23</v>
      </c>
      <c r="M118" s="1" t="s">
        <v>24</v>
      </c>
      <c r="N118" s="1" t="s">
        <v>22</v>
      </c>
      <c r="O118" s="1">
        <v>244.16000299999999</v>
      </c>
      <c r="P118" s="1">
        <v>245.84384700000001</v>
      </c>
      <c r="Q118" s="2">
        <f t="shared" si="3"/>
        <v>6.8964776347910754E-3</v>
      </c>
      <c r="R118" s="1" t="s">
        <v>125</v>
      </c>
      <c r="S118" s="4">
        <v>19.27</v>
      </c>
      <c r="T118" s="5">
        <v>1.7100002150982621E-4</v>
      </c>
    </row>
    <row r="119" spans="1:20">
      <c r="A119" s="1" t="s">
        <v>42</v>
      </c>
      <c r="B119" s="1">
        <v>6</v>
      </c>
      <c r="C119" s="1">
        <v>2</v>
      </c>
      <c r="D119" s="1" t="s">
        <v>21</v>
      </c>
      <c r="E119" s="1">
        <v>20</v>
      </c>
      <c r="F119" s="1">
        <v>13</v>
      </c>
      <c r="G119" s="1" t="s">
        <v>21</v>
      </c>
      <c r="H119" s="1">
        <v>16</v>
      </c>
      <c r="I119" s="1">
        <v>8</v>
      </c>
      <c r="J119" s="1" t="s">
        <v>21</v>
      </c>
      <c r="K119" s="1">
        <v>3</v>
      </c>
      <c r="L119" s="1" t="s">
        <v>23</v>
      </c>
      <c r="M119" s="1" t="s">
        <v>24</v>
      </c>
      <c r="N119" s="1" t="s">
        <v>22</v>
      </c>
      <c r="O119" s="1">
        <v>423.08000500000003</v>
      </c>
      <c r="P119" s="1">
        <v>412.367929</v>
      </c>
      <c r="Q119" s="2">
        <f t="shared" si="3"/>
        <v>2.5319267924278351E-2</v>
      </c>
      <c r="R119" s="1" t="s">
        <v>125</v>
      </c>
      <c r="S119" s="4">
        <v>19.100000000000001</v>
      </c>
      <c r="T119" s="5">
        <v>1.8909998470917339E-4</v>
      </c>
    </row>
    <row r="120" spans="1:20">
      <c r="A120" s="1" t="s">
        <v>43</v>
      </c>
      <c r="B120" s="1">
        <v>16</v>
      </c>
      <c r="C120" s="1">
        <v>2</v>
      </c>
      <c r="D120" s="1" t="s">
        <v>21</v>
      </c>
      <c r="E120" s="1">
        <v>3</v>
      </c>
      <c r="F120" s="1">
        <v>0</v>
      </c>
      <c r="G120" s="1" t="s">
        <v>22</v>
      </c>
      <c r="H120" s="1">
        <v>10</v>
      </c>
      <c r="I120" s="1">
        <v>2</v>
      </c>
      <c r="J120" s="1" t="s">
        <v>21</v>
      </c>
      <c r="K120" s="1">
        <v>2</v>
      </c>
      <c r="L120" s="1" t="s">
        <v>23</v>
      </c>
      <c r="M120" s="1" t="s">
        <v>24</v>
      </c>
      <c r="N120" s="1" t="s">
        <v>22</v>
      </c>
      <c r="O120" s="1">
        <v>185.08000200000001</v>
      </c>
      <c r="P120" s="1">
        <v>214.795153</v>
      </c>
      <c r="Q120" s="2">
        <f t="shared" si="3"/>
        <v>0.16055300777444334</v>
      </c>
      <c r="R120" s="1" t="s">
        <v>125</v>
      </c>
      <c r="S120" s="4">
        <v>19.18</v>
      </c>
      <c r="T120" s="5">
        <v>1.003000070340931E-4</v>
      </c>
    </row>
    <row r="121" spans="1:20">
      <c r="A121" s="1" t="s">
        <v>44</v>
      </c>
      <c r="B121" s="1">
        <v>14</v>
      </c>
      <c r="C121" s="1">
        <v>6</v>
      </c>
      <c r="D121" s="1" t="s">
        <v>21</v>
      </c>
      <c r="E121" s="1">
        <v>7</v>
      </c>
      <c r="F121" s="1">
        <v>3</v>
      </c>
      <c r="G121" s="1" t="s">
        <v>22</v>
      </c>
      <c r="H121" s="1">
        <v>5</v>
      </c>
      <c r="I121" s="1">
        <v>2</v>
      </c>
      <c r="J121" s="1" t="s">
        <v>21</v>
      </c>
      <c r="K121" s="1">
        <v>3</v>
      </c>
      <c r="L121" s="1" t="s">
        <v>23</v>
      </c>
      <c r="M121" s="1" t="s">
        <v>24</v>
      </c>
      <c r="N121" s="1" t="s">
        <v>21</v>
      </c>
      <c r="O121" s="1">
        <v>162.67999599999999</v>
      </c>
      <c r="P121" s="1">
        <v>161.54569000000001</v>
      </c>
      <c r="Q121" s="2">
        <f t="shared" si="3"/>
        <v>6.9726212680751541E-3</v>
      </c>
      <c r="R121" s="1" t="s">
        <v>125</v>
      </c>
      <c r="S121" s="4">
        <v>19.05</v>
      </c>
      <c r="T121" s="5">
        <v>9.6699979621917009E-5</v>
      </c>
    </row>
    <row r="122" spans="1:20">
      <c r="A122" s="1" t="s">
        <v>45</v>
      </c>
      <c r="B122" s="1">
        <v>20</v>
      </c>
      <c r="C122" s="1">
        <v>8</v>
      </c>
      <c r="D122" s="1" t="s">
        <v>21</v>
      </c>
      <c r="E122" s="1">
        <v>24</v>
      </c>
      <c r="F122" s="1">
        <v>9</v>
      </c>
      <c r="G122" s="1" t="s">
        <v>22</v>
      </c>
      <c r="H122" s="1">
        <v>15</v>
      </c>
      <c r="I122" s="1">
        <v>3</v>
      </c>
      <c r="J122" s="1" t="s">
        <v>21</v>
      </c>
      <c r="K122" s="1">
        <v>4</v>
      </c>
      <c r="L122" s="1" t="s">
        <v>23</v>
      </c>
      <c r="M122" s="1" t="s">
        <v>24</v>
      </c>
      <c r="N122" s="1" t="s">
        <v>22</v>
      </c>
      <c r="O122" s="1">
        <v>569.24000599999999</v>
      </c>
      <c r="P122" s="1">
        <v>571.13407099999995</v>
      </c>
      <c r="Q122" s="2">
        <f t="shared" si="3"/>
        <v>3.3273574942657052E-3</v>
      </c>
      <c r="R122" s="1" t="s">
        <v>125</v>
      </c>
      <c r="S122" s="4">
        <v>19.170000000000002</v>
      </c>
      <c r="T122" s="5">
        <v>1.124999835155904E-4</v>
      </c>
    </row>
    <row r="123" spans="1:20">
      <c r="A123" s="1" t="s">
        <v>46</v>
      </c>
      <c r="B123" s="1">
        <v>4</v>
      </c>
      <c r="C123" s="1">
        <v>1</v>
      </c>
      <c r="D123" s="1" t="s">
        <v>22</v>
      </c>
      <c r="E123" s="1">
        <v>9</v>
      </c>
      <c r="F123" s="1">
        <v>3</v>
      </c>
      <c r="G123" s="1" t="s">
        <v>21</v>
      </c>
      <c r="H123" s="1">
        <v>11</v>
      </c>
      <c r="I123" s="1">
        <v>3</v>
      </c>
      <c r="J123" s="1" t="s">
        <v>21</v>
      </c>
      <c r="K123" s="1">
        <v>6</v>
      </c>
      <c r="L123" s="1" t="s">
        <v>23</v>
      </c>
      <c r="M123" s="1" t="s">
        <v>24</v>
      </c>
      <c r="N123" s="1" t="s">
        <v>21</v>
      </c>
      <c r="O123" s="1">
        <v>525.83998599999995</v>
      </c>
      <c r="P123" s="1">
        <v>540.81685500000003</v>
      </c>
      <c r="Q123" s="2">
        <f t="shared" si="3"/>
        <v>2.8481799404277482E-2</v>
      </c>
      <c r="R123" s="1" t="s">
        <v>125</v>
      </c>
      <c r="S123" s="4">
        <v>19.07</v>
      </c>
      <c r="T123" s="5">
        <v>9.580003097653389E-5</v>
      </c>
    </row>
    <row r="124" spans="1:20">
      <c r="A124" s="1" t="s">
        <v>47</v>
      </c>
      <c r="B124" s="1">
        <v>12</v>
      </c>
      <c r="C124" s="1">
        <v>8</v>
      </c>
      <c r="D124" s="1" t="s">
        <v>22</v>
      </c>
      <c r="E124" s="1">
        <v>20</v>
      </c>
      <c r="F124" s="1">
        <v>18</v>
      </c>
      <c r="G124" s="1" t="s">
        <v>21</v>
      </c>
      <c r="H124" s="1">
        <v>16</v>
      </c>
      <c r="I124" s="1">
        <v>4</v>
      </c>
      <c r="J124" s="1" t="s">
        <v>21</v>
      </c>
      <c r="K124" s="1">
        <v>2</v>
      </c>
      <c r="L124" s="1" t="s">
        <v>23</v>
      </c>
      <c r="M124" s="1" t="s">
        <v>24</v>
      </c>
      <c r="N124" s="1" t="s">
        <v>22</v>
      </c>
      <c r="O124" s="1">
        <v>335.44000299999999</v>
      </c>
      <c r="P124" s="1">
        <v>322.46310899999997</v>
      </c>
      <c r="Q124" s="2">
        <f t="shared" si="3"/>
        <v>3.8686184962859117E-2</v>
      </c>
      <c r="R124" s="1" t="s">
        <v>125</v>
      </c>
      <c r="S124" s="4">
        <v>19.03</v>
      </c>
      <c r="T124" s="5">
        <v>1.0529998689889911E-4</v>
      </c>
    </row>
    <row r="125" spans="1:20">
      <c r="A125" s="1" t="s">
        <v>48</v>
      </c>
      <c r="B125" s="1">
        <v>10</v>
      </c>
      <c r="C125" s="1">
        <v>8</v>
      </c>
      <c r="D125" s="1" t="s">
        <v>22</v>
      </c>
      <c r="E125" s="1">
        <v>7</v>
      </c>
      <c r="F125" s="1">
        <v>0</v>
      </c>
      <c r="G125" s="1" t="s">
        <v>21</v>
      </c>
      <c r="H125" s="1">
        <v>24</v>
      </c>
      <c r="I125" s="1">
        <v>8</v>
      </c>
      <c r="J125" s="1" t="s">
        <v>21</v>
      </c>
      <c r="K125" s="1">
        <v>3</v>
      </c>
      <c r="L125" s="1" t="s">
        <v>23</v>
      </c>
      <c r="M125" s="1" t="s">
        <v>24</v>
      </c>
      <c r="N125" s="1" t="s">
        <v>22</v>
      </c>
      <c r="O125" s="1">
        <v>525.28000799999995</v>
      </c>
      <c r="P125" s="1">
        <v>531.72940700000004</v>
      </c>
      <c r="Q125" s="2">
        <f t="shared" si="3"/>
        <v>1.2278021058817996E-2</v>
      </c>
      <c r="R125" s="1" t="s">
        <v>125</v>
      </c>
      <c r="S125" s="4">
        <v>19.239999999999998</v>
      </c>
      <c r="T125" s="5">
        <v>9.9299999419599771E-5</v>
      </c>
    </row>
    <row r="126" spans="1:20">
      <c r="A126" s="1" t="s">
        <v>49</v>
      </c>
      <c r="B126" s="1">
        <v>12</v>
      </c>
      <c r="C126" s="1">
        <v>0</v>
      </c>
      <c r="D126" s="1" t="s">
        <v>22</v>
      </c>
      <c r="E126" s="1">
        <v>7</v>
      </c>
      <c r="F126" s="1">
        <v>4</v>
      </c>
      <c r="G126" s="1" t="s">
        <v>21</v>
      </c>
      <c r="H126" s="1">
        <v>8</v>
      </c>
      <c r="I126" s="1">
        <v>0</v>
      </c>
      <c r="J126" s="1" t="s">
        <v>21</v>
      </c>
      <c r="K126" s="1">
        <v>6</v>
      </c>
      <c r="L126" s="1" t="s">
        <v>23</v>
      </c>
      <c r="M126" s="1" t="s">
        <v>24</v>
      </c>
      <c r="N126" s="1" t="s">
        <v>22</v>
      </c>
      <c r="O126" s="1">
        <v>388.360005</v>
      </c>
      <c r="P126" s="1">
        <v>375.862954</v>
      </c>
      <c r="Q126" s="2">
        <f t="shared" si="3"/>
        <v>3.2179037076693826E-2</v>
      </c>
      <c r="R126" s="1" t="s">
        <v>125</v>
      </c>
      <c r="S126" s="4">
        <v>19.25</v>
      </c>
      <c r="T126" s="5">
        <v>9.2600006610155106E-5</v>
      </c>
    </row>
    <row r="127" spans="1:20">
      <c r="A127" s="1" t="s">
        <v>50</v>
      </c>
      <c r="B127" s="1">
        <v>9</v>
      </c>
      <c r="C127" s="1">
        <v>7</v>
      </c>
      <c r="D127" s="1" t="s">
        <v>22</v>
      </c>
      <c r="E127" s="1">
        <v>20</v>
      </c>
      <c r="F127" s="1">
        <v>13</v>
      </c>
      <c r="G127" s="1" t="s">
        <v>21</v>
      </c>
      <c r="H127" s="1">
        <v>22</v>
      </c>
      <c r="I127" s="1">
        <v>6</v>
      </c>
      <c r="J127" s="1" t="s">
        <v>21</v>
      </c>
      <c r="K127" s="1">
        <v>2</v>
      </c>
      <c r="L127" s="1" t="s">
        <v>23</v>
      </c>
      <c r="M127" s="1" t="s">
        <v>24</v>
      </c>
      <c r="N127" s="1" t="s">
        <v>21</v>
      </c>
      <c r="O127" s="1">
        <v>456.39999</v>
      </c>
      <c r="P127" s="1">
        <v>472.70221400000003</v>
      </c>
      <c r="Q127" s="2">
        <f t="shared" si="3"/>
        <v>3.5719159415406702E-2</v>
      </c>
      <c r="R127" s="1" t="s">
        <v>125</v>
      </c>
      <c r="S127" s="4">
        <v>18.739999999999998</v>
      </c>
      <c r="T127" s="5">
        <v>1.020000199787319E-4</v>
      </c>
    </row>
    <row r="128" spans="1:20">
      <c r="A128" s="1" t="s">
        <v>51</v>
      </c>
      <c r="B128" s="1">
        <v>20</v>
      </c>
      <c r="C128" s="1">
        <v>19</v>
      </c>
      <c r="D128" s="1" t="s">
        <v>21</v>
      </c>
      <c r="E128" s="1">
        <v>3</v>
      </c>
      <c r="F128" s="1">
        <v>0</v>
      </c>
      <c r="G128" s="1" t="s">
        <v>21</v>
      </c>
      <c r="H128" s="1">
        <v>16</v>
      </c>
      <c r="I128" s="1">
        <v>8</v>
      </c>
      <c r="J128" s="1" t="s">
        <v>21</v>
      </c>
      <c r="K128" s="1">
        <v>0</v>
      </c>
      <c r="L128" s="1" t="s">
        <v>23</v>
      </c>
      <c r="M128" s="1" t="s">
        <v>24</v>
      </c>
      <c r="N128" s="1" t="s">
        <v>22</v>
      </c>
      <c r="O128" s="1">
        <v>66.92</v>
      </c>
      <c r="P128" s="1">
        <v>74.610951999999997</v>
      </c>
      <c r="Q128" s="2">
        <f t="shared" si="3"/>
        <v>0.11492755528989831</v>
      </c>
      <c r="R128" s="1" t="s">
        <v>125</v>
      </c>
      <c r="S128" s="4">
        <v>19.350000000000001</v>
      </c>
      <c r="T128" s="5">
        <v>1.003000070340931E-4</v>
      </c>
    </row>
    <row r="129" spans="1:20">
      <c r="A129" s="1" t="s">
        <v>52</v>
      </c>
      <c r="B129" s="1">
        <v>6</v>
      </c>
      <c r="C129" s="1">
        <v>5</v>
      </c>
      <c r="D129" s="1" t="s">
        <v>22</v>
      </c>
      <c r="E129" s="1">
        <v>9</v>
      </c>
      <c r="F129" s="1">
        <v>0</v>
      </c>
      <c r="G129" s="1" t="s">
        <v>21</v>
      </c>
      <c r="H129" s="1">
        <v>16</v>
      </c>
      <c r="I129" s="1">
        <v>4</v>
      </c>
      <c r="J129" s="1" t="s">
        <v>21</v>
      </c>
      <c r="K129" s="1">
        <v>2</v>
      </c>
      <c r="L129" s="1" t="s">
        <v>23</v>
      </c>
      <c r="M129" s="1" t="s">
        <v>24</v>
      </c>
      <c r="N129" s="1" t="s">
        <v>21</v>
      </c>
      <c r="O129" s="1">
        <v>292.03999299999998</v>
      </c>
      <c r="P129" s="1">
        <v>341.69743099999999</v>
      </c>
      <c r="Q129" s="2">
        <f t="shared" si="3"/>
        <v>0.17003643059257303</v>
      </c>
      <c r="R129" s="1" t="s">
        <v>125</v>
      </c>
      <c r="S129" s="4">
        <v>18.66</v>
      </c>
      <c r="T129" s="5">
        <v>9.5299968961626291E-5</v>
      </c>
    </row>
    <row r="130" spans="1:20">
      <c r="A130" s="1" t="s">
        <v>53</v>
      </c>
      <c r="B130" s="1">
        <v>3</v>
      </c>
      <c r="C130" s="1">
        <v>2</v>
      </c>
      <c r="D130" s="1" t="s">
        <v>21</v>
      </c>
      <c r="E130" s="1">
        <v>14</v>
      </c>
      <c r="F130" s="1">
        <v>1</v>
      </c>
      <c r="G130" s="1" t="s">
        <v>21</v>
      </c>
      <c r="H130" s="1">
        <v>23</v>
      </c>
      <c r="I130" s="1">
        <v>3</v>
      </c>
      <c r="J130" s="1" t="s">
        <v>21</v>
      </c>
      <c r="K130" s="1">
        <v>6</v>
      </c>
      <c r="L130" s="1" t="s">
        <v>23</v>
      </c>
      <c r="M130" s="1" t="s">
        <v>24</v>
      </c>
      <c r="N130" s="1" t="s">
        <v>21</v>
      </c>
      <c r="O130" s="1">
        <v>1091.159971</v>
      </c>
      <c r="P130" s="1">
        <v>1073.7747220000001</v>
      </c>
      <c r="Q130" s="2">
        <f t="shared" ref="Q130:Q161" si="4">ABS(P130-O130)/O130</f>
        <v>1.5932814126298198E-2</v>
      </c>
      <c r="R130" s="1" t="s">
        <v>125</v>
      </c>
      <c r="S130" s="4">
        <v>19.64</v>
      </c>
      <c r="T130" s="5">
        <v>9.4100018031895161E-5</v>
      </c>
    </row>
    <row r="131" spans="1:20">
      <c r="A131" s="1" t="s">
        <v>54</v>
      </c>
      <c r="B131" s="1">
        <v>7</v>
      </c>
      <c r="C131" s="1">
        <v>6</v>
      </c>
      <c r="D131" s="1" t="s">
        <v>22</v>
      </c>
      <c r="E131" s="1">
        <v>16</v>
      </c>
      <c r="F131" s="1">
        <v>8</v>
      </c>
      <c r="G131" s="1" t="s">
        <v>21</v>
      </c>
      <c r="H131" s="1">
        <v>24</v>
      </c>
      <c r="I131" s="1">
        <v>8</v>
      </c>
      <c r="J131" s="1" t="s">
        <v>21</v>
      </c>
      <c r="K131" s="1">
        <v>0</v>
      </c>
      <c r="L131" s="1" t="s">
        <v>23</v>
      </c>
      <c r="M131" s="1" t="s">
        <v>24</v>
      </c>
      <c r="N131" s="1" t="s">
        <v>22</v>
      </c>
      <c r="O131" s="1">
        <v>173.879999</v>
      </c>
      <c r="P131" s="1">
        <v>214.563301</v>
      </c>
      <c r="Q131" s="2">
        <f t="shared" si="4"/>
        <v>0.23397344279947918</v>
      </c>
      <c r="R131" s="1" t="s">
        <v>125</v>
      </c>
      <c r="S131" s="4">
        <v>18.920000000000002</v>
      </c>
      <c r="T131" s="5">
        <v>1.002000062726438E-4</v>
      </c>
    </row>
    <row r="132" spans="1:20">
      <c r="A132" s="1" t="s">
        <v>55</v>
      </c>
      <c r="B132" s="1">
        <v>5</v>
      </c>
      <c r="C132" s="1">
        <v>3</v>
      </c>
      <c r="D132" s="1" t="s">
        <v>21</v>
      </c>
      <c r="E132" s="1">
        <v>8</v>
      </c>
      <c r="F132" s="1">
        <v>0</v>
      </c>
      <c r="G132" s="1" t="s">
        <v>21</v>
      </c>
      <c r="H132" s="1">
        <v>10</v>
      </c>
      <c r="I132" s="1">
        <v>2</v>
      </c>
      <c r="J132" s="1" t="s">
        <v>21</v>
      </c>
      <c r="K132" s="1">
        <v>1</v>
      </c>
      <c r="L132" s="1" t="s">
        <v>23</v>
      </c>
      <c r="M132" s="1" t="s">
        <v>24</v>
      </c>
      <c r="N132" s="1" t="s">
        <v>21</v>
      </c>
      <c r="O132" s="1">
        <v>167.71999700000001</v>
      </c>
      <c r="P132" s="1">
        <v>164.39515299999999</v>
      </c>
      <c r="Q132" s="2">
        <f t="shared" si="4"/>
        <v>1.9823778079366486E-2</v>
      </c>
      <c r="R132" s="1" t="s">
        <v>125</v>
      </c>
      <c r="S132" s="4">
        <v>18.47</v>
      </c>
      <c r="T132" s="5">
        <v>9.0000045020133257E-5</v>
      </c>
    </row>
    <row r="133" spans="1:20">
      <c r="A133" s="1" t="s">
        <v>56</v>
      </c>
      <c r="B133" s="1">
        <v>5</v>
      </c>
      <c r="C133" s="1">
        <v>0</v>
      </c>
      <c r="D133" s="1" t="s">
        <v>21</v>
      </c>
      <c r="E133" s="1">
        <v>10</v>
      </c>
      <c r="F133" s="1">
        <v>8</v>
      </c>
      <c r="G133" s="1" t="s">
        <v>22</v>
      </c>
      <c r="H133" s="1">
        <v>6</v>
      </c>
      <c r="I133" s="1">
        <v>0</v>
      </c>
      <c r="J133" s="1" t="s">
        <v>21</v>
      </c>
      <c r="K133" s="1">
        <v>0</v>
      </c>
      <c r="L133" s="1" t="s">
        <v>23</v>
      </c>
      <c r="M133" s="1" t="s">
        <v>24</v>
      </c>
      <c r="N133" s="1" t="s">
        <v>22</v>
      </c>
      <c r="O133" s="1">
        <v>46.48</v>
      </c>
      <c r="P133" s="1">
        <v>74.656278</v>
      </c>
      <c r="Q133" s="2">
        <f t="shared" si="4"/>
        <v>0.60620219449225488</v>
      </c>
      <c r="R133" s="1" t="s">
        <v>125</v>
      </c>
      <c r="S133" s="4">
        <v>19.100000000000001</v>
      </c>
      <c r="T133" s="5">
        <v>8.9399982243776321E-5</v>
      </c>
    </row>
    <row r="134" spans="1:20">
      <c r="A134" s="1" t="s">
        <v>57</v>
      </c>
      <c r="B134" s="1">
        <v>4</v>
      </c>
      <c r="C134" s="1">
        <v>3</v>
      </c>
      <c r="D134" s="1" t="s">
        <v>22</v>
      </c>
      <c r="E134" s="1">
        <v>24</v>
      </c>
      <c r="F134" s="1">
        <v>0</v>
      </c>
      <c r="G134" s="1" t="s">
        <v>21</v>
      </c>
      <c r="H134" s="1">
        <v>14</v>
      </c>
      <c r="I134" s="1">
        <v>2</v>
      </c>
      <c r="J134" s="1" t="s">
        <v>21</v>
      </c>
      <c r="K134" s="1">
        <v>3</v>
      </c>
      <c r="L134" s="1" t="s">
        <v>23</v>
      </c>
      <c r="M134" s="1" t="s">
        <v>24</v>
      </c>
      <c r="N134" s="1" t="s">
        <v>22</v>
      </c>
      <c r="O134" s="1">
        <v>347.76000399999998</v>
      </c>
      <c r="P134" s="1">
        <v>395.63020699999998</v>
      </c>
      <c r="Q134" s="2">
        <f t="shared" si="4"/>
        <v>0.13765298610935145</v>
      </c>
      <c r="R134" s="1" t="s">
        <v>125</v>
      </c>
      <c r="S134" s="4">
        <v>18.739999999999998</v>
      </c>
      <c r="T134" s="5">
        <v>1.007000100798905E-4</v>
      </c>
    </row>
    <row r="135" spans="1:20">
      <c r="A135" s="1" t="s">
        <v>58</v>
      </c>
      <c r="B135" s="1">
        <v>20</v>
      </c>
      <c r="C135" s="1">
        <v>0</v>
      </c>
      <c r="D135" s="1" t="s">
        <v>22</v>
      </c>
      <c r="E135" s="1">
        <v>8</v>
      </c>
      <c r="F135" s="1">
        <v>3</v>
      </c>
      <c r="G135" s="1" t="s">
        <v>21</v>
      </c>
      <c r="H135" s="1">
        <v>20</v>
      </c>
      <c r="I135" s="1">
        <v>4</v>
      </c>
      <c r="J135" s="1" t="s">
        <v>21</v>
      </c>
      <c r="K135" s="1">
        <v>3</v>
      </c>
      <c r="L135" s="1" t="s">
        <v>23</v>
      </c>
      <c r="M135" s="1" t="s">
        <v>24</v>
      </c>
      <c r="N135" s="1" t="s">
        <v>21</v>
      </c>
      <c r="O135" s="1">
        <v>603.11998700000004</v>
      </c>
      <c r="P135" s="1">
        <v>585.85973000000001</v>
      </c>
      <c r="Q135" s="2">
        <f t="shared" si="4"/>
        <v>2.8618280561144831E-2</v>
      </c>
      <c r="R135" s="1" t="s">
        <v>125</v>
      </c>
      <c r="S135" s="4">
        <v>18.98</v>
      </c>
      <c r="T135" s="5">
        <v>1.1459999950602651E-4</v>
      </c>
    </row>
    <row r="136" spans="1:20">
      <c r="A136" s="1" t="s">
        <v>59</v>
      </c>
      <c r="B136" s="1">
        <v>7</v>
      </c>
      <c r="C136" s="1">
        <v>3</v>
      </c>
      <c r="D136" s="1" t="s">
        <v>21</v>
      </c>
      <c r="E136" s="1">
        <v>6</v>
      </c>
      <c r="F136" s="1">
        <v>1</v>
      </c>
      <c r="G136" s="1" t="s">
        <v>21</v>
      </c>
      <c r="H136" s="1">
        <v>2</v>
      </c>
      <c r="I136" s="1">
        <v>0</v>
      </c>
      <c r="J136" s="1" t="s">
        <v>21</v>
      </c>
      <c r="K136" s="1">
        <v>3</v>
      </c>
      <c r="L136" s="1" t="s">
        <v>23</v>
      </c>
      <c r="M136" s="1" t="s">
        <v>24</v>
      </c>
      <c r="N136" s="1" t="s">
        <v>22</v>
      </c>
      <c r="O136" s="1">
        <v>59.64</v>
      </c>
      <c r="P136" s="1">
        <v>57.419400000000003</v>
      </c>
      <c r="Q136" s="2">
        <f t="shared" si="4"/>
        <v>3.7233400402414442E-2</v>
      </c>
      <c r="R136" s="1" t="s">
        <v>125</v>
      </c>
      <c r="S136" s="4">
        <v>18.87</v>
      </c>
      <c r="T136" s="5">
        <v>8.6700019892305136E-5</v>
      </c>
    </row>
    <row r="137" spans="1:20">
      <c r="A137" s="1" t="s">
        <v>60</v>
      </c>
      <c r="B137" s="1">
        <v>3</v>
      </c>
      <c r="C137" s="1">
        <v>2</v>
      </c>
      <c r="D137" s="1" t="s">
        <v>21</v>
      </c>
      <c r="E137" s="1">
        <v>9</v>
      </c>
      <c r="F137" s="1">
        <v>5</v>
      </c>
      <c r="G137" s="1" t="s">
        <v>22</v>
      </c>
      <c r="H137" s="1">
        <v>16</v>
      </c>
      <c r="I137" s="1">
        <v>0</v>
      </c>
      <c r="J137" s="1" t="s">
        <v>21</v>
      </c>
      <c r="K137" s="1">
        <v>3</v>
      </c>
      <c r="L137" s="1" t="s">
        <v>23</v>
      </c>
      <c r="M137" s="1" t="s">
        <v>24</v>
      </c>
      <c r="N137" s="1" t="s">
        <v>22</v>
      </c>
      <c r="O137" s="1">
        <v>355.04000500000001</v>
      </c>
      <c r="P137" s="1">
        <v>350.82108399999998</v>
      </c>
      <c r="Q137" s="2">
        <f t="shared" si="4"/>
        <v>1.1882945416249707E-2</v>
      </c>
      <c r="R137" s="1" t="s">
        <v>125</v>
      </c>
      <c r="S137" s="4">
        <v>18.72</v>
      </c>
      <c r="T137" s="5">
        <v>8.8299973867833614E-5</v>
      </c>
    </row>
    <row r="138" spans="1:20">
      <c r="A138" s="1" t="s">
        <v>61</v>
      </c>
      <c r="B138" s="1">
        <v>3</v>
      </c>
      <c r="C138" s="1">
        <v>1</v>
      </c>
      <c r="D138" s="1" t="s">
        <v>21</v>
      </c>
      <c r="E138" s="1">
        <v>12</v>
      </c>
      <c r="F138" s="1">
        <v>7</v>
      </c>
      <c r="G138" s="1" t="s">
        <v>21</v>
      </c>
      <c r="H138" s="1">
        <v>9</v>
      </c>
      <c r="I138" s="1">
        <v>1</v>
      </c>
      <c r="J138" s="1" t="s">
        <v>21</v>
      </c>
      <c r="K138" s="1">
        <v>6</v>
      </c>
      <c r="L138" s="1" t="s">
        <v>23</v>
      </c>
      <c r="M138" s="1" t="s">
        <v>24</v>
      </c>
      <c r="N138" s="1" t="s">
        <v>22</v>
      </c>
      <c r="O138" s="1">
        <v>401.800006</v>
      </c>
      <c r="P138" s="1">
        <v>398.42674299999999</v>
      </c>
      <c r="Q138" s="2">
        <f t="shared" si="4"/>
        <v>8.3953781722940265E-3</v>
      </c>
      <c r="R138" s="1" t="s">
        <v>125</v>
      </c>
      <c r="S138" s="4">
        <v>18.73</v>
      </c>
      <c r="T138" s="5">
        <v>9.0100045781582594E-5</v>
      </c>
    </row>
    <row r="139" spans="1:20">
      <c r="A139" s="1" t="s">
        <v>62</v>
      </c>
      <c r="B139" s="1">
        <v>16</v>
      </c>
      <c r="C139" s="1">
        <v>1</v>
      </c>
      <c r="D139" s="1" t="s">
        <v>22</v>
      </c>
      <c r="E139" s="1">
        <v>24</v>
      </c>
      <c r="F139" s="1">
        <v>16</v>
      </c>
      <c r="G139" s="1" t="s">
        <v>22</v>
      </c>
      <c r="H139" s="1">
        <v>20</v>
      </c>
      <c r="I139" s="1">
        <v>0</v>
      </c>
      <c r="J139" s="1" t="s">
        <v>22</v>
      </c>
      <c r="K139" s="1">
        <v>2</v>
      </c>
      <c r="L139" s="1" t="s">
        <v>23</v>
      </c>
      <c r="M139" s="1" t="s">
        <v>24</v>
      </c>
      <c r="N139" s="1" t="s">
        <v>22</v>
      </c>
      <c r="O139" s="1">
        <v>357.84000300000002</v>
      </c>
      <c r="P139" s="1">
        <v>347.32898699999998</v>
      </c>
      <c r="Q139" s="2">
        <f t="shared" si="4"/>
        <v>2.9373507466687675E-2</v>
      </c>
      <c r="R139" s="1" t="s">
        <v>125</v>
      </c>
      <c r="S139" s="4">
        <v>18.899999999999999</v>
      </c>
      <c r="T139" s="5">
        <v>1.155000063590705E-4</v>
      </c>
    </row>
    <row r="140" spans="1:20">
      <c r="A140" s="1" t="s">
        <v>63</v>
      </c>
      <c r="B140" s="1">
        <v>14</v>
      </c>
      <c r="C140" s="1">
        <v>11</v>
      </c>
      <c r="D140" s="1" t="s">
        <v>21</v>
      </c>
      <c r="E140" s="1">
        <v>3</v>
      </c>
      <c r="F140" s="1">
        <v>0</v>
      </c>
      <c r="G140" s="1" t="s">
        <v>21</v>
      </c>
      <c r="H140" s="1">
        <v>12</v>
      </c>
      <c r="I140" s="1">
        <v>0</v>
      </c>
      <c r="J140" s="1" t="s">
        <v>21</v>
      </c>
      <c r="K140" s="1">
        <v>6</v>
      </c>
      <c r="L140" s="1" t="s">
        <v>23</v>
      </c>
      <c r="M140" s="1" t="s">
        <v>24</v>
      </c>
      <c r="N140" s="1" t="s">
        <v>21</v>
      </c>
      <c r="O140" s="1">
        <v>544.039985</v>
      </c>
      <c r="P140" s="1">
        <v>526.44555600000001</v>
      </c>
      <c r="Q140" s="2">
        <f t="shared" si="4"/>
        <v>3.2340323294435779E-2</v>
      </c>
      <c r="R140" s="1" t="s">
        <v>125</v>
      </c>
      <c r="S140" s="4">
        <v>19.22</v>
      </c>
      <c r="T140" s="5">
        <v>9.2900008894503117E-5</v>
      </c>
    </row>
    <row r="141" spans="1:20">
      <c r="A141" s="1" t="s">
        <v>64</v>
      </c>
      <c r="B141" s="1">
        <v>3</v>
      </c>
      <c r="C141" s="1">
        <v>0</v>
      </c>
      <c r="D141" s="1" t="s">
        <v>21</v>
      </c>
      <c r="E141" s="1">
        <v>10</v>
      </c>
      <c r="F141" s="1">
        <v>8</v>
      </c>
      <c r="G141" s="1" t="s">
        <v>22</v>
      </c>
      <c r="H141" s="1">
        <v>16</v>
      </c>
      <c r="I141" s="1">
        <v>0</v>
      </c>
      <c r="J141" s="1" t="s">
        <v>21</v>
      </c>
      <c r="K141" s="1">
        <v>2</v>
      </c>
      <c r="L141" s="1" t="s">
        <v>23</v>
      </c>
      <c r="M141" s="1" t="s">
        <v>24</v>
      </c>
      <c r="N141" s="1" t="s">
        <v>21</v>
      </c>
      <c r="O141" s="1">
        <v>262.639993</v>
      </c>
      <c r="P141" s="1">
        <v>257.84895899999998</v>
      </c>
      <c r="Q141" s="2">
        <f t="shared" si="4"/>
        <v>1.8241829605897167E-2</v>
      </c>
      <c r="R141" s="1" t="s">
        <v>125</v>
      </c>
      <c r="S141" s="4">
        <v>19.100000000000001</v>
      </c>
      <c r="T141" s="5">
        <v>9.3200011178851128E-5</v>
      </c>
    </row>
    <row r="142" spans="1:20">
      <c r="A142" s="1" t="s">
        <v>65</v>
      </c>
      <c r="B142" s="1">
        <v>9</v>
      </c>
      <c r="C142" s="1">
        <v>8</v>
      </c>
      <c r="D142" s="1" t="s">
        <v>21</v>
      </c>
      <c r="E142" s="1">
        <v>8</v>
      </c>
      <c r="F142" s="1">
        <v>5</v>
      </c>
      <c r="G142" s="1" t="s">
        <v>21</v>
      </c>
      <c r="H142" s="1">
        <v>6</v>
      </c>
      <c r="I142" s="1">
        <v>0</v>
      </c>
      <c r="J142" s="1" t="s">
        <v>21</v>
      </c>
      <c r="K142" s="1">
        <v>4</v>
      </c>
      <c r="L142" s="1" t="s">
        <v>23</v>
      </c>
      <c r="M142" s="1" t="s">
        <v>24</v>
      </c>
      <c r="N142" s="1" t="s">
        <v>21</v>
      </c>
      <c r="O142" s="1">
        <v>237.71999500000001</v>
      </c>
      <c r="P142" s="1">
        <v>238.210227</v>
      </c>
      <c r="Q142" s="2">
        <f t="shared" si="4"/>
        <v>2.0622245091330739E-3</v>
      </c>
      <c r="R142" s="1" t="s">
        <v>125</v>
      </c>
      <c r="S142" s="4">
        <v>18.87</v>
      </c>
      <c r="T142" s="5">
        <v>1.002000062726438E-4</v>
      </c>
    </row>
    <row r="143" spans="1:20">
      <c r="A143" s="1" t="s">
        <v>66</v>
      </c>
      <c r="B143" s="1">
        <v>20</v>
      </c>
      <c r="C143" s="1">
        <v>19</v>
      </c>
      <c r="D143" s="1" t="s">
        <v>22</v>
      </c>
      <c r="E143" s="1">
        <v>7</v>
      </c>
      <c r="F143" s="1">
        <v>0</v>
      </c>
      <c r="G143" s="1" t="s">
        <v>21</v>
      </c>
      <c r="H143" s="1">
        <v>18</v>
      </c>
      <c r="I143" s="1">
        <v>6</v>
      </c>
      <c r="J143" s="1" t="s">
        <v>21</v>
      </c>
      <c r="K143" s="1">
        <v>3</v>
      </c>
      <c r="L143" s="1" t="s">
        <v>23</v>
      </c>
      <c r="M143" s="1" t="s">
        <v>24</v>
      </c>
      <c r="N143" s="1" t="s">
        <v>22</v>
      </c>
      <c r="O143" s="1">
        <v>390.88000599999998</v>
      </c>
      <c r="P143" s="1">
        <v>422.11380500000001</v>
      </c>
      <c r="Q143" s="2">
        <f t="shared" si="4"/>
        <v>7.9906361339955656E-2</v>
      </c>
      <c r="R143" s="1" t="s">
        <v>125</v>
      </c>
      <c r="S143" s="4">
        <v>18.739999999999998</v>
      </c>
      <c r="T143" s="5">
        <v>1.060999929904938E-4</v>
      </c>
    </row>
    <row r="144" spans="1:20">
      <c r="A144" s="1" t="s">
        <v>67</v>
      </c>
      <c r="B144" s="1">
        <v>12</v>
      </c>
      <c r="C144" s="1">
        <v>0</v>
      </c>
      <c r="D144" s="1" t="s">
        <v>22</v>
      </c>
      <c r="E144" s="1">
        <v>5</v>
      </c>
      <c r="F144" s="1">
        <v>4</v>
      </c>
      <c r="G144" s="1" t="s">
        <v>22</v>
      </c>
      <c r="H144" s="1">
        <v>3</v>
      </c>
      <c r="I144" s="1">
        <v>1</v>
      </c>
      <c r="J144" s="1" t="s">
        <v>22</v>
      </c>
      <c r="K144" s="1">
        <v>3</v>
      </c>
      <c r="L144" s="1" t="s">
        <v>23</v>
      </c>
      <c r="M144" s="1" t="s">
        <v>24</v>
      </c>
      <c r="N144" s="1" t="s">
        <v>21</v>
      </c>
      <c r="O144" s="1">
        <v>75.319997999999998</v>
      </c>
      <c r="P144" s="1">
        <v>73.322835999999995</v>
      </c>
      <c r="Q144" s="2">
        <f t="shared" si="4"/>
        <v>2.6515693747097592E-2</v>
      </c>
      <c r="R144" s="1" t="s">
        <v>125</v>
      </c>
      <c r="S144" s="4">
        <v>18.89</v>
      </c>
      <c r="T144" s="5">
        <v>9.2700007371604443E-5</v>
      </c>
    </row>
    <row r="145" spans="1:20">
      <c r="A145" s="1" t="s">
        <v>68</v>
      </c>
      <c r="B145" s="1">
        <v>8</v>
      </c>
      <c r="C145" s="1">
        <v>2</v>
      </c>
      <c r="D145" s="1" t="s">
        <v>22</v>
      </c>
      <c r="E145" s="1">
        <v>24</v>
      </c>
      <c r="F145" s="1">
        <v>9</v>
      </c>
      <c r="G145" s="1" t="s">
        <v>22</v>
      </c>
      <c r="H145" s="1">
        <v>4</v>
      </c>
      <c r="I145" s="1">
        <v>0</v>
      </c>
      <c r="J145" s="1" t="s">
        <v>22</v>
      </c>
      <c r="K145" s="1">
        <v>4</v>
      </c>
      <c r="L145" s="1" t="s">
        <v>23</v>
      </c>
      <c r="M145" s="1" t="s">
        <v>24</v>
      </c>
      <c r="N145" s="1" t="s">
        <v>21</v>
      </c>
      <c r="O145" s="1">
        <v>161.55999600000001</v>
      </c>
      <c r="P145" s="1">
        <v>162.62211400000001</v>
      </c>
      <c r="Q145" s="2">
        <f t="shared" si="4"/>
        <v>6.5741398012908962E-3</v>
      </c>
      <c r="R145" s="1" t="s">
        <v>125</v>
      </c>
      <c r="S145" s="4">
        <v>18.78</v>
      </c>
      <c r="T145" s="5">
        <v>1.0240002302452921E-4</v>
      </c>
    </row>
    <row r="146" spans="1:20">
      <c r="A146" s="1" t="s">
        <v>69</v>
      </c>
      <c r="B146" s="1">
        <v>16</v>
      </c>
      <c r="C146" s="1">
        <v>8</v>
      </c>
      <c r="D146" s="1" t="s">
        <v>22</v>
      </c>
      <c r="E146" s="1">
        <v>4</v>
      </c>
      <c r="F146" s="1">
        <v>3</v>
      </c>
      <c r="G146" s="1" t="s">
        <v>22</v>
      </c>
      <c r="H146" s="1">
        <v>12</v>
      </c>
      <c r="I146" s="1">
        <v>4</v>
      </c>
      <c r="J146" s="1" t="s">
        <v>22</v>
      </c>
      <c r="K146" s="1">
        <v>4</v>
      </c>
      <c r="L146" s="1" t="s">
        <v>23</v>
      </c>
      <c r="M146" s="1" t="s">
        <v>24</v>
      </c>
      <c r="N146" s="1" t="s">
        <v>22</v>
      </c>
      <c r="O146" s="1">
        <v>379.12000499999999</v>
      </c>
      <c r="P146" s="1">
        <v>378.779876</v>
      </c>
      <c r="Q146" s="2">
        <f t="shared" si="4"/>
        <v>8.9715392359733265E-4</v>
      </c>
      <c r="R146" s="1" t="s">
        <v>125</v>
      </c>
      <c r="S146" s="4">
        <v>18.989999999999998</v>
      </c>
      <c r="T146" s="5">
        <v>1.002000062726438E-4</v>
      </c>
    </row>
    <row r="147" spans="1:20">
      <c r="A147" s="1" t="s">
        <v>70</v>
      </c>
      <c r="B147" s="1">
        <v>12</v>
      </c>
      <c r="C147" s="1">
        <v>7</v>
      </c>
      <c r="D147" s="1" t="s">
        <v>22</v>
      </c>
      <c r="E147" s="1">
        <v>7</v>
      </c>
      <c r="F147" s="1">
        <v>1</v>
      </c>
      <c r="G147" s="1" t="s">
        <v>22</v>
      </c>
      <c r="H147" s="1">
        <v>12</v>
      </c>
      <c r="I147" s="1">
        <v>6</v>
      </c>
      <c r="J147" s="1" t="s">
        <v>22</v>
      </c>
      <c r="K147" s="1">
        <v>6</v>
      </c>
      <c r="L147" s="1" t="s">
        <v>23</v>
      </c>
      <c r="M147" s="1" t="s">
        <v>24</v>
      </c>
      <c r="N147" s="1" t="s">
        <v>22</v>
      </c>
      <c r="O147" s="1">
        <v>515.480008</v>
      </c>
      <c r="P147" s="1">
        <v>507.69105100000002</v>
      </c>
      <c r="Q147" s="2">
        <f t="shared" si="4"/>
        <v>1.5110104910217938E-2</v>
      </c>
      <c r="R147" s="1" t="s">
        <v>125</v>
      </c>
      <c r="S147" s="4">
        <v>18.89</v>
      </c>
      <c r="T147" s="5">
        <v>9.8499993328005075E-5</v>
      </c>
    </row>
    <row r="148" spans="1:20">
      <c r="A148" s="1" t="s">
        <v>71</v>
      </c>
      <c r="B148" s="1">
        <v>16</v>
      </c>
      <c r="C148" s="1">
        <v>9</v>
      </c>
      <c r="D148" s="1" t="s">
        <v>22</v>
      </c>
      <c r="E148" s="1">
        <v>5</v>
      </c>
      <c r="F148" s="1">
        <v>1</v>
      </c>
      <c r="G148" s="1" t="s">
        <v>22</v>
      </c>
      <c r="H148" s="1">
        <v>9</v>
      </c>
      <c r="I148" s="1">
        <v>1</v>
      </c>
      <c r="J148" s="1" t="s">
        <v>22</v>
      </c>
      <c r="K148" s="1">
        <v>2</v>
      </c>
      <c r="L148" s="1" t="s">
        <v>23</v>
      </c>
      <c r="M148" s="1" t="s">
        <v>24</v>
      </c>
      <c r="N148" s="1" t="s">
        <v>22</v>
      </c>
      <c r="O148" s="1">
        <v>192.64000200000001</v>
      </c>
      <c r="P148" s="1">
        <v>187.05968799999999</v>
      </c>
      <c r="Q148" s="2">
        <f t="shared" si="4"/>
        <v>2.8967576526499492E-2</v>
      </c>
      <c r="R148" s="1" t="s">
        <v>125</v>
      </c>
      <c r="S148" s="4">
        <v>18.78</v>
      </c>
      <c r="T148" s="5">
        <v>1.038000336848199E-4</v>
      </c>
    </row>
    <row r="149" spans="1:20">
      <c r="A149" s="1" t="s">
        <v>72</v>
      </c>
      <c r="B149" s="1">
        <v>16</v>
      </c>
      <c r="C149" s="1">
        <v>12</v>
      </c>
      <c r="D149" s="1" t="s">
        <v>22</v>
      </c>
      <c r="E149" s="1">
        <v>20</v>
      </c>
      <c r="F149" s="1">
        <v>1</v>
      </c>
      <c r="G149" s="1" t="s">
        <v>21</v>
      </c>
      <c r="H149" s="1">
        <v>16</v>
      </c>
      <c r="I149" s="1">
        <v>4</v>
      </c>
      <c r="J149" s="1" t="s">
        <v>21</v>
      </c>
      <c r="K149" s="1">
        <v>4</v>
      </c>
      <c r="L149" s="1" t="s">
        <v>23</v>
      </c>
      <c r="M149" s="1" t="s">
        <v>24</v>
      </c>
      <c r="N149" s="1" t="s">
        <v>21</v>
      </c>
      <c r="O149" s="1">
        <v>574.83998599999995</v>
      </c>
      <c r="P149" s="1">
        <v>593.40506900000003</v>
      </c>
      <c r="Q149" s="2">
        <f t="shared" si="4"/>
        <v>3.2296088393544829E-2</v>
      </c>
      <c r="R149" s="1" t="s">
        <v>125</v>
      </c>
      <c r="S149" s="4">
        <v>18.670000000000002</v>
      </c>
      <c r="T149" s="5">
        <v>1.104999682866037E-4</v>
      </c>
    </row>
    <row r="150" spans="1:20">
      <c r="A150" s="1" t="s">
        <v>73</v>
      </c>
      <c r="B150" s="1">
        <v>6</v>
      </c>
      <c r="C150" s="1">
        <v>4</v>
      </c>
      <c r="D150" s="1" t="s">
        <v>22</v>
      </c>
      <c r="E150" s="1">
        <v>3</v>
      </c>
      <c r="F150" s="1">
        <v>2</v>
      </c>
      <c r="G150" s="1" t="s">
        <v>21</v>
      </c>
      <c r="H150" s="1">
        <v>11</v>
      </c>
      <c r="I150" s="1">
        <v>8</v>
      </c>
      <c r="J150" s="1" t="s">
        <v>21</v>
      </c>
      <c r="K150" s="1">
        <v>1</v>
      </c>
      <c r="L150" s="1" t="s">
        <v>23</v>
      </c>
      <c r="M150" s="1" t="s">
        <v>24</v>
      </c>
      <c r="N150" s="1" t="s">
        <v>21</v>
      </c>
      <c r="O150" s="1">
        <v>104.439998</v>
      </c>
      <c r="P150" s="1">
        <v>109.233198</v>
      </c>
      <c r="Q150" s="2">
        <f t="shared" si="4"/>
        <v>4.589429425305043E-2</v>
      </c>
      <c r="R150" s="1" t="s">
        <v>125</v>
      </c>
      <c r="S150" s="4">
        <v>18.93</v>
      </c>
      <c r="T150" s="5">
        <v>9.0599991381168365E-5</v>
      </c>
    </row>
    <row r="151" spans="1:20">
      <c r="A151" s="1" t="s">
        <v>74</v>
      </c>
      <c r="B151" s="1">
        <v>24</v>
      </c>
      <c r="C151" s="1">
        <v>20</v>
      </c>
      <c r="D151" s="1" t="s">
        <v>21</v>
      </c>
      <c r="E151" s="1">
        <v>8</v>
      </c>
      <c r="F151" s="1">
        <v>2</v>
      </c>
      <c r="G151" s="1" t="s">
        <v>21</v>
      </c>
      <c r="H151" s="1">
        <v>5</v>
      </c>
      <c r="I151" s="1">
        <v>3</v>
      </c>
      <c r="J151" s="1" t="s">
        <v>21</v>
      </c>
      <c r="K151" s="1">
        <v>1</v>
      </c>
      <c r="L151" s="1" t="s">
        <v>23</v>
      </c>
      <c r="M151" s="1" t="s">
        <v>24</v>
      </c>
      <c r="N151" s="1" t="s">
        <v>22</v>
      </c>
      <c r="O151" s="1">
        <v>76.16</v>
      </c>
      <c r="P151" s="1">
        <v>73.334001000000001</v>
      </c>
      <c r="Q151" s="2">
        <f t="shared" si="4"/>
        <v>3.710607930672264E-2</v>
      </c>
      <c r="R151" s="1" t="s">
        <v>125</v>
      </c>
      <c r="S151" s="4">
        <v>18.95</v>
      </c>
      <c r="T151" s="5">
        <v>9.799998952075839E-5</v>
      </c>
    </row>
    <row r="152" spans="1:20">
      <c r="A152" s="1" t="s">
        <v>75</v>
      </c>
      <c r="B152" s="1">
        <v>7</v>
      </c>
      <c r="C152" s="1">
        <v>5</v>
      </c>
      <c r="D152" s="1" t="s">
        <v>21</v>
      </c>
      <c r="E152" s="1">
        <v>9</v>
      </c>
      <c r="F152" s="1">
        <v>8</v>
      </c>
      <c r="G152" s="1" t="s">
        <v>22</v>
      </c>
      <c r="H152" s="1">
        <v>20</v>
      </c>
      <c r="I152" s="1">
        <v>0</v>
      </c>
      <c r="J152" s="1" t="s">
        <v>21</v>
      </c>
      <c r="K152" s="1">
        <v>4</v>
      </c>
      <c r="L152" s="1" t="s">
        <v>23</v>
      </c>
      <c r="M152" s="1" t="s">
        <v>24</v>
      </c>
      <c r="N152" s="1" t="s">
        <v>21</v>
      </c>
      <c r="O152" s="1">
        <v>617.67998299999999</v>
      </c>
      <c r="P152" s="1">
        <v>602.42422299999998</v>
      </c>
      <c r="Q152" s="2">
        <f t="shared" si="4"/>
        <v>2.4698485332007285E-2</v>
      </c>
      <c r="R152" s="1" t="s">
        <v>125</v>
      </c>
      <c r="S152" s="4">
        <v>18.989999999999998</v>
      </c>
      <c r="T152" s="5">
        <v>9.5000024884939194E-5</v>
      </c>
    </row>
    <row r="153" spans="1:20">
      <c r="A153" s="1" t="s">
        <v>76</v>
      </c>
      <c r="B153" s="1">
        <v>9</v>
      </c>
      <c r="C153" s="1">
        <v>3</v>
      </c>
      <c r="D153" s="1" t="s">
        <v>21</v>
      </c>
      <c r="E153" s="1">
        <v>16</v>
      </c>
      <c r="F153" s="1">
        <v>11</v>
      </c>
      <c r="G153" s="1" t="s">
        <v>21</v>
      </c>
      <c r="H153" s="1">
        <v>14</v>
      </c>
      <c r="I153" s="1">
        <v>6</v>
      </c>
      <c r="J153" s="1" t="s">
        <v>21</v>
      </c>
      <c r="K153" s="1">
        <v>2</v>
      </c>
      <c r="L153" s="1" t="s">
        <v>23</v>
      </c>
      <c r="M153" s="1" t="s">
        <v>24</v>
      </c>
      <c r="N153" s="1" t="s">
        <v>21</v>
      </c>
      <c r="O153" s="1">
        <v>320.59999399999998</v>
      </c>
      <c r="P153" s="1">
        <v>312.980481</v>
      </c>
      <c r="Q153" s="2">
        <f t="shared" si="4"/>
        <v>2.3766416539608495E-2</v>
      </c>
      <c r="R153" s="1" t="s">
        <v>125</v>
      </c>
      <c r="S153" s="4">
        <v>18.47</v>
      </c>
      <c r="T153" s="5">
        <v>9.899999713525176E-5</v>
      </c>
    </row>
    <row r="154" spans="1:20">
      <c r="A154" s="1" t="s">
        <v>77</v>
      </c>
      <c r="B154" s="1">
        <v>9</v>
      </c>
      <c r="C154" s="1">
        <v>1</v>
      </c>
      <c r="D154" s="1" t="s">
        <v>22</v>
      </c>
      <c r="E154" s="1">
        <v>7</v>
      </c>
      <c r="F154" s="1">
        <v>3</v>
      </c>
      <c r="G154" s="1" t="s">
        <v>22</v>
      </c>
      <c r="H154" s="1">
        <v>4</v>
      </c>
      <c r="I154" s="1">
        <v>3</v>
      </c>
      <c r="J154" s="1" t="s">
        <v>22</v>
      </c>
      <c r="K154" s="1">
        <v>6</v>
      </c>
      <c r="L154" s="1" t="s">
        <v>23</v>
      </c>
      <c r="M154" s="1" t="s">
        <v>24</v>
      </c>
      <c r="N154" s="1" t="s">
        <v>22</v>
      </c>
      <c r="O154" s="1">
        <v>161.840003</v>
      </c>
      <c r="P154" s="1">
        <v>161.102574</v>
      </c>
      <c r="Q154" s="2">
        <f t="shared" si="4"/>
        <v>4.5565310574048352E-3</v>
      </c>
      <c r="R154" s="1" t="s">
        <v>125</v>
      </c>
      <c r="S154" s="4">
        <v>18.670000000000002</v>
      </c>
      <c r="T154" s="5">
        <v>8.9599983766674995E-5</v>
      </c>
    </row>
    <row r="155" spans="1:20">
      <c r="A155" s="1" t="s">
        <v>78</v>
      </c>
      <c r="B155" s="1">
        <v>16</v>
      </c>
      <c r="C155" s="1">
        <v>15</v>
      </c>
      <c r="D155" s="1" t="s">
        <v>22</v>
      </c>
      <c r="E155" s="1">
        <v>8</v>
      </c>
      <c r="F155" s="1">
        <v>4</v>
      </c>
      <c r="G155" s="1" t="s">
        <v>22</v>
      </c>
      <c r="H155" s="1">
        <v>14</v>
      </c>
      <c r="I155" s="1">
        <v>8</v>
      </c>
      <c r="J155" s="1" t="s">
        <v>22</v>
      </c>
      <c r="K155" s="1">
        <v>0</v>
      </c>
      <c r="L155" s="1" t="s">
        <v>23</v>
      </c>
      <c r="M155" s="1" t="s">
        <v>24</v>
      </c>
      <c r="N155" s="1" t="s">
        <v>22</v>
      </c>
      <c r="O155" s="1">
        <v>113.96</v>
      </c>
      <c r="P155" s="1">
        <v>103.81245800000001</v>
      </c>
      <c r="Q155" s="2">
        <f t="shared" si="4"/>
        <v>8.9044770094769993E-2</v>
      </c>
      <c r="R155" s="1" t="s">
        <v>125</v>
      </c>
      <c r="S155" s="4">
        <v>18.78</v>
      </c>
      <c r="T155" s="5">
        <v>1.141999964602292E-4</v>
      </c>
    </row>
    <row r="156" spans="1:20">
      <c r="A156" s="1" t="s">
        <v>79</v>
      </c>
      <c r="B156" s="1">
        <v>14</v>
      </c>
      <c r="C156" s="1">
        <v>5</v>
      </c>
      <c r="D156" s="1" t="s">
        <v>21</v>
      </c>
      <c r="E156" s="1">
        <v>9</v>
      </c>
      <c r="F156" s="1">
        <v>4</v>
      </c>
      <c r="G156" s="1" t="s">
        <v>22</v>
      </c>
      <c r="H156" s="1">
        <v>16</v>
      </c>
      <c r="I156" s="1">
        <v>4</v>
      </c>
      <c r="J156" s="1" t="s">
        <v>21</v>
      </c>
      <c r="K156" s="1">
        <v>6</v>
      </c>
      <c r="L156" s="1" t="s">
        <v>23</v>
      </c>
      <c r="M156" s="1" t="s">
        <v>24</v>
      </c>
      <c r="N156" s="1" t="s">
        <v>21</v>
      </c>
      <c r="O156" s="1">
        <v>798.83997899999997</v>
      </c>
      <c r="P156" s="1">
        <v>816.10808499999996</v>
      </c>
      <c r="Q156" s="2">
        <f t="shared" si="4"/>
        <v>2.1616476959023089E-2</v>
      </c>
      <c r="R156" s="1" t="s">
        <v>125</v>
      </c>
      <c r="S156" s="4">
        <v>19.489999999999998</v>
      </c>
      <c r="T156" s="5">
        <v>9.8799995612353086E-5</v>
      </c>
    </row>
    <row r="157" spans="1:20">
      <c r="A157" s="1" t="s">
        <v>80</v>
      </c>
      <c r="B157" s="1">
        <v>20</v>
      </c>
      <c r="C157" s="1">
        <v>16</v>
      </c>
      <c r="D157" s="1" t="s">
        <v>21</v>
      </c>
      <c r="E157" s="1">
        <v>12</v>
      </c>
      <c r="F157" s="1">
        <v>7</v>
      </c>
      <c r="G157" s="1" t="s">
        <v>22</v>
      </c>
      <c r="H157" s="1">
        <v>6</v>
      </c>
      <c r="I157" s="1">
        <v>4</v>
      </c>
      <c r="J157" s="1" t="s">
        <v>21</v>
      </c>
      <c r="K157" s="1">
        <v>2</v>
      </c>
      <c r="L157" s="1" t="s">
        <v>23</v>
      </c>
      <c r="M157" s="1" t="s">
        <v>24</v>
      </c>
      <c r="N157" s="1" t="s">
        <v>21</v>
      </c>
      <c r="O157" s="1">
        <v>183.95999699999999</v>
      </c>
      <c r="P157" s="1">
        <v>168.70482699999999</v>
      </c>
      <c r="Q157" s="2">
        <f t="shared" si="4"/>
        <v>8.2926561474123056E-2</v>
      </c>
      <c r="R157" s="1" t="s">
        <v>125</v>
      </c>
      <c r="S157" s="4">
        <v>19</v>
      </c>
      <c r="T157" s="5">
        <v>1.0139995720237489E-4</v>
      </c>
    </row>
    <row r="158" spans="1:20">
      <c r="A158" s="1" t="s">
        <v>81</v>
      </c>
      <c r="B158" s="1">
        <v>5</v>
      </c>
      <c r="C158" s="1">
        <v>0</v>
      </c>
      <c r="D158" s="1" t="s">
        <v>22</v>
      </c>
      <c r="E158" s="1">
        <v>4</v>
      </c>
      <c r="F158" s="1">
        <v>1</v>
      </c>
      <c r="G158" s="1" t="s">
        <v>22</v>
      </c>
      <c r="H158" s="1">
        <v>10</v>
      </c>
      <c r="I158" s="1">
        <v>2</v>
      </c>
      <c r="J158" s="1" t="s">
        <v>22</v>
      </c>
      <c r="K158" s="1">
        <v>2</v>
      </c>
      <c r="L158" s="1" t="s">
        <v>23</v>
      </c>
      <c r="M158" s="1" t="s">
        <v>24</v>
      </c>
      <c r="N158" s="1" t="s">
        <v>22</v>
      </c>
      <c r="O158" s="1">
        <v>133.840001</v>
      </c>
      <c r="P158" s="1">
        <v>134.738249</v>
      </c>
      <c r="Q158" s="2">
        <f t="shared" si="4"/>
        <v>6.7113567938481659E-3</v>
      </c>
      <c r="R158" s="1" t="s">
        <v>125</v>
      </c>
      <c r="S158" s="4">
        <v>18.850000000000001</v>
      </c>
      <c r="T158" s="5">
        <v>8.890003664419055E-5</v>
      </c>
    </row>
    <row r="159" spans="1:20">
      <c r="A159" s="1" t="s">
        <v>82</v>
      </c>
      <c r="B159" s="1">
        <v>14</v>
      </c>
      <c r="C159" s="1">
        <v>12</v>
      </c>
      <c r="D159" s="1" t="s">
        <v>22</v>
      </c>
      <c r="E159" s="1">
        <v>16</v>
      </c>
      <c r="F159" s="1">
        <v>9</v>
      </c>
      <c r="G159" s="1" t="s">
        <v>21</v>
      </c>
      <c r="H159" s="1">
        <v>8</v>
      </c>
      <c r="I159" s="1">
        <v>6</v>
      </c>
      <c r="J159" s="1" t="s">
        <v>21</v>
      </c>
      <c r="K159" s="1">
        <v>4</v>
      </c>
      <c r="L159" s="1" t="s">
        <v>23</v>
      </c>
      <c r="M159" s="1" t="s">
        <v>24</v>
      </c>
      <c r="N159" s="1" t="s">
        <v>21</v>
      </c>
      <c r="O159" s="1">
        <v>334.03999299999998</v>
      </c>
      <c r="P159" s="1">
        <v>328.842354</v>
      </c>
      <c r="Q159" s="2">
        <f t="shared" si="4"/>
        <v>1.5559930274576379E-2</v>
      </c>
      <c r="R159" s="1" t="s">
        <v>125</v>
      </c>
      <c r="S159" s="4">
        <v>19.399999999999999</v>
      </c>
      <c r="T159" s="5">
        <v>1.167000154964626E-4</v>
      </c>
    </row>
    <row r="160" spans="1:20">
      <c r="A160" s="1" t="s">
        <v>83</v>
      </c>
      <c r="B160" s="1">
        <v>7</v>
      </c>
      <c r="C160" s="1">
        <v>2</v>
      </c>
      <c r="D160" s="1" t="s">
        <v>21</v>
      </c>
      <c r="E160" s="1">
        <v>9</v>
      </c>
      <c r="F160" s="1">
        <v>3</v>
      </c>
      <c r="G160" s="1" t="s">
        <v>22</v>
      </c>
      <c r="H160" s="1">
        <v>5</v>
      </c>
      <c r="I160" s="1">
        <v>3</v>
      </c>
      <c r="J160" s="1" t="s">
        <v>21</v>
      </c>
      <c r="K160" s="1">
        <v>1</v>
      </c>
      <c r="L160" s="1" t="s">
        <v>23</v>
      </c>
      <c r="M160" s="1" t="s">
        <v>24</v>
      </c>
      <c r="N160" s="1" t="s">
        <v>21</v>
      </c>
      <c r="O160" s="1">
        <v>76.999999000000003</v>
      </c>
      <c r="P160" s="1">
        <v>77.534001000000004</v>
      </c>
      <c r="Q160" s="2">
        <f t="shared" si="4"/>
        <v>6.935090999157038E-3</v>
      </c>
      <c r="R160" s="1" t="s">
        <v>125</v>
      </c>
      <c r="S160" s="4">
        <v>18.52</v>
      </c>
      <c r="T160" s="5">
        <v>9.5599971245974302E-5</v>
      </c>
    </row>
    <row r="161" spans="1:20">
      <c r="A161" s="1" t="s">
        <v>84</v>
      </c>
      <c r="B161" s="1">
        <v>6</v>
      </c>
      <c r="C161" s="1">
        <v>3</v>
      </c>
      <c r="D161" s="1" t="s">
        <v>22</v>
      </c>
      <c r="E161" s="1">
        <v>9</v>
      </c>
      <c r="F161" s="1">
        <v>8</v>
      </c>
      <c r="G161" s="1" t="s">
        <v>22</v>
      </c>
      <c r="H161" s="1">
        <v>14</v>
      </c>
      <c r="I161" s="1">
        <v>2</v>
      </c>
      <c r="J161" s="1" t="s">
        <v>22</v>
      </c>
      <c r="K161" s="1">
        <v>1</v>
      </c>
      <c r="L161" s="1" t="s">
        <v>23</v>
      </c>
      <c r="M161" s="1" t="s">
        <v>24</v>
      </c>
      <c r="N161" s="1" t="s">
        <v>21</v>
      </c>
      <c r="O161" s="1">
        <v>102.19999799999999</v>
      </c>
      <c r="P161" s="1">
        <v>101.12303</v>
      </c>
      <c r="Q161" s="2">
        <f t="shared" si="4"/>
        <v>1.0537847564341379E-2</v>
      </c>
      <c r="R161" s="1" t="s">
        <v>125</v>
      </c>
      <c r="S161" s="4">
        <v>18.64</v>
      </c>
      <c r="T161" s="5">
        <v>1.009000116027892E-4</v>
      </c>
    </row>
    <row r="162" spans="1:20">
      <c r="Q162" s="6">
        <f>AVERAGE(Q2:Q161)</f>
        <v>4.6821103150935933E-2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2"/>
  <sheetViews>
    <sheetView topLeftCell="D1" workbookViewId="0">
      <pane ySplit="1" topLeftCell="A132" activePane="bottomLeft" state="frozen"/>
      <selection pane="bottomLeft" activeCell="Q163" sqref="Q163"/>
    </sheetView>
  </sheetViews>
  <sheetFormatPr defaultRowHeight="14"/>
  <cols>
    <col min="1" max="1" width="6.6640625" customWidth="1"/>
    <col min="2" max="2" width="13.4140625" customWidth="1"/>
    <col min="3" max="3" width="14.1640625" customWidth="1"/>
    <col min="4" max="4" width="18.75" customWidth="1"/>
    <col min="5" max="5" width="13.4140625" customWidth="1"/>
    <col min="6" max="6" width="14.1640625" customWidth="1"/>
    <col min="7" max="7" width="18.75" customWidth="1"/>
    <col min="8" max="8" width="13.5" customWidth="1"/>
    <col min="9" max="9" width="14.25" customWidth="1"/>
    <col min="10" max="10" width="18.9140625" customWidth="1"/>
    <col min="11" max="11" width="6.75" customWidth="1"/>
    <col min="12" max="12" width="9.9140625" customWidth="1"/>
    <col min="13" max="13" width="9.75" customWidth="1"/>
    <col min="14" max="14" width="9.1640625" customWidth="1"/>
    <col min="15" max="15" width="15" customWidth="1"/>
    <col min="16" max="16" width="10.25" customWidth="1"/>
    <col min="17" max="17" width="6" customWidth="1"/>
    <col min="18" max="18" width="4.4140625" customWidth="1"/>
    <col min="19" max="19" width="9.914062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126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 t="s">
        <v>20</v>
      </c>
      <c r="B2" s="1">
        <v>10</v>
      </c>
      <c r="C2" s="1">
        <v>4</v>
      </c>
      <c r="D2" s="1" t="s">
        <v>21</v>
      </c>
      <c r="E2" s="1">
        <v>12</v>
      </c>
      <c r="F2" s="1">
        <v>4</v>
      </c>
      <c r="G2" s="1" t="s">
        <v>21</v>
      </c>
      <c r="H2" s="1">
        <v>9</v>
      </c>
      <c r="I2" s="1">
        <v>0</v>
      </c>
      <c r="J2" s="1" t="s">
        <v>21</v>
      </c>
      <c r="K2" s="1">
        <v>3</v>
      </c>
      <c r="L2" s="1" t="s">
        <v>23</v>
      </c>
      <c r="M2" s="1" t="s">
        <v>24</v>
      </c>
      <c r="N2" s="1" t="s">
        <v>22</v>
      </c>
      <c r="O2" s="1">
        <v>344.680003</v>
      </c>
      <c r="P2" s="1">
        <v>350.12769800000001</v>
      </c>
      <c r="Q2" s="2">
        <f t="shared" ref="Q2:Q33" si="0">ABS(P2-O2)/O2</f>
        <v>1.5805079936708745E-2</v>
      </c>
      <c r="R2" s="1" t="s">
        <v>25</v>
      </c>
      <c r="S2" s="4">
        <v>20.2</v>
      </c>
      <c r="T2" s="5">
        <v>6.019999273121357E-5</v>
      </c>
    </row>
    <row r="3" spans="1:20">
      <c r="A3" s="1" t="s">
        <v>26</v>
      </c>
      <c r="B3" s="1">
        <v>6</v>
      </c>
      <c r="C3" s="1">
        <v>4</v>
      </c>
      <c r="D3" s="1" t="s">
        <v>21</v>
      </c>
      <c r="E3" s="1">
        <v>14</v>
      </c>
      <c r="F3" s="1">
        <v>2</v>
      </c>
      <c r="G3" s="1" t="s">
        <v>22</v>
      </c>
      <c r="H3" s="1">
        <v>10</v>
      </c>
      <c r="I3" s="1">
        <v>2</v>
      </c>
      <c r="J3" s="1" t="s">
        <v>21</v>
      </c>
      <c r="K3" s="1">
        <v>1</v>
      </c>
      <c r="L3" s="1" t="s">
        <v>23</v>
      </c>
      <c r="M3" s="1" t="s">
        <v>24</v>
      </c>
      <c r="N3" s="1" t="s">
        <v>22</v>
      </c>
      <c r="O3" s="1">
        <v>236.32000099999999</v>
      </c>
      <c r="P3" s="1">
        <v>216.06052099999999</v>
      </c>
      <c r="Q3" s="2">
        <f t="shared" si="0"/>
        <v>8.5729011147050546E-2</v>
      </c>
      <c r="R3" s="1" t="s">
        <v>25</v>
      </c>
      <c r="S3" s="4">
        <v>19.96</v>
      </c>
      <c r="T3" s="5">
        <v>5.2900053560733802E-5</v>
      </c>
    </row>
    <row r="4" spans="1:20">
      <c r="A4" s="1" t="s">
        <v>27</v>
      </c>
      <c r="B4" s="1">
        <v>16</v>
      </c>
      <c r="C4" s="1">
        <v>4</v>
      </c>
      <c r="D4" s="1" t="s">
        <v>22</v>
      </c>
      <c r="E4" s="1">
        <v>9</v>
      </c>
      <c r="F4" s="1">
        <v>6</v>
      </c>
      <c r="G4" s="1" t="s">
        <v>21</v>
      </c>
      <c r="H4" s="1">
        <v>12</v>
      </c>
      <c r="I4" s="1">
        <v>6</v>
      </c>
      <c r="J4" s="1" t="s">
        <v>21</v>
      </c>
      <c r="K4" s="1">
        <v>1</v>
      </c>
      <c r="L4" s="1" t="s">
        <v>23</v>
      </c>
      <c r="M4" s="1" t="s">
        <v>24</v>
      </c>
      <c r="N4" s="1" t="s">
        <v>21</v>
      </c>
      <c r="O4" s="1">
        <v>260.67999700000001</v>
      </c>
      <c r="P4" s="1">
        <v>257.91560500000003</v>
      </c>
      <c r="Q4" s="2">
        <f t="shared" si="0"/>
        <v>1.060454208920367E-2</v>
      </c>
      <c r="R4" s="1" t="s">
        <v>25</v>
      </c>
      <c r="S4" s="4">
        <v>19.39</v>
      </c>
      <c r="T4" s="5">
        <v>5.830003647133708E-5</v>
      </c>
    </row>
    <row r="5" spans="1:20">
      <c r="A5" s="1" t="s">
        <v>28</v>
      </c>
      <c r="B5" s="1">
        <v>16</v>
      </c>
      <c r="C5" s="1">
        <v>3</v>
      </c>
      <c r="D5" s="1" t="s">
        <v>21</v>
      </c>
      <c r="E5" s="1">
        <v>6</v>
      </c>
      <c r="F5" s="1">
        <v>0</v>
      </c>
      <c r="G5" s="1" t="s">
        <v>21</v>
      </c>
      <c r="H5" s="1">
        <v>8</v>
      </c>
      <c r="I5" s="1">
        <v>0</v>
      </c>
      <c r="J5" s="1" t="s">
        <v>21</v>
      </c>
      <c r="K5" s="1">
        <v>4</v>
      </c>
      <c r="L5" s="1" t="s">
        <v>23</v>
      </c>
      <c r="M5" s="1" t="s">
        <v>24</v>
      </c>
      <c r="N5" s="1" t="s">
        <v>22</v>
      </c>
      <c r="O5" s="1">
        <v>323.120003</v>
      </c>
      <c r="P5" s="1">
        <v>307.68189699999999</v>
      </c>
      <c r="Q5" s="2">
        <f t="shared" si="0"/>
        <v>4.7778242933477579E-2</v>
      </c>
      <c r="R5" s="1" t="s">
        <v>25</v>
      </c>
      <c r="S5" s="4">
        <v>19.760000000000002</v>
      </c>
      <c r="T5" s="5">
        <v>5.0499977078288787E-5</v>
      </c>
    </row>
    <row r="6" spans="1:20">
      <c r="A6" s="1" t="s">
        <v>29</v>
      </c>
      <c r="B6" s="1">
        <v>8</v>
      </c>
      <c r="C6" s="1">
        <v>1</v>
      </c>
      <c r="D6" s="1" t="s">
        <v>21</v>
      </c>
      <c r="E6" s="1">
        <v>6</v>
      </c>
      <c r="F6" s="1">
        <v>3</v>
      </c>
      <c r="G6" s="1" t="s">
        <v>21</v>
      </c>
      <c r="H6" s="1">
        <v>9</v>
      </c>
      <c r="I6" s="1">
        <v>8</v>
      </c>
      <c r="J6" s="1" t="s">
        <v>21</v>
      </c>
      <c r="K6" s="1">
        <v>2</v>
      </c>
      <c r="L6" s="1" t="s">
        <v>23</v>
      </c>
      <c r="M6" s="1" t="s">
        <v>24</v>
      </c>
      <c r="N6" s="1" t="s">
        <v>22</v>
      </c>
      <c r="O6" s="1">
        <v>86.800000999999995</v>
      </c>
      <c r="P6" s="1">
        <v>80.549226000000004</v>
      </c>
      <c r="Q6" s="2">
        <f t="shared" si="0"/>
        <v>7.2013536036710304E-2</v>
      </c>
      <c r="R6" s="1" t="s">
        <v>25</v>
      </c>
      <c r="S6" s="4">
        <v>19.89</v>
      </c>
      <c r="T6" s="5">
        <v>4.050001734867692E-5</v>
      </c>
    </row>
    <row r="7" spans="1:20">
      <c r="A7" s="1" t="s">
        <v>30</v>
      </c>
      <c r="B7" s="1">
        <v>12</v>
      </c>
      <c r="C7" s="1">
        <v>1</v>
      </c>
      <c r="D7" s="1" t="s">
        <v>21</v>
      </c>
      <c r="E7" s="1">
        <v>9</v>
      </c>
      <c r="F7" s="1">
        <v>4</v>
      </c>
      <c r="G7" s="1" t="s">
        <v>21</v>
      </c>
      <c r="H7" s="1">
        <v>16</v>
      </c>
      <c r="I7" s="1">
        <v>1</v>
      </c>
      <c r="J7" s="1" t="s">
        <v>21</v>
      </c>
      <c r="K7" s="1">
        <v>1</v>
      </c>
      <c r="L7" s="1" t="s">
        <v>23</v>
      </c>
      <c r="M7" s="1" t="s">
        <v>24</v>
      </c>
      <c r="N7" s="1" t="s">
        <v>22</v>
      </c>
      <c r="O7" s="1">
        <v>284.48000100000002</v>
      </c>
      <c r="P7" s="1">
        <v>311.92183699999998</v>
      </c>
      <c r="Q7" s="2">
        <f t="shared" si="0"/>
        <v>9.6463146455064749E-2</v>
      </c>
      <c r="R7" s="1" t="s">
        <v>25</v>
      </c>
      <c r="S7" s="4">
        <v>19.670000000000002</v>
      </c>
      <c r="T7" s="5">
        <v>5.9100042562931783E-5</v>
      </c>
    </row>
    <row r="8" spans="1:20">
      <c r="A8" s="1" t="s">
        <v>31</v>
      </c>
      <c r="B8" s="1">
        <v>14</v>
      </c>
      <c r="C8" s="1">
        <v>4</v>
      </c>
      <c r="D8" s="1" t="s">
        <v>22</v>
      </c>
      <c r="E8" s="1">
        <v>12</v>
      </c>
      <c r="F8" s="1">
        <v>0</v>
      </c>
      <c r="G8" s="1" t="s">
        <v>21</v>
      </c>
      <c r="H8" s="1">
        <v>16</v>
      </c>
      <c r="I8" s="1">
        <v>0</v>
      </c>
      <c r="J8" s="1" t="s">
        <v>21</v>
      </c>
      <c r="K8" s="1">
        <v>3</v>
      </c>
      <c r="L8" s="1" t="s">
        <v>23</v>
      </c>
      <c r="M8" s="1" t="s">
        <v>24</v>
      </c>
      <c r="N8" s="1" t="s">
        <v>21</v>
      </c>
      <c r="O8" s="1">
        <v>533.39999</v>
      </c>
      <c r="P8" s="1">
        <v>544.62326599999994</v>
      </c>
      <c r="Q8" s="2">
        <f t="shared" si="0"/>
        <v>2.104101276792289E-2</v>
      </c>
      <c r="R8" s="1" t="s">
        <v>25</v>
      </c>
      <c r="S8" s="4">
        <v>19.62</v>
      </c>
      <c r="T8" s="5">
        <v>6.1700004152953625E-5</v>
      </c>
    </row>
    <row r="9" spans="1:20">
      <c r="A9" s="1" t="s">
        <v>32</v>
      </c>
      <c r="B9" s="1">
        <v>16</v>
      </c>
      <c r="C9" s="1">
        <v>8</v>
      </c>
      <c r="D9" s="1" t="s">
        <v>21</v>
      </c>
      <c r="E9" s="1">
        <v>12</v>
      </c>
      <c r="F9" s="1">
        <v>2</v>
      </c>
      <c r="G9" s="1" t="s">
        <v>22</v>
      </c>
      <c r="H9" s="1">
        <v>8</v>
      </c>
      <c r="I9" s="1">
        <v>6</v>
      </c>
      <c r="J9" s="1" t="s">
        <v>21</v>
      </c>
      <c r="K9" s="1">
        <v>1</v>
      </c>
      <c r="L9" s="1" t="s">
        <v>23</v>
      </c>
      <c r="M9" s="1" t="s">
        <v>24</v>
      </c>
      <c r="N9" s="1" t="s">
        <v>21</v>
      </c>
      <c r="O9" s="1">
        <v>122.079998</v>
      </c>
      <c r="P9" s="1">
        <v>129.70191700000001</v>
      </c>
      <c r="Q9" s="2">
        <f t="shared" si="0"/>
        <v>6.2433806724013913E-2</v>
      </c>
      <c r="R9" s="1" t="s">
        <v>25</v>
      </c>
      <c r="S9" s="4">
        <v>19.13</v>
      </c>
      <c r="T9" s="5">
        <v>5.5599957704544067E-5</v>
      </c>
    </row>
    <row r="10" spans="1:20">
      <c r="A10" s="1" t="s">
        <v>33</v>
      </c>
      <c r="B10" s="1">
        <v>14</v>
      </c>
      <c r="C10" s="1">
        <v>1</v>
      </c>
      <c r="D10" s="1" t="s">
        <v>21</v>
      </c>
      <c r="E10" s="1">
        <v>6</v>
      </c>
      <c r="F10" s="1">
        <v>2</v>
      </c>
      <c r="G10" s="1" t="s">
        <v>21</v>
      </c>
      <c r="H10" s="1">
        <v>10</v>
      </c>
      <c r="I10" s="1">
        <v>0</v>
      </c>
      <c r="J10" s="1" t="s">
        <v>21</v>
      </c>
      <c r="K10" s="1">
        <v>0</v>
      </c>
      <c r="L10" s="1" t="s">
        <v>23</v>
      </c>
      <c r="M10" s="1" t="s">
        <v>24</v>
      </c>
      <c r="N10" s="1" t="s">
        <v>21</v>
      </c>
      <c r="O10" s="1">
        <v>166.879999</v>
      </c>
      <c r="P10" s="1">
        <v>180.320741</v>
      </c>
      <c r="Q10" s="2">
        <f t="shared" si="0"/>
        <v>8.0541359543033084E-2</v>
      </c>
      <c r="R10" s="1" t="s">
        <v>25</v>
      </c>
      <c r="S10" s="4">
        <v>19.66</v>
      </c>
      <c r="T10" s="5">
        <v>5.6599965319037437E-5</v>
      </c>
    </row>
    <row r="11" spans="1:20">
      <c r="A11" s="1" t="s">
        <v>34</v>
      </c>
      <c r="B11" s="1">
        <v>12</v>
      </c>
      <c r="C11" s="1">
        <v>2</v>
      </c>
      <c r="D11" s="1" t="s">
        <v>22</v>
      </c>
      <c r="E11" s="1">
        <v>5</v>
      </c>
      <c r="F11" s="1">
        <v>1</v>
      </c>
      <c r="G11" s="1" t="s">
        <v>21</v>
      </c>
      <c r="H11" s="1">
        <v>12</v>
      </c>
      <c r="I11" s="1">
        <v>2</v>
      </c>
      <c r="J11" s="1" t="s">
        <v>21</v>
      </c>
      <c r="K11" s="1">
        <v>0</v>
      </c>
      <c r="L11" s="1" t="s">
        <v>23</v>
      </c>
      <c r="M11" s="1" t="s">
        <v>24</v>
      </c>
      <c r="N11" s="1" t="s">
        <v>21</v>
      </c>
      <c r="O11" s="1">
        <v>163.23999900000001</v>
      </c>
      <c r="P11" s="1">
        <v>187.87360000000001</v>
      </c>
      <c r="Q11" s="2">
        <f t="shared" si="0"/>
        <v>0.15090419719985418</v>
      </c>
      <c r="R11" s="1" t="s">
        <v>25</v>
      </c>
      <c r="S11" s="4">
        <v>19.8</v>
      </c>
      <c r="T11" s="5">
        <v>5.4100004490464933E-5</v>
      </c>
    </row>
    <row r="12" spans="1:20">
      <c r="A12" s="1" t="s">
        <v>35</v>
      </c>
      <c r="B12" s="1">
        <v>10</v>
      </c>
      <c r="C12" s="1">
        <v>1</v>
      </c>
      <c r="D12" s="1" t="s">
        <v>21</v>
      </c>
      <c r="E12" s="1">
        <v>14</v>
      </c>
      <c r="F12" s="1">
        <v>3</v>
      </c>
      <c r="G12" s="1" t="s">
        <v>22</v>
      </c>
      <c r="H12" s="1">
        <v>9</v>
      </c>
      <c r="I12" s="1">
        <v>1</v>
      </c>
      <c r="J12" s="1" t="s">
        <v>21</v>
      </c>
      <c r="K12" s="1">
        <v>2</v>
      </c>
      <c r="L12" s="1" t="s">
        <v>23</v>
      </c>
      <c r="M12" s="1" t="s">
        <v>24</v>
      </c>
      <c r="N12" s="1" t="s">
        <v>22</v>
      </c>
      <c r="O12" s="1">
        <v>268.80000200000001</v>
      </c>
      <c r="P12" s="1">
        <v>255.71099599999999</v>
      </c>
      <c r="Q12" s="2">
        <f t="shared" si="0"/>
        <v>4.8694218387691869E-2</v>
      </c>
      <c r="R12" s="1" t="s">
        <v>25</v>
      </c>
      <c r="S12" s="4">
        <v>19.95</v>
      </c>
      <c r="T12" s="5">
        <v>5.4000003729015589E-5</v>
      </c>
    </row>
    <row r="13" spans="1:20">
      <c r="A13" s="1" t="s">
        <v>36</v>
      </c>
      <c r="B13" s="1">
        <v>6</v>
      </c>
      <c r="C13" s="1">
        <v>3</v>
      </c>
      <c r="D13" s="1" t="s">
        <v>21</v>
      </c>
      <c r="E13" s="1">
        <v>14</v>
      </c>
      <c r="F13" s="1">
        <v>1</v>
      </c>
      <c r="G13" s="1" t="s">
        <v>21</v>
      </c>
      <c r="H13" s="1">
        <v>16</v>
      </c>
      <c r="I13" s="1">
        <v>3</v>
      </c>
      <c r="J13" s="1" t="s">
        <v>21</v>
      </c>
      <c r="K13" s="1">
        <v>2</v>
      </c>
      <c r="L13" s="1" t="s">
        <v>23</v>
      </c>
      <c r="M13" s="1" t="s">
        <v>24</v>
      </c>
      <c r="N13" s="1" t="s">
        <v>22</v>
      </c>
      <c r="O13" s="1">
        <v>430.08000299999998</v>
      </c>
      <c r="P13" s="1">
        <v>416.93526100000003</v>
      </c>
      <c r="Q13" s="2">
        <f t="shared" si="0"/>
        <v>3.0563480999603581E-2</v>
      </c>
      <c r="R13" s="1" t="s">
        <v>25</v>
      </c>
      <c r="S13" s="4">
        <v>19.420000000000002</v>
      </c>
      <c r="T13" s="5">
        <v>6.6399981733411551E-5</v>
      </c>
    </row>
    <row r="14" spans="1:20">
      <c r="A14" s="1" t="s">
        <v>37</v>
      </c>
      <c r="B14" s="1">
        <v>9</v>
      </c>
      <c r="C14" s="1">
        <v>4</v>
      </c>
      <c r="D14" s="1" t="s">
        <v>22</v>
      </c>
      <c r="E14" s="1">
        <v>8</v>
      </c>
      <c r="F14" s="1">
        <v>2</v>
      </c>
      <c r="G14" s="1" t="s">
        <v>21</v>
      </c>
      <c r="H14" s="1">
        <v>9</v>
      </c>
      <c r="I14" s="1">
        <v>2</v>
      </c>
      <c r="J14" s="1" t="s">
        <v>21</v>
      </c>
      <c r="K14" s="1">
        <v>1</v>
      </c>
      <c r="L14" s="1" t="s">
        <v>23</v>
      </c>
      <c r="M14" s="1" t="s">
        <v>24</v>
      </c>
      <c r="N14" s="1" t="s">
        <v>22</v>
      </c>
      <c r="O14" s="1">
        <v>187.04000099999999</v>
      </c>
      <c r="P14" s="1">
        <v>196.20038400000001</v>
      </c>
      <c r="Q14" s="2">
        <f t="shared" si="0"/>
        <v>4.8975529036700681E-2</v>
      </c>
      <c r="R14" s="1" t="s">
        <v>25</v>
      </c>
      <c r="S14" s="4">
        <v>19.38</v>
      </c>
      <c r="T14" s="5">
        <v>5.1099981646984822E-5</v>
      </c>
    </row>
    <row r="15" spans="1:20">
      <c r="A15" s="1" t="s">
        <v>38</v>
      </c>
      <c r="B15" s="1">
        <v>6</v>
      </c>
      <c r="C15" s="1">
        <v>1</v>
      </c>
      <c r="D15" s="1" t="s">
        <v>21</v>
      </c>
      <c r="E15" s="1">
        <v>9</v>
      </c>
      <c r="F15" s="1">
        <v>3</v>
      </c>
      <c r="G15" s="1" t="s">
        <v>21</v>
      </c>
      <c r="H15" s="1">
        <v>9</v>
      </c>
      <c r="I15" s="1">
        <v>0</v>
      </c>
      <c r="J15" s="1" t="s">
        <v>21</v>
      </c>
      <c r="K15" s="1">
        <v>4</v>
      </c>
      <c r="L15" s="1" t="s">
        <v>23</v>
      </c>
      <c r="M15" s="1" t="s">
        <v>24</v>
      </c>
      <c r="N15" s="1" t="s">
        <v>22</v>
      </c>
      <c r="O15" s="1">
        <v>350.00000399999999</v>
      </c>
      <c r="P15" s="1">
        <v>343.91270500000002</v>
      </c>
      <c r="Q15" s="2">
        <f t="shared" si="0"/>
        <v>1.7392282658373837E-2</v>
      </c>
      <c r="R15" s="1" t="s">
        <v>25</v>
      </c>
      <c r="S15" s="4">
        <v>19.27</v>
      </c>
      <c r="T15" s="5">
        <v>4.9600028432905667E-5</v>
      </c>
    </row>
    <row r="16" spans="1:20">
      <c r="A16" s="1" t="s">
        <v>39</v>
      </c>
      <c r="B16" s="1">
        <v>16</v>
      </c>
      <c r="C16" s="1">
        <v>1</v>
      </c>
      <c r="D16" s="1" t="s">
        <v>22</v>
      </c>
      <c r="E16" s="1">
        <v>5</v>
      </c>
      <c r="F16" s="1">
        <v>2</v>
      </c>
      <c r="G16" s="1" t="s">
        <v>22</v>
      </c>
      <c r="H16" s="1">
        <v>5</v>
      </c>
      <c r="I16" s="1">
        <v>2</v>
      </c>
      <c r="J16" s="1" t="s">
        <v>22</v>
      </c>
      <c r="K16" s="1">
        <v>0</v>
      </c>
      <c r="L16" s="1" t="s">
        <v>23</v>
      </c>
      <c r="M16" s="1" t="s">
        <v>24</v>
      </c>
      <c r="N16" s="1" t="s">
        <v>22</v>
      </c>
      <c r="O16" s="1">
        <v>64.399998999999994</v>
      </c>
      <c r="P16" s="1">
        <v>65.653222999999997</v>
      </c>
      <c r="Q16" s="2">
        <f t="shared" si="0"/>
        <v>1.9460000302173965E-2</v>
      </c>
      <c r="R16" s="1" t="s">
        <v>25</v>
      </c>
      <c r="S16" s="4">
        <v>19.5</v>
      </c>
      <c r="T16" s="5">
        <v>5.329999839887023E-5</v>
      </c>
    </row>
    <row r="17" spans="1:20">
      <c r="A17" s="1" t="s">
        <v>40</v>
      </c>
      <c r="B17" s="1">
        <v>8</v>
      </c>
      <c r="C17" s="1">
        <v>4</v>
      </c>
      <c r="D17" s="1" t="s">
        <v>21</v>
      </c>
      <c r="E17" s="1">
        <v>12</v>
      </c>
      <c r="F17" s="1">
        <v>3</v>
      </c>
      <c r="G17" s="1" t="s">
        <v>22</v>
      </c>
      <c r="H17" s="1">
        <v>9</v>
      </c>
      <c r="I17" s="1">
        <v>4</v>
      </c>
      <c r="J17" s="1" t="s">
        <v>21</v>
      </c>
      <c r="K17" s="1">
        <v>1</v>
      </c>
      <c r="L17" s="1" t="s">
        <v>23</v>
      </c>
      <c r="M17" s="1" t="s">
        <v>24</v>
      </c>
      <c r="N17" s="1" t="s">
        <v>22</v>
      </c>
      <c r="O17" s="1">
        <v>196.840001</v>
      </c>
      <c r="P17" s="1">
        <v>185.02013500000001</v>
      </c>
      <c r="Q17" s="2">
        <f t="shared" si="0"/>
        <v>6.0048089514081998E-2</v>
      </c>
      <c r="R17" s="1" t="s">
        <v>25</v>
      </c>
      <c r="S17" s="4">
        <v>19.27</v>
      </c>
      <c r="T17" s="5">
        <v>5.329999839887023E-5</v>
      </c>
    </row>
    <row r="18" spans="1:20">
      <c r="A18" s="1" t="s">
        <v>41</v>
      </c>
      <c r="B18" s="1">
        <v>10</v>
      </c>
      <c r="C18" s="1">
        <v>1</v>
      </c>
      <c r="D18" s="1" t="s">
        <v>22</v>
      </c>
      <c r="E18" s="1">
        <v>5</v>
      </c>
      <c r="F18" s="1">
        <v>3</v>
      </c>
      <c r="G18" s="1" t="s">
        <v>21</v>
      </c>
      <c r="H18" s="1">
        <v>8</v>
      </c>
      <c r="I18" s="1">
        <v>0</v>
      </c>
      <c r="J18" s="1" t="s">
        <v>21</v>
      </c>
      <c r="K18" s="1">
        <v>4</v>
      </c>
      <c r="L18" s="1" t="s">
        <v>23</v>
      </c>
      <c r="M18" s="1" t="s">
        <v>24</v>
      </c>
      <c r="N18" s="1" t="s">
        <v>21</v>
      </c>
      <c r="O18" s="1">
        <v>340.47999299999998</v>
      </c>
      <c r="P18" s="1">
        <v>351.647425</v>
      </c>
      <c r="Q18" s="2">
        <f t="shared" si="0"/>
        <v>3.2799084320939878E-2</v>
      </c>
      <c r="R18" s="1" t="s">
        <v>25</v>
      </c>
      <c r="S18" s="4">
        <v>19.66</v>
      </c>
      <c r="T18" s="5">
        <v>5.3499999921768897E-5</v>
      </c>
    </row>
    <row r="19" spans="1:20">
      <c r="A19" s="1" t="s">
        <v>42</v>
      </c>
      <c r="B19" s="1">
        <v>10</v>
      </c>
      <c r="C19" s="1">
        <v>2</v>
      </c>
      <c r="D19" s="1" t="s">
        <v>22</v>
      </c>
      <c r="E19" s="1">
        <v>14</v>
      </c>
      <c r="F19" s="1">
        <v>6</v>
      </c>
      <c r="G19" s="1" t="s">
        <v>21</v>
      </c>
      <c r="H19" s="1">
        <v>5</v>
      </c>
      <c r="I19" s="1">
        <v>1</v>
      </c>
      <c r="J19" s="1" t="s">
        <v>21</v>
      </c>
      <c r="K19" s="1">
        <v>1</v>
      </c>
      <c r="L19" s="1" t="s">
        <v>23</v>
      </c>
      <c r="M19" s="1" t="s">
        <v>24</v>
      </c>
      <c r="N19" s="1" t="s">
        <v>22</v>
      </c>
      <c r="O19" s="1">
        <v>140.84</v>
      </c>
      <c r="P19" s="1">
        <v>129.29232300000001</v>
      </c>
      <c r="Q19" s="2">
        <f t="shared" si="0"/>
        <v>8.1991458392502076E-2</v>
      </c>
      <c r="R19" s="1" t="s">
        <v>25</v>
      </c>
      <c r="S19" s="4">
        <v>19.38</v>
      </c>
      <c r="T19" s="5">
        <v>5.1700044423341751E-5</v>
      </c>
    </row>
    <row r="20" spans="1:20">
      <c r="A20" s="1" t="s">
        <v>43</v>
      </c>
      <c r="B20" s="1">
        <v>16</v>
      </c>
      <c r="C20" s="1">
        <v>2</v>
      </c>
      <c r="D20" s="1" t="s">
        <v>21</v>
      </c>
      <c r="E20" s="1">
        <v>12</v>
      </c>
      <c r="F20" s="1">
        <v>3</v>
      </c>
      <c r="G20" s="1" t="s">
        <v>22</v>
      </c>
      <c r="H20" s="1">
        <v>8</v>
      </c>
      <c r="I20" s="1">
        <v>0</v>
      </c>
      <c r="J20" s="1" t="s">
        <v>21</v>
      </c>
      <c r="K20" s="1">
        <v>4</v>
      </c>
      <c r="L20" s="1" t="s">
        <v>23</v>
      </c>
      <c r="M20" s="1" t="s">
        <v>24</v>
      </c>
      <c r="N20" s="1" t="s">
        <v>21</v>
      </c>
      <c r="O20" s="1">
        <v>385.27999299999999</v>
      </c>
      <c r="P20" s="1">
        <v>370.90931899999998</v>
      </c>
      <c r="Q20" s="2">
        <f t="shared" si="0"/>
        <v>3.7299299888639711E-2</v>
      </c>
      <c r="R20" s="1" t="s">
        <v>25</v>
      </c>
      <c r="S20" s="4">
        <v>19.579999999999998</v>
      </c>
      <c r="T20" s="5">
        <v>5.9000041801482439E-5</v>
      </c>
    </row>
    <row r="21" spans="1:20">
      <c r="A21" s="1" t="s">
        <v>44</v>
      </c>
      <c r="B21" s="1">
        <v>14</v>
      </c>
      <c r="C21" s="1">
        <v>8</v>
      </c>
      <c r="D21" s="1" t="s">
        <v>21</v>
      </c>
      <c r="E21" s="1">
        <v>9</v>
      </c>
      <c r="F21" s="1">
        <v>6</v>
      </c>
      <c r="G21" s="1" t="s">
        <v>22</v>
      </c>
      <c r="H21" s="1">
        <v>10</v>
      </c>
      <c r="I21" s="1">
        <v>2</v>
      </c>
      <c r="J21" s="1" t="s">
        <v>21</v>
      </c>
      <c r="K21" s="1">
        <v>4</v>
      </c>
      <c r="L21" s="1" t="s">
        <v>23</v>
      </c>
      <c r="M21" s="1" t="s">
        <v>24</v>
      </c>
      <c r="N21" s="1" t="s">
        <v>22</v>
      </c>
      <c r="O21" s="1">
        <v>406.00000399999999</v>
      </c>
      <c r="P21" s="1">
        <v>427.96961700000003</v>
      </c>
      <c r="Q21" s="2">
        <f t="shared" si="0"/>
        <v>5.4112346757513918E-2</v>
      </c>
      <c r="R21" s="1" t="s">
        <v>25</v>
      </c>
      <c r="S21" s="4">
        <v>19.670000000000002</v>
      </c>
      <c r="T21" s="5">
        <v>6.4999971073120832E-5</v>
      </c>
    </row>
    <row r="22" spans="1:20">
      <c r="A22" s="1" t="s">
        <v>45</v>
      </c>
      <c r="B22" s="1">
        <v>12</v>
      </c>
      <c r="C22" s="1">
        <v>6</v>
      </c>
      <c r="D22" s="1" t="s">
        <v>21</v>
      </c>
      <c r="E22" s="1">
        <v>8</v>
      </c>
      <c r="F22" s="1">
        <v>3</v>
      </c>
      <c r="G22" s="1" t="s">
        <v>21</v>
      </c>
      <c r="H22" s="1">
        <v>5</v>
      </c>
      <c r="I22" s="1">
        <v>2</v>
      </c>
      <c r="J22" s="1" t="s">
        <v>21</v>
      </c>
      <c r="K22" s="1">
        <v>6</v>
      </c>
      <c r="L22" s="1" t="s">
        <v>23</v>
      </c>
      <c r="M22" s="1" t="s">
        <v>24</v>
      </c>
      <c r="N22" s="1" t="s">
        <v>21</v>
      </c>
      <c r="O22" s="1">
        <v>302.959993</v>
      </c>
      <c r="P22" s="1">
        <v>289.68555700000002</v>
      </c>
      <c r="Q22" s="2">
        <f t="shared" si="0"/>
        <v>4.3815805078923339E-2</v>
      </c>
      <c r="R22" s="1" t="s">
        <v>25</v>
      </c>
      <c r="S22" s="4">
        <v>19.579999999999998</v>
      </c>
      <c r="T22" s="5">
        <v>4.8500020056962967E-5</v>
      </c>
    </row>
    <row r="23" spans="1:20">
      <c r="A23" s="1" t="s">
        <v>46</v>
      </c>
      <c r="B23" s="1">
        <v>8</v>
      </c>
      <c r="C23" s="1">
        <v>4</v>
      </c>
      <c r="D23" s="1" t="s">
        <v>22</v>
      </c>
      <c r="E23" s="1">
        <v>12</v>
      </c>
      <c r="F23" s="1">
        <v>2</v>
      </c>
      <c r="G23" s="1" t="s">
        <v>21</v>
      </c>
      <c r="H23" s="1">
        <v>9</v>
      </c>
      <c r="I23" s="1">
        <v>1</v>
      </c>
      <c r="J23" s="1" t="s">
        <v>21</v>
      </c>
      <c r="K23" s="1">
        <v>3</v>
      </c>
      <c r="L23" s="1" t="s">
        <v>23</v>
      </c>
      <c r="M23" s="1" t="s">
        <v>24</v>
      </c>
      <c r="N23" s="1" t="s">
        <v>21</v>
      </c>
      <c r="O23" s="1">
        <v>328.43999400000001</v>
      </c>
      <c r="P23" s="1">
        <v>335.12223</v>
      </c>
      <c r="Q23" s="2">
        <f t="shared" si="0"/>
        <v>2.0345378522933444E-2</v>
      </c>
      <c r="R23" s="1" t="s">
        <v>25</v>
      </c>
      <c r="S23" s="4">
        <v>19.579999999999998</v>
      </c>
      <c r="T23" s="5">
        <v>5.6299963034689433E-5</v>
      </c>
    </row>
    <row r="24" spans="1:20">
      <c r="A24" s="1" t="s">
        <v>47</v>
      </c>
      <c r="B24" s="1">
        <v>16</v>
      </c>
      <c r="C24" s="1">
        <v>1</v>
      </c>
      <c r="D24" s="1" t="s">
        <v>21</v>
      </c>
      <c r="E24" s="1">
        <v>12</v>
      </c>
      <c r="F24" s="1">
        <v>2</v>
      </c>
      <c r="G24" s="1" t="s">
        <v>21</v>
      </c>
      <c r="H24" s="1">
        <v>8</v>
      </c>
      <c r="I24" s="1">
        <v>3</v>
      </c>
      <c r="J24" s="1" t="s">
        <v>21</v>
      </c>
      <c r="K24" s="1">
        <v>1</v>
      </c>
      <c r="L24" s="1" t="s">
        <v>23</v>
      </c>
      <c r="M24" s="1" t="s">
        <v>24</v>
      </c>
      <c r="N24" s="1" t="s">
        <v>21</v>
      </c>
      <c r="O24" s="1">
        <v>175.27999800000001</v>
      </c>
      <c r="P24" s="1">
        <v>150.27322100000001</v>
      </c>
      <c r="Q24" s="2">
        <f t="shared" si="0"/>
        <v>0.14266760203865361</v>
      </c>
      <c r="R24" s="1" t="s">
        <v>25</v>
      </c>
      <c r="S24" s="4">
        <v>19.05</v>
      </c>
      <c r="T24" s="5">
        <v>5.3399999160319567E-5</v>
      </c>
    </row>
    <row r="25" spans="1:20">
      <c r="A25" s="1" t="s">
        <v>48</v>
      </c>
      <c r="B25" s="1">
        <v>9</v>
      </c>
      <c r="C25" s="1">
        <v>3</v>
      </c>
      <c r="D25" s="1" t="s">
        <v>21</v>
      </c>
      <c r="E25" s="1">
        <v>8</v>
      </c>
      <c r="F25" s="1">
        <v>2</v>
      </c>
      <c r="G25" s="1" t="s">
        <v>21</v>
      </c>
      <c r="H25" s="1">
        <v>16</v>
      </c>
      <c r="I25" s="1">
        <v>6</v>
      </c>
      <c r="J25" s="1" t="s">
        <v>21</v>
      </c>
      <c r="K25" s="1">
        <v>0</v>
      </c>
      <c r="L25" s="1" t="s">
        <v>23</v>
      </c>
      <c r="M25" s="1" t="s">
        <v>24</v>
      </c>
      <c r="N25" s="1" t="s">
        <v>22</v>
      </c>
      <c r="O25" s="1">
        <v>175.56</v>
      </c>
      <c r="P25" s="1">
        <v>172.51763299999999</v>
      </c>
      <c r="Q25" s="2">
        <f t="shared" si="0"/>
        <v>1.7329499886078906E-2</v>
      </c>
      <c r="R25" s="1" t="s">
        <v>25</v>
      </c>
      <c r="S25" s="4">
        <v>19.690000000000001</v>
      </c>
      <c r="T25" s="5">
        <v>5.1599985454231501E-5</v>
      </c>
    </row>
    <row r="26" spans="1:20">
      <c r="A26" s="1" t="s">
        <v>49</v>
      </c>
      <c r="B26" s="1">
        <v>6</v>
      </c>
      <c r="C26" s="1">
        <v>1</v>
      </c>
      <c r="D26" s="1" t="s">
        <v>22</v>
      </c>
      <c r="E26" s="1">
        <v>8</v>
      </c>
      <c r="F26" s="1">
        <v>1</v>
      </c>
      <c r="G26" s="1" t="s">
        <v>22</v>
      </c>
      <c r="H26" s="1">
        <v>9</v>
      </c>
      <c r="I26" s="1">
        <v>0</v>
      </c>
      <c r="J26" s="1" t="s">
        <v>22</v>
      </c>
      <c r="K26" s="1">
        <v>0</v>
      </c>
      <c r="L26" s="1" t="s">
        <v>23</v>
      </c>
      <c r="M26" s="1" t="s">
        <v>24</v>
      </c>
      <c r="N26" s="1" t="s">
        <v>21</v>
      </c>
      <c r="O26" s="1">
        <v>135.52000000000001</v>
      </c>
      <c r="P26" s="1">
        <v>140.54964699999999</v>
      </c>
      <c r="Q26" s="2">
        <f t="shared" si="0"/>
        <v>3.7113688016528798E-2</v>
      </c>
      <c r="R26" s="1" t="s">
        <v>25</v>
      </c>
      <c r="S26" s="4">
        <v>19.96</v>
      </c>
      <c r="T26" s="5">
        <v>5.2099989261478192E-5</v>
      </c>
    </row>
    <row r="27" spans="1:20">
      <c r="A27" s="1" t="s">
        <v>50</v>
      </c>
      <c r="B27" s="1">
        <v>6</v>
      </c>
      <c r="C27" s="1">
        <v>3</v>
      </c>
      <c r="D27" s="1" t="s">
        <v>22</v>
      </c>
      <c r="E27" s="1">
        <v>12</v>
      </c>
      <c r="F27" s="1">
        <v>2</v>
      </c>
      <c r="G27" s="1" t="s">
        <v>21</v>
      </c>
      <c r="H27" s="1">
        <v>16</v>
      </c>
      <c r="I27" s="1">
        <v>2</v>
      </c>
      <c r="J27" s="1" t="s">
        <v>21</v>
      </c>
      <c r="K27" s="1">
        <v>4</v>
      </c>
      <c r="L27" s="1" t="s">
        <v>23</v>
      </c>
      <c r="M27" s="1" t="s">
        <v>24</v>
      </c>
      <c r="N27" s="1" t="s">
        <v>22</v>
      </c>
      <c r="O27" s="1">
        <v>550.76000699999997</v>
      </c>
      <c r="P27" s="1">
        <v>595.29775199999995</v>
      </c>
      <c r="Q27" s="2">
        <f t="shared" si="0"/>
        <v>8.086597507796163E-2</v>
      </c>
      <c r="R27" s="1" t="s">
        <v>25</v>
      </c>
      <c r="S27" s="4">
        <v>20.04</v>
      </c>
      <c r="T27" s="5">
        <v>6.0499995015561581E-5</v>
      </c>
    </row>
    <row r="28" spans="1:20">
      <c r="A28" s="1" t="s">
        <v>51</v>
      </c>
      <c r="B28" s="1">
        <v>16</v>
      </c>
      <c r="C28" s="1">
        <v>3</v>
      </c>
      <c r="D28" s="1" t="s">
        <v>22</v>
      </c>
      <c r="E28" s="1">
        <v>5</v>
      </c>
      <c r="F28" s="1">
        <v>1</v>
      </c>
      <c r="G28" s="1" t="s">
        <v>22</v>
      </c>
      <c r="H28" s="1">
        <v>12</v>
      </c>
      <c r="I28" s="1">
        <v>0</v>
      </c>
      <c r="J28" s="1" t="s">
        <v>22</v>
      </c>
      <c r="K28" s="1">
        <v>2</v>
      </c>
      <c r="L28" s="1" t="s">
        <v>23</v>
      </c>
      <c r="M28" s="1" t="s">
        <v>24</v>
      </c>
      <c r="N28" s="1" t="s">
        <v>21</v>
      </c>
      <c r="O28" s="1">
        <v>338.79999400000003</v>
      </c>
      <c r="P28" s="1">
        <v>334.89485400000001</v>
      </c>
      <c r="Q28" s="2">
        <f t="shared" si="0"/>
        <v>1.1526387453241858E-2</v>
      </c>
      <c r="R28" s="1" t="s">
        <v>25</v>
      </c>
      <c r="S28" s="4">
        <v>19.47</v>
      </c>
      <c r="T28" s="5">
        <v>6.6300039179623127E-5</v>
      </c>
    </row>
    <row r="29" spans="1:20">
      <c r="A29" s="1" t="s">
        <v>52</v>
      </c>
      <c r="B29" s="1">
        <v>9</v>
      </c>
      <c r="C29" s="1">
        <v>3</v>
      </c>
      <c r="D29" s="1" t="s">
        <v>22</v>
      </c>
      <c r="E29" s="1">
        <v>9</v>
      </c>
      <c r="F29" s="1">
        <v>6</v>
      </c>
      <c r="G29" s="1" t="s">
        <v>21</v>
      </c>
      <c r="H29" s="1">
        <v>16</v>
      </c>
      <c r="I29" s="1">
        <v>3</v>
      </c>
      <c r="J29" s="1" t="s">
        <v>21</v>
      </c>
      <c r="K29" s="1">
        <v>2</v>
      </c>
      <c r="L29" s="1" t="s">
        <v>23</v>
      </c>
      <c r="M29" s="1" t="s">
        <v>24</v>
      </c>
      <c r="N29" s="1" t="s">
        <v>22</v>
      </c>
      <c r="O29" s="1">
        <v>349.16000300000002</v>
      </c>
      <c r="P29" s="1">
        <v>359.517538</v>
      </c>
      <c r="Q29" s="2">
        <f t="shared" si="0"/>
        <v>2.9664150850634469E-2</v>
      </c>
      <c r="R29" s="1" t="s">
        <v>25</v>
      </c>
      <c r="S29" s="4">
        <v>19.7</v>
      </c>
      <c r="T29" s="5">
        <v>5.5700016673654318E-5</v>
      </c>
    </row>
    <row r="30" spans="1:20">
      <c r="A30" s="1" t="s">
        <v>53</v>
      </c>
      <c r="B30" s="1">
        <v>14</v>
      </c>
      <c r="C30" s="1">
        <v>3</v>
      </c>
      <c r="D30" s="1" t="s">
        <v>21</v>
      </c>
      <c r="E30" s="1">
        <v>12</v>
      </c>
      <c r="F30" s="1">
        <v>0</v>
      </c>
      <c r="G30" s="1" t="s">
        <v>22</v>
      </c>
      <c r="H30" s="1">
        <v>12</v>
      </c>
      <c r="I30" s="1">
        <v>2</v>
      </c>
      <c r="J30" s="1" t="s">
        <v>21</v>
      </c>
      <c r="K30" s="1">
        <v>1</v>
      </c>
      <c r="L30" s="1" t="s">
        <v>23</v>
      </c>
      <c r="M30" s="1" t="s">
        <v>24</v>
      </c>
      <c r="N30" s="1" t="s">
        <v>21</v>
      </c>
      <c r="O30" s="1">
        <v>257.879997</v>
      </c>
      <c r="P30" s="1">
        <v>248.36247599999999</v>
      </c>
      <c r="Q30" s="2">
        <f t="shared" si="0"/>
        <v>3.690678265363876E-2</v>
      </c>
      <c r="R30" s="1" t="s">
        <v>25</v>
      </c>
      <c r="S30" s="4">
        <v>19.46</v>
      </c>
      <c r="T30" s="5">
        <v>6.0799997299909592E-5</v>
      </c>
    </row>
    <row r="31" spans="1:20">
      <c r="A31" s="1" t="s">
        <v>54</v>
      </c>
      <c r="B31" s="1">
        <v>9</v>
      </c>
      <c r="C31" s="1">
        <v>8</v>
      </c>
      <c r="D31" s="1" t="s">
        <v>21</v>
      </c>
      <c r="E31" s="1">
        <v>4</v>
      </c>
      <c r="F31" s="1">
        <v>2</v>
      </c>
      <c r="G31" s="1" t="s">
        <v>21</v>
      </c>
      <c r="H31" s="1">
        <v>9</v>
      </c>
      <c r="I31" s="1">
        <v>3</v>
      </c>
      <c r="J31" s="1" t="s">
        <v>21</v>
      </c>
      <c r="K31" s="1">
        <v>6</v>
      </c>
      <c r="L31" s="1" t="s">
        <v>23</v>
      </c>
      <c r="M31" s="1" t="s">
        <v>24</v>
      </c>
      <c r="N31" s="1" t="s">
        <v>21</v>
      </c>
      <c r="O31" s="1">
        <v>460.87998800000003</v>
      </c>
      <c r="P31" s="1">
        <v>445.883126</v>
      </c>
      <c r="Q31" s="2">
        <f t="shared" si="0"/>
        <v>3.2539625044427013E-2</v>
      </c>
      <c r="R31" s="1" t="s">
        <v>25</v>
      </c>
      <c r="S31" s="4">
        <v>19.8</v>
      </c>
      <c r="T31" s="5">
        <v>4.840001929551363E-5</v>
      </c>
    </row>
    <row r="32" spans="1:20">
      <c r="A32" s="1" t="s">
        <v>55</v>
      </c>
      <c r="B32" s="1">
        <v>9</v>
      </c>
      <c r="C32" s="1">
        <v>1</v>
      </c>
      <c r="D32" s="1" t="s">
        <v>22</v>
      </c>
      <c r="E32" s="1">
        <v>6</v>
      </c>
      <c r="F32" s="1">
        <v>0</v>
      </c>
      <c r="G32" s="1" t="s">
        <v>22</v>
      </c>
      <c r="H32" s="1">
        <v>12</v>
      </c>
      <c r="I32" s="1">
        <v>8</v>
      </c>
      <c r="J32" s="1" t="s">
        <v>22</v>
      </c>
      <c r="K32" s="1">
        <v>1</v>
      </c>
      <c r="L32" s="1" t="s">
        <v>23</v>
      </c>
      <c r="M32" s="1" t="s">
        <v>24</v>
      </c>
      <c r="N32" s="1" t="s">
        <v>22</v>
      </c>
      <c r="O32" s="1">
        <v>93.52</v>
      </c>
      <c r="P32" s="1">
        <v>86.106804999999994</v>
      </c>
      <c r="Q32" s="2">
        <f t="shared" si="0"/>
        <v>7.9268552181351606E-2</v>
      </c>
      <c r="R32" s="1" t="s">
        <v>25</v>
      </c>
      <c r="S32" s="4">
        <v>19.73</v>
      </c>
      <c r="T32" s="5">
        <v>4.7200010158121593E-5</v>
      </c>
    </row>
    <row r="33" spans="1:20">
      <c r="A33" s="1" t="s">
        <v>56</v>
      </c>
      <c r="B33" s="1">
        <v>14</v>
      </c>
      <c r="C33" s="1">
        <v>6</v>
      </c>
      <c r="D33" s="1" t="s">
        <v>21</v>
      </c>
      <c r="E33" s="1">
        <v>12</v>
      </c>
      <c r="F33" s="1">
        <v>4</v>
      </c>
      <c r="G33" s="1" t="s">
        <v>22</v>
      </c>
      <c r="H33" s="1">
        <v>16</v>
      </c>
      <c r="I33" s="1">
        <v>8</v>
      </c>
      <c r="J33" s="1" t="s">
        <v>21</v>
      </c>
      <c r="K33" s="1">
        <v>2</v>
      </c>
      <c r="L33" s="1" t="s">
        <v>23</v>
      </c>
      <c r="M33" s="1" t="s">
        <v>24</v>
      </c>
      <c r="N33" s="1" t="s">
        <v>21</v>
      </c>
      <c r="O33" s="1">
        <v>395.639994</v>
      </c>
      <c r="P33" s="1">
        <v>397.37887899999998</v>
      </c>
      <c r="Q33" s="2">
        <f t="shared" si="0"/>
        <v>4.3951193670273437E-3</v>
      </c>
      <c r="R33" s="1" t="s">
        <v>25</v>
      </c>
      <c r="S33" s="4">
        <v>19.86</v>
      </c>
      <c r="T33" s="5">
        <v>6.2300008721649647E-5</v>
      </c>
    </row>
    <row r="34" spans="1:20">
      <c r="A34" s="1" t="s">
        <v>57</v>
      </c>
      <c r="B34" s="1">
        <v>16</v>
      </c>
      <c r="C34" s="1">
        <v>6</v>
      </c>
      <c r="D34" s="1" t="s">
        <v>21</v>
      </c>
      <c r="E34" s="1">
        <v>8</v>
      </c>
      <c r="F34" s="1">
        <v>2</v>
      </c>
      <c r="G34" s="1" t="s">
        <v>21</v>
      </c>
      <c r="H34" s="1">
        <v>10</v>
      </c>
      <c r="I34" s="1">
        <v>0</v>
      </c>
      <c r="J34" s="1" t="s">
        <v>21</v>
      </c>
      <c r="K34" s="1">
        <v>6</v>
      </c>
      <c r="L34" s="1" t="s">
        <v>23</v>
      </c>
      <c r="M34" s="1" t="s">
        <v>24</v>
      </c>
      <c r="N34" s="1" t="s">
        <v>21</v>
      </c>
      <c r="O34" s="1">
        <v>584.63998700000002</v>
      </c>
      <c r="P34" s="1">
        <v>582.72007799999994</v>
      </c>
      <c r="Q34" s="2">
        <f t="shared" ref="Q34:Q65" si="1">ABS(P34-O34)/O34</f>
        <v>3.2839166712694853E-3</v>
      </c>
      <c r="R34" s="1" t="s">
        <v>25</v>
      </c>
      <c r="S34" s="4">
        <v>19.39</v>
      </c>
      <c r="T34" s="5">
        <v>6.2500010244548321E-5</v>
      </c>
    </row>
    <row r="35" spans="1:20">
      <c r="A35" s="1" t="s">
        <v>58</v>
      </c>
      <c r="B35" s="1">
        <v>12</v>
      </c>
      <c r="C35" s="1">
        <v>6</v>
      </c>
      <c r="D35" s="1" t="s">
        <v>22</v>
      </c>
      <c r="E35" s="1">
        <v>12</v>
      </c>
      <c r="F35" s="1">
        <v>6</v>
      </c>
      <c r="G35" s="1" t="s">
        <v>22</v>
      </c>
      <c r="H35" s="1">
        <v>5</v>
      </c>
      <c r="I35" s="1">
        <v>4</v>
      </c>
      <c r="J35" s="1" t="s">
        <v>22</v>
      </c>
      <c r="K35" s="1">
        <v>6</v>
      </c>
      <c r="L35" s="1" t="s">
        <v>23</v>
      </c>
      <c r="M35" s="1" t="s">
        <v>24</v>
      </c>
      <c r="N35" s="1" t="s">
        <v>22</v>
      </c>
      <c r="O35" s="1">
        <v>288.680003</v>
      </c>
      <c r="P35" s="1">
        <v>287.17778499999997</v>
      </c>
      <c r="Q35" s="2">
        <f t="shared" si="1"/>
        <v>5.2037480406982939E-3</v>
      </c>
      <c r="R35" s="1" t="s">
        <v>25</v>
      </c>
      <c r="S35" s="4">
        <v>19.32</v>
      </c>
      <c r="T35" s="5">
        <v>5.4699950851500028E-5</v>
      </c>
    </row>
    <row r="36" spans="1:20">
      <c r="A36" s="1" t="s">
        <v>59</v>
      </c>
      <c r="B36" s="1">
        <v>10</v>
      </c>
      <c r="C36" s="1">
        <v>6</v>
      </c>
      <c r="D36" s="1" t="s">
        <v>22</v>
      </c>
      <c r="E36" s="1">
        <v>6</v>
      </c>
      <c r="F36" s="1">
        <v>4</v>
      </c>
      <c r="G36" s="1" t="s">
        <v>22</v>
      </c>
      <c r="H36" s="1">
        <v>16</v>
      </c>
      <c r="I36" s="1">
        <v>6</v>
      </c>
      <c r="J36" s="1" t="s">
        <v>22</v>
      </c>
      <c r="K36" s="1">
        <v>1</v>
      </c>
      <c r="L36" s="1" t="s">
        <v>23</v>
      </c>
      <c r="M36" s="1" t="s">
        <v>24</v>
      </c>
      <c r="N36" s="1" t="s">
        <v>21</v>
      </c>
      <c r="O36" s="1">
        <v>250.319996</v>
      </c>
      <c r="P36" s="1">
        <v>246.14996600000001</v>
      </c>
      <c r="Q36" s="2">
        <f t="shared" si="1"/>
        <v>1.6658797006372583E-2</v>
      </c>
      <c r="R36" s="1" t="s">
        <v>25</v>
      </c>
      <c r="S36" s="4">
        <v>19.62</v>
      </c>
      <c r="T36" s="5">
        <v>5.8000034186989069E-5</v>
      </c>
    </row>
    <row r="37" spans="1:20">
      <c r="A37" s="1" t="s">
        <v>60</v>
      </c>
      <c r="B37" s="1">
        <v>10</v>
      </c>
      <c r="C37" s="1">
        <v>4</v>
      </c>
      <c r="D37" s="1" t="s">
        <v>22</v>
      </c>
      <c r="E37" s="1">
        <v>12</v>
      </c>
      <c r="F37" s="1">
        <v>4</v>
      </c>
      <c r="G37" s="1" t="s">
        <v>22</v>
      </c>
      <c r="H37" s="1">
        <v>5</v>
      </c>
      <c r="I37" s="1">
        <v>4</v>
      </c>
      <c r="J37" s="1" t="s">
        <v>22</v>
      </c>
      <c r="K37" s="1">
        <v>2</v>
      </c>
      <c r="L37" s="1" t="s">
        <v>23</v>
      </c>
      <c r="M37" s="1" t="s">
        <v>24</v>
      </c>
      <c r="N37" s="1" t="s">
        <v>21</v>
      </c>
      <c r="O37" s="1">
        <v>160.439998</v>
      </c>
      <c r="P37" s="1">
        <v>150.98819800000001</v>
      </c>
      <c r="Q37" s="2">
        <f t="shared" si="1"/>
        <v>5.8911743441931425E-2</v>
      </c>
      <c r="R37" s="1" t="s">
        <v>25</v>
      </c>
      <c r="S37" s="4">
        <v>19.809999999999999</v>
      </c>
      <c r="T37" s="5">
        <v>4.9199967179447412E-5</v>
      </c>
    </row>
    <row r="38" spans="1:20">
      <c r="A38" s="1" t="s">
        <v>61</v>
      </c>
      <c r="B38" s="1">
        <v>8</v>
      </c>
      <c r="C38" s="1">
        <v>1</v>
      </c>
      <c r="D38" s="1" t="s">
        <v>22</v>
      </c>
      <c r="E38" s="1">
        <v>10</v>
      </c>
      <c r="F38" s="1">
        <v>3</v>
      </c>
      <c r="G38" s="1" t="s">
        <v>21</v>
      </c>
      <c r="H38" s="1">
        <v>16</v>
      </c>
      <c r="I38" s="1">
        <v>2</v>
      </c>
      <c r="J38" s="1" t="s">
        <v>21</v>
      </c>
      <c r="K38" s="1">
        <v>3</v>
      </c>
      <c r="L38" s="1" t="s">
        <v>23</v>
      </c>
      <c r="M38" s="1" t="s">
        <v>24</v>
      </c>
      <c r="N38" s="1" t="s">
        <v>21</v>
      </c>
      <c r="O38" s="1">
        <v>489.71999</v>
      </c>
      <c r="P38" s="1">
        <v>483.85489699999999</v>
      </c>
      <c r="Q38" s="2">
        <f t="shared" si="1"/>
        <v>1.1976421464845659E-2</v>
      </c>
      <c r="R38" s="1" t="s">
        <v>25</v>
      </c>
      <c r="S38" s="4">
        <v>19.95</v>
      </c>
      <c r="T38" s="5">
        <v>5.3199997637420893E-5</v>
      </c>
    </row>
    <row r="39" spans="1:20">
      <c r="A39" s="1" t="s">
        <v>62</v>
      </c>
      <c r="B39" s="1">
        <v>6</v>
      </c>
      <c r="C39" s="1">
        <v>2</v>
      </c>
      <c r="D39" s="1" t="s">
        <v>22</v>
      </c>
      <c r="E39" s="1">
        <v>9</v>
      </c>
      <c r="F39" s="1">
        <v>6</v>
      </c>
      <c r="G39" s="1" t="s">
        <v>21</v>
      </c>
      <c r="H39" s="1">
        <v>6</v>
      </c>
      <c r="I39" s="1">
        <v>3</v>
      </c>
      <c r="J39" s="1" t="s">
        <v>21</v>
      </c>
      <c r="K39" s="1">
        <v>0</v>
      </c>
      <c r="L39" s="1" t="s">
        <v>23</v>
      </c>
      <c r="M39" s="1" t="s">
        <v>24</v>
      </c>
      <c r="N39" s="1" t="s">
        <v>22</v>
      </c>
      <c r="O39" s="1">
        <v>94.36</v>
      </c>
      <c r="P39" s="1">
        <v>93.878128000000004</v>
      </c>
      <c r="Q39" s="2">
        <f t="shared" si="1"/>
        <v>5.106740144128822E-3</v>
      </c>
      <c r="R39" s="1" t="s">
        <v>25</v>
      </c>
      <c r="S39" s="4">
        <v>20</v>
      </c>
      <c r="T39" s="5">
        <v>4.5299995690584183E-5</v>
      </c>
    </row>
    <row r="40" spans="1:20">
      <c r="A40" s="1" t="s">
        <v>63</v>
      </c>
      <c r="B40" s="1">
        <v>9</v>
      </c>
      <c r="C40" s="1">
        <v>2</v>
      </c>
      <c r="D40" s="1" t="s">
        <v>21</v>
      </c>
      <c r="E40" s="1">
        <v>14</v>
      </c>
      <c r="F40" s="1">
        <v>3</v>
      </c>
      <c r="G40" s="1" t="s">
        <v>22</v>
      </c>
      <c r="H40" s="1">
        <v>12</v>
      </c>
      <c r="I40" s="1">
        <v>8</v>
      </c>
      <c r="J40" s="1" t="s">
        <v>21</v>
      </c>
      <c r="K40" s="1">
        <v>6</v>
      </c>
      <c r="L40" s="1" t="s">
        <v>23</v>
      </c>
      <c r="M40" s="1" t="s">
        <v>24</v>
      </c>
      <c r="N40" s="1" t="s">
        <v>21</v>
      </c>
      <c r="O40" s="1">
        <v>396.19999100000001</v>
      </c>
      <c r="P40" s="1">
        <v>383.201277</v>
      </c>
      <c r="Q40" s="2">
        <f t="shared" si="1"/>
        <v>3.2808466166774866E-2</v>
      </c>
      <c r="R40" s="1" t="s">
        <v>25</v>
      </c>
      <c r="S40" s="4">
        <v>19.510000000000002</v>
      </c>
      <c r="T40" s="5">
        <v>5.2099989261478192E-5</v>
      </c>
    </row>
    <row r="41" spans="1:20">
      <c r="A41" s="1" t="s">
        <v>64</v>
      </c>
      <c r="B41" s="1">
        <v>9</v>
      </c>
      <c r="C41" s="1">
        <v>4</v>
      </c>
      <c r="D41" s="1" t="s">
        <v>21</v>
      </c>
      <c r="E41" s="1">
        <v>10</v>
      </c>
      <c r="F41" s="1">
        <v>0</v>
      </c>
      <c r="G41" s="1" t="s">
        <v>21</v>
      </c>
      <c r="H41" s="1">
        <v>8</v>
      </c>
      <c r="I41" s="1">
        <v>2</v>
      </c>
      <c r="J41" s="1" t="s">
        <v>21</v>
      </c>
      <c r="K41" s="1">
        <v>0</v>
      </c>
      <c r="L41" s="1" t="s">
        <v>23</v>
      </c>
      <c r="M41" s="1" t="s">
        <v>24</v>
      </c>
      <c r="N41" s="1" t="s">
        <v>21</v>
      </c>
      <c r="O41" s="1">
        <v>105.84</v>
      </c>
      <c r="P41" s="1">
        <v>105.05607999999999</v>
      </c>
      <c r="Q41" s="2">
        <f t="shared" si="1"/>
        <v>7.4066515495087781E-3</v>
      </c>
      <c r="R41" s="1" t="s">
        <v>25</v>
      </c>
      <c r="S41" s="4">
        <v>19.79</v>
      </c>
      <c r="T41" s="5">
        <v>5.2199990022927523E-5</v>
      </c>
    </row>
    <row r="42" spans="1:20">
      <c r="A42" s="1" t="s">
        <v>65</v>
      </c>
      <c r="B42" s="1">
        <v>10</v>
      </c>
      <c r="C42" s="1">
        <v>6</v>
      </c>
      <c r="D42" s="1" t="s">
        <v>21</v>
      </c>
      <c r="E42" s="1">
        <v>8</v>
      </c>
      <c r="F42" s="1">
        <v>0</v>
      </c>
      <c r="G42" s="1" t="s">
        <v>22</v>
      </c>
      <c r="H42" s="1">
        <v>5</v>
      </c>
      <c r="I42" s="1">
        <v>0</v>
      </c>
      <c r="J42" s="1" t="s">
        <v>21</v>
      </c>
      <c r="K42" s="1">
        <v>3</v>
      </c>
      <c r="L42" s="1" t="s">
        <v>23</v>
      </c>
      <c r="M42" s="1" t="s">
        <v>24</v>
      </c>
      <c r="N42" s="1" t="s">
        <v>21</v>
      </c>
      <c r="O42" s="1">
        <v>172.199996</v>
      </c>
      <c r="P42" s="1">
        <v>171.388667</v>
      </c>
      <c r="Q42" s="2">
        <f t="shared" si="1"/>
        <v>4.7115506320917723E-3</v>
      </c>
      <c r="R42" s="1" t="s">
        <v>25</v>
      </c>
      <c r="S42" s="4">
        <v>19.79</v>
      </c>
      <c r="T42" s="5">
        <v>4.8700021579861641E-5</v>
      </c>
    </row>
    <row r="43" spans="1:20">
      <c r="A43" s="1" t="s">
        <v>66</v>
      </c>
      <c r="B43" s="1">
        <v>16</v>
      </c>
      <c r="C43" s="1">
        <v>6</v>
      </c>
      <c r="D43" s="1" t="s">
        <v>22</v>
      </c>
      <c r="E43" s="1">
        <v>6</v>
      </c>
      <c r="F43" s="1">
        <v>2</v>
      </c>
      <c r="G43" s="1" t="s">
        <v>22</v>
      </c>
      <c r="H43" s="1">
        <v>10</v>
      </c>
      <c r="I43" s="1">
        <v>6</v>
      </c>
      <c r="J43" s="1" t="s">
        <v>22</v>
      </c>
      <c r="K43" s="1">
        <v>0</v>
      </c>
      <c r="L43" s="1" t="s">
        <v>23</v>
      </c>
      <c r="M43" s="1" t="s">
        <v>24</v>
      </c>
      <c r="N43" s="1" t="s">
        <v>22</v>
      </c>
      <c r="O43" s="1">
        <v>127.679999</v>
      </c>
      <c r="P43" s="1">
        <v>113.30721699999999</v>
      </c>
      <c r="Q43" s="2">
        <f t="shared" si="1"/>
        <v>0.11256878220996855</v>
      </c>
      <c r="R43" s="1" t="s">
        <v>25</v>
      </c>
      <c r="S43" s="4">
        <v>19.8</v>
      </c>
      <c r="T43" s="5">
        <v>6.4099964220076799E-5</v>
      </c>
    </row>
    <row r="44" spans="1:20">
      <c r="A44" s="1" t="s">
        <v>67</v>
      </c>
      <c r="B44" s="1">
        <v>9</v>
      </c>
      <c r="C44" s="1">
        <v>6</v>
      </c>
      <c r="D44" s="1" t="s">
        <v>21</v>
      </c>
      <c r="E44" s="1">
        <v>8</v>
      </c>
      <c r="F44" s="1">
        <v>1</v>
      </c>
      <c r="G44" s="1" t="s">
        <v>22</v>
      </c>
      <c r="H44" s="1">
        <v>10</v>
      </c>
      <c r="I44" s="1">
        <v>8</v>
      </c>
      <c r="J44" s="1" t="s">
        <v>21</v>
      </c>
      <c r="K44" s="1">
        <v>3</v>
      </c>
      <c r="L44" s="1" t="s">
        <v>23</v>
      </c>
      <c r="M44" s="1" t="s">
        <v>24</v>
      </c>
      <c r="N44" s="1" t="s">
        <v>22</v>
      </c>
      <c r="O44" s="1">
        <v>194.32000199999999</v>
      </c>
      <c r="P44" s="1">
        <v>196.58944299999999</v>
      </c>
      <c r="Q44" s="2">
        <f t="shared" si="1"/>
        <v>1.1678885223560262E-2</v>
      </c>
      <c r="R44" s="1" t="s">
        <v>25</v>
      </c>
      <c r="S44" s="4">
        <v>19.25</v>
      </c>
      <c r="T44" s="5">
        <v>5.3199997637420893E-5</v>
      </c>
    </row>
    <row r="45" spans="1:20">
      <c r="A45" s="1" t="s">
        <v>68</v>
      </c>
      <c r="B45" s="1">
        <v>14</v>
      </c>
      <c r="C45" s="1">
        <v>6</v>
      </c>
      <c r="D45" s="1" t="s">
        <v>22</v>
      </c>
      <c r="E45" s="1">
        <v>5</v>
      </c>
      <c r="F45" s="1">
        <v>4</v>
      </c>
      <c r="G45" s="1" t="s">
        <v>21</v>
      </c>
      <c r="H45" s="1">
        <v>16</v>
      </c>
      <c r="I45" s="1">
        <v>8</v>
      </c>
      <c r="J45" s="1" t="s">
        <v>21</v>
      </c>
      <c r="K45" s="1">
        <v>1</v>
      </c>
      <c r="L45" s="1" t="s">
        <v>23</v>
      </c>
      <c r="M45" s="1" t="s">
        <v>24</v>
      </c>
      <c r="N45" s="1" t="s">
        <v>22</v>
      </c>
      <c r="O45" s="1">
        <v>257.32000099999999</v>
      </c>
      <c r="P45" s="1">
        <v>281.85359999999997</v>
      </c>
      <c r="Q45" s="2">
        <f t="shared" si="1"/>
        <v>9.5342759617041903E-2</v>
      </c>
      <c r="R45" s="1" t="s">
        <v>25</v>
      </c>
      <c r="S45" s="4">
        <v>19.510000000000002</v>
      </c>
      <c r="T45" s="5">
        <v>1.210999907925725E-4</v>
      </c>
    </row>
    <row r="46" spans="1:20">
      <c r="A46" s="1" t="s">
        <v>69</v>
      </c>
      <c r="B46" s="1">
        <v>6</v>
      </c>
      <c r="C46" s="1">
        <v>4</v>
      </c>
      <c r="D46" s="1" t="s">
        <v>22</v>
      </c>
      <c r="E46" s="1">
        <v>10</v>
      </c>
      <c r="F46" s="1">
        <v>3</v>
      </c>
      <c r="G46" s="1" t="s">
        <v>22</v>
      </c>
      <c r="H46" s="1">
        <v>9</v>
      </c>
      <c r="I46" s="1">
        <v>3</v>
      </c>
      <c r="J46" s="1" t="s">
        <v>22</v>
      </c>
      <c r="K46" s="1">
        <v>1</v>
      </c>
      <c r="L46" s="1" t="s">
        <v>23</v>
      </c>
      <c r="M46" s="1" t="s">
        <v>24</v>
      </c>
      <c r="N46" s="1" t="s">
        <v>22</v>
      </c>
      <c r="O46" s="1">
        <v>179.20000099999999</v>
      </c>
      <c r="P46" s="1">
        <v>183.22450499999999</v>
      </c>
      <c r="Q46" s="2">
        <f t="shared" si="1"/>
        <v>2.2458169517532579E-2</v>
      </c>
      <c r="R46" s="1" t="s">
        <v>25</v>
      </c>
      <c r="S46" s="4">
        <v>19.23</v>
      </c>
      <c r="T46" s="5">
        <v>5.4800009820610278E-5</v>
      </c>
    </row>
    <row r="47" spans="1:20">
      <c r="A47" s="1" t="s">
        <v>70</v>
      </c>
      <c r="B47" s="1">
        <v>14</v>
      </c>
      <c r="C47" s="1">
        <v>8</v>
      </c>
      <c r="D47" s="1" t="s">
        <v>22</v>
      </c>
      <c r="E47" s="1">
        <v>14</v>
      </c>
      <c r="F47" s="1">
        <v>4</v>
      </c>
      <c r="G47" s="1" t="s">
        <v>21</v>
      </c>
      <c r="H47" s="1">
        <v>12</v>
      </c>
      <c r="I47" s="1">
        <v>1</v>
      </c>
      <c r="J47" s="1" t="s">
        <v>21</v>
      </c>
      <c r="K47" s="1">
        <v>3</v>
      </c>
      <c r="L47" s="1" t="s">
        <v>23</v>
      </c>
      <c r="M47" s="1" t="s">
        <v>24</v>
      </c>
      <c r="N47" s="1" t="s">
        <v>22</v>
      </c>
      <c r="O47" s="1">
        <v>414.12000399999999</v>
      </c>
      <c r="P47" s="1">
        <v>446.81698399999999</v>
      </c>
      <c r="Q47" s="2">
        <f t="shared" si="1"/>
        <v>7.895532619573721E-2</v>
      </c>
      <c r="R47" s="1" t="s">
        <v>25</v>
      </c>
      <c r="S47" s="4">
        <v>19.77</v>
      </c>
      <c r="T47" s="5">
        <v>7.1700022090226412E-5</v>
      </c>
    </row>
    <row r="48" spans="1:20">
      <c r="A48" s="1" t="s">
        <v>71</v>
      </c>
      <c r="B48" s="1">
        <v>10</v>
      </c>
      <c r="C48" s="1">
        <v>8</v>
      </c>
      <c r="D48" s="1" t="s">
        <v>21</v>
      </c>
      <c r="E48" s="1">
        <v>6</v>
      </c>
      <c r="F48" s="1">
        <v>4</v>
      </c>
      <c r="G48" s="1" t="s">
        <v>22</v>
      </c>
      <c r="H48" s="1">
        <v>12</v>
      </c>
      <c r="I48" s="1">
        <v>4</v>
      </c>
      <c r="J48" s="1" t="s">
        <v>21</v>
      </c>
      <c r="K48" s="1">
        <v>1</v>
      </c>
      <c r="L48" s="1" t="s">
        <v>23</v>
      </c>
      <c r="M48" s="1" t="s">
        <v>24</v>
      </c>
      <c r="N48" s="1" t="s">
        <v>21</v>
      </c>
      <c r="O48" s="1">
        <v>206.35999699999999</v>
      </c>
      <c r="P48" s="1">
        <v>201.43299999999999</v>
      </c>
      <c r="Q48" s="2">
        <f t="shared" si="1"/>
        <v>2.3875736923954307E-2</v>
      </c>
      <c r="R48" s="1" t="s">
        <v>25</v>
      </c>
      <c r="S48" s="4">
        <v>19.22</v>
      </c>
      <c r="T48" s="5">
        <v>4.9700029194355011E-5</v>
      </c>
    </row>
    <row r="49" spans="1:20">
      <c r="A49" s="1" t="s">
        <v>72</v>
      </c>
      <c r="B49" s="1">
        <v>8</v>
      </c>
      <c r="C49" s="1">
        <v>3</v>
      </c>
      <c r="D49" s="1" t="s">
        <v>21</v>
      </c>
      <c r="E49" s="1">
        <v>12</v>
      </c>
      <c r="F49" s="1">
        <v>6</v>
      </c>
      <c r="G49" s="1" t="s">
        <v>21</v>
      </c>
      <c r="H49" s="1">
        <v>16</v>
      </c>
      <c r="I49" s="1">
        <v>6</v>
      </c>
      <c r="J49" s="1" t="s">
        <v>21</v>
      </c>
      <c r="K49" s="1">
        <v>4</v>
      </c>
      <c r="L49" s="1" t="s">
        <v>23</v>
      </c>
      <c r="M49" s="1" t="s">
        <v>24</v>
      </c>
      <c r="N49" s="1" t="s">
        <v>22</v>
      </c>
      <c r="O49" s="1">
        <v>572.88000699999998</v>
      </c>
      <c r="P49" s="1">
        <v>566.88924299999996</v>
      </c>
      <c r="Q49" s="2">
        <f t="shared" si="1"/>
        <v>1.0457275392401698E-2</v>
      </c>
      <c r="R49" s="1" t="s">
        <v>25</v>
      </c>
      <c r="S49" s="4">
        <v>19.47</v>
      </c>
      <c r="T49" s="5">
        <v>5.9799989685416222E-5</v>
      </c>
    </row>
    <row r="50" spans="1:20">
      <c r="A50" s="1" t="s">
        <v>73</v>
      </c>
      <c r="B50" s="1">
        <v>12</v>
      </c>
      <c r="C50" s="1">
        <v>8</v>
      </c>
      <c r="D50" s="1" t="s">
        <v>21</v>
      </c>
      <c r="E50" s="1">
        <v>8</v>
      </c>
      <c r="F50" s="1">
        <v>6</v>
      </c>
      <c r="G50" s="1" t="s">
        <v>22</v>
      </c>
      <c r="H50" s="1">
        <v>5</v>
      </c>
      <c r="I50" s="1">
        <v>1</v>
      </c>
      <c r="J50" s="1" t="s">
        <v>21</v>
      </c>
      <c r="K50" s="1">
        <v>3</v>
      </c>
      <c r="L50" s="1" t="s">
        <v>23</v>
      </c>
      <c r="M50" s="1" t="s">
        <v>24</v>
      </c>
      <c r="N50" s="1" t="s">
        <v>21</v>
      </c>
      <c r="O50" s="1">
        <v>224.27999700000001</v>
      </c>
      <c r="P50" s="1">
        <v>235.25930600000001</v>
      </c>
      <c r="Q50" s="2">
        <f t="shared" si="1"/>
        <v>4.8953581000805879E-2</v>
      </c>
      <c r="R50" s="1" t="s">
        <v>25</v>
      </c>
      <c r="S50" s="4">
        <v>19.38</v>
      </c>
      <c r="T50" s="5">
        <v>5.6999968364834792E-5</v>
      </c>
    </row>
    <row r="51" spans="1:20">
      <c r="A51" s="1" t="s">
        <v>74</v>
      </c>
      <c r="B51" s="1">
        <v>9</v>
      </c>
      <c r="C51" s="1">
        <v>6</v>
      </c>
      <c r="D51" s="1" t="s">
        <v>22</v>
      </c>
      <c r="E51" s="1">
        <v>10</v>
      </c>
      <c r="F51" s="1">
        <v>0</v>
      </c>
      <c r="G51" s="1" t="s">
        <v>22</v>
      </c>
      <c r="H51" s="1">
        <v>10</v>
      </c>
      <c r="I51" s="1">
        <v>8</v>
      </c>
      <c r="J51" s="1" t="s">
        <v>22</v>
      </c>
      <c r="K51" s="1">
        <v>3</v>
      </c>
      <c r="L51" s="1" t="s">
        <v>23</v>
      </c>
      <c r="M51" s="1" t="s">
        <v>24</v>
      </c>
      <c r="N51" s="1" t="s">
        <v>22</v>
      </c>
      <c r="O51" s="1">
        <v>177.800003</v>
      </c>
      <c r="P51" s="1">
        <v>182.06277600000001</v>
      </c>
      <c r="Q51" s="2">
        <f t="shared" si="1"/>
        <v>2.3975100832816128E-2</v>
      </c>
      <c r="R51" s="1" t="s">
        <v>25</v>
      </c>
      <c r="S51" s="4">
        <v>19.55</v>
      </c>
      <c r="T51" s="5">
        <v>5.819997750222683E-5</v>
      </c>
    </row>
    <row r="52" spans="1:20">
      <c r="A52" s="1" t="s">
        <v>75</v>
      </c>
      <c r="B52" s="1">
        <v>9</v>
      </c>
      <c r="C52" s="1">
        <v>8</v>
      </c>
      <c r="D52" s="1" t="s">
        <v>22</v>
      </c>
      <c r="E52" s="1">
        <v>9</v>
      </c>
      <c r="F52" s="1">
        <v>0</v>
      </c>
      <c r="G52" s="1" t="s">
        <v>21</v>
      </c>
      <c r="H52" s="1">
        <v>12</v>
      </c>
      <c r="I52" s="1">
        <v>4</v>
      </c>
      <c r="J52" s="1" t="s">
        <v>21</v>
      </c>
      <c r="K52" s="1">
        <v>2</v>
      </c>
      <c r="L52" s="1" t="s">
        <v>23</v>
      </c>
      <c r="M52" s="1" t="s">
        <v>24</v>
      </c>
      <c r="N52" s="1" t="s">
        <v>21</v>
      </c>
      <c r="O52" s="1">
        <v>264.03999499999998</v>
      </c>
      <c r="P52" s="1">
        <v>295.33049099999999</v>
      </c>
      <c r="Q52" s="2">
        <f t="shared" si="1"/>
        <v>0.11850665275160312</v>
      </c>
      <c r="R52" s="1" t="s">
        <v>25</v>
      </c>
      <c r="S52" s="4">
        <v>19.68</v>
      </c>
      <c r="T52" s="5">
        <v>6.2800012528896332E-5</v>
      </c>
    </row>
    <row r="53" spans="1:20">
      <c r="A53" s="1" t="s">
        <v>76</v>
      </c>
      <c r="B53" s="1">
        <v>12</v>
      </c>
      <c r="C53" s="1">
        <v>1</v>
      </c>
      <c r="D53" s="1" t="s">
        <v>22</v>
      </c>
      <c r="E53" s="1">
        <v>6</v>
      </c>
      <c r="F53" s="1">
        <v>2</v>
      </c>
      <c r="G53" s="1" t="s">
        <v>21</v>
      </c>
      <c r="H53" s="1">
        <v>5</v>
      </c>
      <c r="I53" s="1">
        <v>0</v>
      </c>
      <c r="J53" s="1" t="s">
        <v>21</v>
      </c>
      <c r="K53" s="1">
        <v>6</v>
      </c>
      <c r="L53" s="1" t="s">
        <v>23</v>
      </c>
      <c r="M53" s="1" t="s">
        <v>24</v>
      </c>
      <c r="N53" s="1" t="s">
        <v>21</v>
      </c>
      <c r="O53" s="1">
        <v>290.91999399999997</v>
      </c>
      <c r="P53" s="1">
        <v>286.98394400000001</v>
      </c>
      <c r="Q53" s="2">
        <f t="shared" si="1"/>
        <v>1.3529664791619536E-2</v>
      </c>
      <c r="R53" s="1" t="s">
        <v>25</v>
      </c>
      <c r="S53" s="4">
        <v>19.11</v>
      </c>
      <c r="T53" s="5">
        <v>5.1499984692782157E-5</v>
      </c>
    </row>
    <row r="54" spans="1:20">
      <c r="A54" s="1" t="s">
        <v>77</v>
      </c>
      <c r="B54" s="1">
        <v>16</v>
      </c>
      <c r="C54" s="1">
        <v>4</v>
      </c>
      <c r="D54" s="1" t="s">
        <v>21</v>
      </c>
      <c r="E54" s="1">
        <v>8</v>
      </c>
      <c r="F54" s="1">
        <v>4</v>
      </c>
      <c r="G54" s="1" t="s">
        <v>21</v>
      </c>
      <c r="H54" s="1">
        <v>5</v>
      </c>
      <c r="I54" s="1">
        <v>3</v>
      </c>
      <c r="J54" s="1" t="s">
        <v>21</v>
      </c>
      <c r="K54" s="1">
        <v>0</v>
      </c>
      <c r="L54" s="1" t="s">
        <v>23</v>
      </c>
      <c r="M54" s="1" t="s">
        <v>24</v>
      </c>
      <c r="N54" s="1" t="s">
        <v>21</v>
      </c>
      <c r="O54" s="1">
        <v>93.52</v>
      </c>
      <c r="P54" s="1">
        <v>97.022820999999993</v>
      </c>
      <c r="Q54" s="2">
        <f t="shared" si="1"/>
        <v>3.7455314371257459E-2</v>
      </c>
      <c r="R54" s="1" t="s">
        <v>25</v>
      </c>
      <c r="S54" s="4">
        <v>19.809999999999999</v>
      </c>
      <c r="T54" s="5">
        <v>5.1499984692782157E-5</v>
      </c>
    </row>
    <row r="55" spans="1:20">
      <c r="A55" s="1" t="s">
        <v>78</v>
      </c>
      <c r="B55" s="1">
        <v>8</v>
      </c>
      <c r="C55" s="1">
        <v>2</v>
      </c>
      <c r="D55" s="1" t="s">
        <v>22</v>
      </c>
      <c r="E55" s="1">
        <v>10</v>
      </c>
      <c r="F55" s="1">
        <v>6</v>
      </c>
      <c r="G55" s="1" t="s">
        <v>21</v>
      </c>
      <c r="H55" s="1">
        <v>16</v>
      </c>
      <c r="I55" s="1">
        <v>0</v>
      </c>
      <c r="J55" s="1" t="s">
        <v>21</v>
      </c>
      <c r="K55" s="1">
        <v>4</v>
      </c>
      <c r="L55" s="1" t="s">
        <v>23</v>
      </c>
      <c r="M55" s="1" t="s">
        <v>24</v>
      </c>
      <c r="N55" s="1" t="s">
        <v>22</v>
      </c>
      <c r="O55" s="1">
        <v>517.72000700000001</v>
      </c>
      <c r="P55" s="1">
        <v>517.00255800000002</v>
      </c>
      <c r="Q55" s="2">
        <f t="shared" si="1"/>
        <v>1.3857857341796486E-3</v>
      </c>
      <c r="R55" s="1" t="s">
        <v>25</v>
      </c>
      <c r="S55" s="4">
        <v>19.239999999999998</v>
      </c>
      <c r="T55" s="5">
        <v>5.5199954658746719E-5</v>
      </c>
    </row>
    <row r="56" spans="1:20">
      <c r="A56" s="1" t="s">
        <v>79</v>
      </c>
      <c r="B56" s="1">
        <v>8</v>
      </c>
      <c r="C56" s="1">
        <v>3</v>
      </c>
      <c r="D56" s="1" t="s">
        <v>22</v>
      </c>
      <c r="E56" s="1">
        <v>8</v>
      </c>
      <c r="F56" s="1">
        <v>0</v>
      </c>
      <c r="G56" s="1" t="s">
        <v>22</v>
      </c>
      <c r="H56" s="1">
        <v>12</v>
      </c>
      <c r="I56" s="1">
        <v>2</v>
      </c>
      <c r="J56" s="1" t="s">
        <v>22</v>
      </c>
      <c r="K56" s="1">
        <v>6</v>
      </c>
      <c r="L56" s="1" t="s">
        <v>23</v>
      </c>
      <c r="M56" s="1" t="s">
        <v>24</v>
      </c>
      <c r="N56" s="1" t="s">
        <v>22</v>
      </c>
      <c r="O56" s="1">
        <v>554.68000800000004</v>
      </c>
      <c r="P56" s="1">
        <v>562.86589400000003</v>
      </c>
      <c r="Q56" s="2">
        <f t="shared" si="1"/>
        <v>1.4757852963757766E-2</v>
      </c>
      <c r="R56" s="1" t="s">
        <v>25</v>
      </c>
      <c r="S56" s="4">
        <v>19.649999999999999</v>
      </c>
      <c r="T56" s="5">
        <v>5.9599988162517548E-5</v>
      </c>
    </row>
    <row r="57" spans="1:20">
      <c r="A57" s="1" t="s">
        <v>80</v>
      </c>
      <c r="B57" s="1">
        <v>14</v>
      </c>
      <c r="C57" s="1">
        <v>2</v>
      </c>
      <c r="D57" s="1" t="s">
        <v>21</v>
      </c>
      <c r="E57" s="1">
        <v>4</v>
      </c>
      <c r="F57" s="1">
        <v>2</v>
      </c>
      <c r="G57" s="1" t="s">
        <v>21</v>
      </c>
      <c r="H57" s="1">
        <v>5</v>
      </c>
      <c r="I57" s="1">
        <v>4</v>
      </c>
      <c r="J57" s="1" t="s">
        <v>21</v>
      </c>
      <c r="K57" s="1">
        <v>3</v>
      </c>
      <c r="L57" s="1" t="s">
        <v>23</v>
      </c>
      <c r="M57" s="1" t="s">
        <v>24</v>
      </c>
      <c r="N57" s="1" t="s">
        <v>21</v>
      </c>
      <c r="O57" s="1">
        <v>100.519998</v>
      </c>
      <c r="P57" s="1">
        <v>98.714031000000006</v>
      </c>
      <c r="Q57" s="2">
        <f t="shared" si="1"/>
        <v>1.7966245880744997E-2</v>
      </c>
      <c r="R57" s="1" t="s">
        <v>25</v>
      </c>
      <c r="S57" s="4">
        <v>19.21</v>
      </c>
      <c r="T57" s="5">
        <v>4.4899992644786828E-5</v>
      </c>
    </row>
    <row r="58" spans="1:20">
      <c r="A58" s="1" t="s">
        <v>81</v>
      </c>
      <c r="B58" s="1">
        <v>10</v>
      </c>
      <c r="C58" s="1">
        <v>3</v>
      </c>
      <c r="D58" s="1" t="s">
        <v>21</v>
      </c>
      <c r="E58" s="1">
        <v>9</v>
      </c>
      <c r="F58" s="1">
        <v>4</v>
      </c>
      <c r="G58" s="1" t="s">
        <v>22</v>
      </c>
      <c r="H58" s="1">
        <v>5</v>
      </c>
      <c r="I58" s="1">
        <v>0</v>
      </c>
      <c r="J58" s="1" t="s">
        <v>21</v>
      </c>
      <c r="K58" s="1">
        <v>1</v>
      </c>
      <c r="L58" s="1" t="s">
        <v>23</v>
      </c>
      <c r="M58" s="1" t="s">
        <v>24</v>
      </c>
      <c r="N58" s="1" t="s">
        <v>21</v>
      </c>
      <c r="O58" s="1">
        <v>153.999999</v>
      </c>
      <c r="P58" s="1">
        <v>147.018035</v>
      </c>
      <c r="Q58" s="2">
        <f t="shared" si="1"/>
        <v>4.5337428865827492E-2</v>
      </c>
      <c r="R58" s="1" t="s">
        <v>25</v>
      </c>
      <c r="S58" s="4">
        <v>19.260000000000002</v>
      </c>
      <c r="T58" s="5">
        <v>5.0399976316839463E-5</v>
      </c>
    </row>
    <row r="59" spans="1:20">
      <c r="A59" s="1" t="s">
        <v>82</v>
      </c>
      <c r="B59" s="1">
        <v>14</v>
      </c>
      <c r="C59" s="1">
        <v>2</v>
      </c>
      <c r="D59" s="1" t="s">
        <v>22</v>
      </c>
      <c r="E59" s="1">
        <v>14</v>
      </c>
      <c r="F59" s="1">
        <v>6</v>
      </c>
      <c r="G59" s="1" t="s">
        <v>21</v>
      </c>
      <c r="H59" s="1">
        <v>10</v>
      </c>
      <c r="I59" s="1">
        <v>4</v>
      </c>
      <c r="J59" s="1" t="s">
        <v>21</v>
      </c>
      <c r="K59" s="1">
        <v>6</v>
      </c>
      <c r="L59" s="1" t="s">
        <v>23</v>
      </c>
      <c r="M59" s="1" t="s">
        <v>24</v>
      </c>
      <c r="N59" s="1" t="s">
        <v>22</v>
      </c>
      <c r="O59" s="1">
        <v>519.96000700000002</v>
      </c>
      <c r="P59" s="1">
        <v>504.47119300000003</v>
      </c>
      <c r="Q59" s="2">
        <f t="shared" si="1"/>
        <v>2.9788471789138949E-2</v>
      </c>
      <c r="R59" s="1" t="s">
        <v>25</v>
      </c>
      <c r="S59" s="4">
        <v>19.57</v>
      </c>
      <c r="T59" s="5">
        <v>5.9400044847279787E-5</v>
      </c>
    </row>
    <row r="60" spans="1:20">
      <c r="A60" s="1" t="s">
        <v>83</v>
      </c>
      <c r="B60" s="1">
        <v>16</v>
      </c>
      <c r="C60" s="1">
        <v>2</v>
      </c>
      <c r="D60" s="1" t="s">
        <v>22</v>
      </c>
      <c r="E60" s="1">
        <v>8</v>
      </c>
      <c r="F60" s="1">
        <v>1</v>
      </c>
      <c r="G60" s="1" t="s">
        <v>21</v>
      </c>
      <c r="H60" s="1">
        <v>6</v>
      </c>
      <c r="I60" s="1">
        <v>2</v>
      </c>
      <c r="J60" s="1" t="s">
        <v>21</v>
      </c>
      <c r="K60" s="1">
        <v>0</v>
      </c>
      <c r="L60" s="1" t="s">
        <v>23</v>
      </c>
      <c r="M60" s="1" t="s">
        <v>24</v>
      </c>
      <c r="N60" s="1" t="s">
        <v>22</v>
      </c>
      <c r="O60" s="1">
        <v>104.16</v>
      </c>
      <c r="P60" s="1">
        <v>84.820277000000004</v>
      </c>
      <c r="Q60" s="2">
        <f t="shared" si="1"/>
        <v>0.18567322388632865</v>
      </c>
      <c r="R60" s="1" t="s">
        <v>25</v>
      </c>
      <c r="S60" s="4">
        <v>20.03</v>
      </c>
      <c r="T60" s="5">
        <v>5.1700044423341751E-5</v>
      </c>
    </row>
    <row r="61" spans="1:20">
      <c r="A61" s="1" t="s">
        <v>84</v>
      </c>
      <c r="B61" s="1">
        <v>12</v>
      </c>
      <c r="C61" s="1">
        <v>3</v>
      </c>
      <c r="D61" s="1" t="s">
        <v>21</v>
      </c>
      <c r="E61" s="1">
        <v>4</v>
      </c>
      <c r="F61" s="1">
        <v>0</v>
      </c>
      <c r="G61" s="1" t="s">
        <v>21</v>
      </c>
      <c r="H61" s="1">
        <v>12</v>
      </c>
      <c r="I61" s="1">
        <v>6</v>
      </c>
      <c r="J61" s="1" t="s">
        <v>21</v>
      </c>
      <c r="K61" s="1">
        <v>0</v>
      </c>
      <c r="L61" s="1" t="s">
        <v>23</v>
      </c>
      <c r="M61" s="1" t="s">
        <v>24</v>
      </c>
      <c r="N61" s="1" t="s">
        <v>21</v>
      </c>
      <c r="O61" s="1">
        <v>97.159998999999999</v>
      </c>
      <c r="P61" s="1">
        <v>102.94624399999999</v>
      </c>
      <c r="Q61" s="2">
        <f t="shared" si="1"/>
        <v>5.9553777887543964E-2</v>
      </c>
      <c r="R61" s="1" t="s">
        <v>25</v>
      </c>
      <c r="S61" s="4">
        <v>20.16</v>
      </c>
      <c r="T61" s="5">
        <v>5.2399991545826197E-5</v>
      </c>
    </row>
    <row r="62" spans="1:20">
      <c r="A62" s="1" t="s">
        <v>85</v>
      </c>
      <c r="B62" s="1">
        <v>8</v>
      </c>
      <c r="C62" s="1">
        <v>2</v>
      </c>
      <c r="D62" s="1" t="s">
        <v>21</v>
      </c>
      <c r="E62" s="1">
        <v>6</v>
      </c>
      <c r="F62" s="1">
        <v>4</v>
      </c>
      <c r="G62" s="1" t="s">
        <v>22</v>
      </c>
      <c r="H62" s="1">
        <v>6</v>
      </c>
      <c r="I62" s="1">
        <v>3</v>
      </c>
      <c r="J62" s="1" t="s">
        <v>21</v>
      </c>
      <c r="K62" s="1">
        <v>2</v>
      </c>
      <c r="L62" s="1" t="s">
        <v>23</v>
      </c>
      <c r="M62" s="1" t="s">
        <v>24</v>
      </c>
      <c r="N62" s="1" t="s">
        <v>22</v>
      </c>
      <c r="O62" s="1">
        <v>151.76000099999999</v>
      </c>
      <c r="P62" s="1">
        <v>152.98809800000001</v>
      </c>
      <c r="Q62" s="2">
        <f t="shared" si="1"/>
        <v>8.0923628881632622E-3</v>
      </c>
      <c r="R62" s="1" t="s">
        <v>25</v>
      </c>
      <c r="S62" s="4">
        <v>19.59</v>
      </c>
      <c r="T62" s="5">
        <v>4.5900000259280198E-5</v>
      </c>
    </row>
    <row r="63" spans="1:20">
      <c r="A63" s="1" t="s">
        <v>86</v>
      </c>
      <c r="B63" s="1">
        <v>10</v>
      </c>
      <c r="C63" s="1">
        <v>2</v>
      </c>
      <c r="D63" s="1" t="s">
        <v>21</v>
      </c>
      <c r="E63" s="1">
        <v>10</v>
      </c>
      <c r="F63" s="1">
        <v>1</v>
      </c>
      <c r="G63" s="1" t="s">
        <v>21</v>
      </c>
      <c r="H63" s="1">
        <v>6</v>
      </c>
      <c r="I63" s="1">
        <v>4</v>
      </c>
      <c r="J63" s="1" t="s">
        <v>21</v>
      </c>
      <c r="K63" s="1">
        <v>2</v>
      </c>
      <c r="L63" s="1" t="s">
        <v>23</v>
      </c>
      <c r="M63" s="1" t="s">
        <v>24</v>
      </c>
      <c r="N63" s="1" t="s">
        <v>22</v>
      </c>
      <c r="O63" s="1">
        <v>91.280000999999999</v>
      </c>
      <c r="P63" s="1">
        <v>94.412780999999995</v>
      </c>
      <c r="Q63" s="2">
        <f t="shared" si="1"/>
        <v>3.432055177124721E-2</v>
      </c>
      <c r="R63" s="1" t="s">
        <v>25</v>
      </c>
      <c r="S63" s="4">
        <v>19.260000000000002</v>
      </c>
      <c r="T63" s="5">
        <v>4.3999985791742802E-5</v>
      </c>
    </row>
    <row r="64" spans="1:20">
      <c r="A64" s="1" t="s">
        <v>87</v>
      </c>
      <c r="B64" s="1">
        <v>10</v>
      </c>
      <c r="C64" s="1">
        <v>8</v>
      </c>
      <c r="D64" s="1" t="s">
        <v>22</v>
      </c>
      <c r="E64" s="1">
        <v>5</v>
      </c>
      <c r="F64" s="1">
        <v>1</v>
      </c>
      <c r="G64" s="1" t="s">
        <v>22</v>
      </c>
      <c r="H64" s="1">
        <v>5</v>
      </c>
      <c r="I64" s="1">
        <v>3</v>
      </c>
      <c r="J64" s="1" t="s">
        <v>22</v>
      </c>
      <c r="K64" s="1">
        <v>6</v>
      </c>
      <c r="L64" s="1" t="s">
        <v>23</v>
      </c>
      <c r="M64" s="1" t="s">
        <v>24</v>
      </c>
      <c r="N64" s="1" t="s">
        <v>21</v>
      </c>
      <c r="O64" s="1">
        <v>246.39999299999999</v>
      </c>
      <c r="P64" s="1">
        <v>242.34007099999999</v>
      </c>
      <c r="Q64" s="2">
        <f t="shared" si="1"/>
        <v>1.647695663692653E-2</v>
      </c>
      <c r="R64" s="1" t="s">
        <v>25</v>
      </c>
      <c r="S64" s="4">
        <v>19.7</v>
      </c>
      <c r="T64" s="5">
        <v>5.1600043661892407E-5</v>
      </c>
    </row>
    <row r="65" spans="1:20">
      <c r="A65" s="1" t="s">
        <v>88</v>
      </c>
      <c r="B65" s="1">
        <v>6</v>
      </c>
      <c r="C65" s="1">
        <v>2</v>
      </c>
      <c r="D65" s="1" t="s">
        <v>21</v>
      </c>
      <c r="E65" s="1">
        <v>8</v>
      </c>
      <c r="F65" s="1">
        <v>1</v>
      </c>
      <c r="G65" s="1" t="s">
        <v>21</v>
      </c>
      <c r="H65" s="1">
        <v>9</v>
      </c>
      <c r="I65" s="1">
        <v>4</v>
      </c>
      <c r="J65" s="1" t="s">
        <v>21</v>
      </c>
      <c r="K65" s="1">
        <v>1</v>
      </c>
      <c r="L65" s="1" t="s">
        <v>23</v>
      </c>
      <c r="M65" s="1" t="s">
        <v>24</v>
      </c>
      <c r="N65" s="1" t="s">
        <v>22</v>
      </c>
      <c r="O65" s="1">
        <v>135.24</v>
      </c>
      <c r="P65" s="1">
        <v>133.24041399999999</v>
      </c>
      <c r="Q65" s="2">
        <f t="shared" si="1"/>
        <v>1.4785462880804658E-2</v>
      </c>
      <c r="R65" s="1" t="s">
        <v>25</v>
      </c>
      <c r="S65" s="4">
        <v>20.03</v>
      </c>
      <c r="T65" s="5">
        <v>4.8200017772614963E-5</v>
      </c>
    </row>
    <row r="66" spans="1:20">
      <c r="A66" s="1" t="s">
        <v>89</v>
      </c>
      <c r="B66" s="1">
        <v>10</v>
      </c>
      <c r="C66" s="1">
        <v>3</v>
      </c>
      <c r="D66" s="1" t="s">
        <v>22</v>
      </c>
      <c r="E66" s="1">
        <v>9</v>
      </c>
      <c r="F66" s="1">
        <v>3</v>
      </c>
      <c r="G66" s="1" t="s">
        <v>22</v>
      </c>
      <c r="H66" s="1">
        <v>16</v>
      </c>
      <c r="I66" s="1">
        <v>8</v>
      </c>
      <c r="J66" s="1" t="s">
        <v>22</v>
      </c>
      <c r="K66" s="1">
        <v>0</v>
      </c>
      <c r="L66" s="1" t="s">
        <v>23</v>
      </c>
      <c r="M66" s="1" t="s">
        <v>24</v>
      </c>
      <c r="N66" s="1" t="s">
        <v>21</v>
      </c>
      <c r="O66" s="1">
        <v>181.72</v>
      </c>
      <c r="P66" s="1">
        <v>184.42810499999999</v>
      </c>
      <c r="Q66" s="2">
        <f t="shared" ref="Q66:Q97" si="2">ABS(P66-O66)/O66</f>
        <v>1.4902624917455367E-2</v>
      </c>
      <c r="R66" s="1" t="s">
        <v>25</v>
      </c>
      <c r="S66" s="4">
        <v>19.579999999999998</v>
      </c>
      <c r="T66" s="5">
        <v>6.1300001107156277E-5</v>
      </c>
    </row>
    <row r="67" spans="1:20">
      <c r="A67" s="1" t="s">
        <v>90</v>
      </c>
      <c r="B67" s="1">
        <v>16</v>
      </c>
      <c r="C67" s="1">
        <v>8</v>
      </c>
      <c r="D67" s="1" t="s">
        <v>22</v>
      </c>
      <c r="E67" s="1">
        <v>12</v>
      </c>
      <c r="F67" s="1">
        <v>6</v>
      </c>
      <c r="G67" s="1" t="s">
        <v>22</v>
      </c>
      <c r="H67" s="1">
        <v>10</v>
      </c>
      <c r="I67" s="1">
        <v>6</v>
      </c>
      <c r="J67" s="1" t="s">
        <v>22</v>
      </c>
      <c r="K67" s="1">
        <v>3</v>
      </c>
      <c r="L67" s="1" t="s">
        <v>23</v>
      </c>
      <c r="M67" s="1" t="s">
        <v>24</v>
      </c>
      <c r="N67" s="1" t="s">
        <v>21</v>
      </c>
      <c r="O67" s="1">
        <v>375.47999299999998</v>
      </c>
      <c r="P67" s="1">
        <v>374.67774800000001</v>
      </c>
      <c r="Q67" s="2">
        <f t="shared" si="2"/>
        <v>2.1365852108130054E-3</v>
      </c>
      <c r="R67" s="1" t="s">
        <v>25</v>
      </c>
      <c r="S67" s="4">
        <v>19.39</v>
      </c>
      <c r="T67" s="5">
        <v>6.3600018620491028E-5</v>
      </c>
    </row>
    <row r="68" spans="1:20">
      <c r="A68" s="1" t="s">
        <v>91</v>
      </c>
      <c r="B68" s="1">
        <v>12</v>
      </c>
      <c r="C68" s="1">
        <v>2</v>
      </c>
      <c r="D68" s="1" t="s">
        <v>21</v>
      </c>
      <c r="E68" s="1">
        <v>12</v>
      </c>
      <c r="F68" s="1">
        <v>4</v>
      </c>
      <c r="G68" s="1" t="s">
        <v>21</v>
      </c>
      <c r="H68" s="1">
        <v>16</v>
      </c>
      <c r="I68" s="1">
        <v>1</v>
      </c>
      <c r="J68" s="1" t="s">
        <v>21</v>
      </c>
      <c r="K68" s="1">
        <v>3</v>
      </c>
      <c r="L68" s="1" t="s">
        <v>23</v>
      </c>
      <c r="M68" s="1" t="s">
        <v>24</v>
      </c>
      <c r="N68" s="1" t="s">
        <v>21</v>
      </c>
      <c r="O68" s="1">
        <v>535.07998899999996</v>
      </c>
      <c r="P68" s="1">
        <v>537.72103200000004</v>
      </c>
      <c r="Q68" s="2">
        <f t="shared" si="2"/>
        <v>4.935791011239035E-3</v>
      </c>
      <c r="R68" s="1" t="s">
        <v>25</v>
      </c>
      <c r="S68" s="4">
        <v>19.55</v>
      </c>
      <c r="T68" s="5">
        <v>6.1900005675852299E-5</v>
      </c>
    </row>
    <row r="69" spans="1:20">
      <c r="A69" s="1" t="s">
        <v>92</v>
      </c>
      <c r="B69" s="1">
        <v>9</v>
      </c>
      <c r="C69" s="1">
        <v>1</v>
      </c>
      <c r="D69" s="1" t="s">
        <v>21</v>
      </c>
      <c r="E69" s="1">
        <v>9</v>
      </c>
      <c r="F69" s="1">
        <v>0</v>
      </c>
      <c r="G69" s="1" t="s">
        <v>21</v>
      </c>
      <c r="H69" s="1">
        <v>12</v>
      </c>
      <c r="I69" s="1">
        <v>8</v>
      </c>
      <c r="J69" s="1" t="s">
        <v>21</v>
      </c>
      <c r="K69" s="1">
        <v>0</v>
      </c>
      <c r="L69" s="1" t="s">
        <v>23</v>
      </c>
      <c r="M69" s="1" t="s">
        <v>24</v>
      </c>
      <c r="N69" s="1" t="s">
        <v>22</v>
      </c>
      <c r="O69" s="1">
        <v>66.639999000000003</v>
      </c>
      <c r="P69" s="1">
        <v>66.457639</v>
      </c>
      <c r="Q69" s="2">
        <f t="shared" si="2"/>
        <v>2.736494638903022E-3</v>
      </c>
      <c r="R69" s="1" t="s">
        <v>25</v>
      </c>
      <c r="S69" s="4">
        <v>19.75</v>
      </c>
      <c r="T69" s="5">
        <v>4.4599990360438817E-5</v>
      </c>
    </row>
    <row r="70" spans="1:20">
      <c r="A70" s="1" t="s">
        <v>93</v>
      </c>
      <c r="B70" s="1">
        <v>14</v>
      </c>
      <c r="C70" s="1">
        <v>1</v>
      </c>
      <c r="D70" s="1" t="s">
        <v>22</v>
      </c>
      <c r="E70" s="1">
        <v>12</v>
      </c>
      <c r="F70" s="1">
        <v>1</v>
      </c>
      <c r="G70" s="1" t="s">
        <v>21</v>
      </c>
      <c r="H70" s="1">
        <v>16</v>
      </c>
      <c r="I70" s="1">
        <v>6</v>
      </c>
      <c r="J70" s="1" t="s">
        <v>21</v>
      </c>
      <c r="K70" s="1">
        <v>4</v>
      </c>
      <c r="L70" s="1" t="s">
        <v>23</v>
      </c>
      <c r="M70" s="1" t="s">
        <v>24</v>
      </c>
      <c r="N70" s="1" t="s">
        <v>21</v>
      </c>
      <c r="O70" s="1">
        <v>495.59998999999999</v>
      </c>
      <c r="P70" s="1">
        <v>477.08290799999997</v>
      </c>
      <c r="Q70" s="2">
        <f t="shared" si="2"/>
        <v>3.7362958784563367E-2</v>
      </c>
      <c r="R70" s="1" t="s">
        <v>25</v>
      </c>
      <c r="S70" s="4">
        <v>19.68</v>
      </c>
      <c r="T70" s="5">
        <v>5.7400029618293047E-5</v>
      </c>
    </row>
    <row r="71" spans="1:20">
      <c r="A71" s="1" t="s">
        <v>94</v>
      </c>
      <c r="B71" s="1">
        <v>14</v>
      </c>
      <c r="C71" s="1">
        <v>4</v>
      </c>
      <c r="D71" s="1" t="s">
        <v>21</v>
      </c>
      <c r="E71" s="1">
        <v>14</v>
      </c>
      <c r="F71" s="1">
        <v>2</v>
      </c>
      <c r="G71" s="1" t="s">
        <v>21</v>
      </c>
      <c r="H71" s="1">
        <v>8</v>
      </c>
      <c r="I71" s="1">
        <v>1</v>
      </c>
      <c r="J71" s="1" t="s">
        <v>21</v>
      </c>
      <c r="K71" s="1">
        <v>0</v>
      </c>
      <c r="L71" s="1" t="s">
        <v>23</v>
      </c>
      <c r="M71" s="1" t="s">
        <v>24</v>
      </c>
      <c r="N71" s="1" t="s">
        <v>22</v>
      </c>
      <c r="O71" s="1">
        <v>168.84</v>
      </c>
      <c r="P71" s="1">
        <v>154.196538</v>
      </c>
      <c r="Q71" s="2">
        <f t="shared" si="2"/>
        <v>8.6729815209665953E-2</v>
      </c>
      <c r="R71" s="1" t="s">
        <v>25</v>
      </c>
      <c r="S71" s="4">
        <v>19.43</v>
      </c>
      <c r="T71" s="5">
        <v>5.6699966080486768E-5</v>
      </c>
    </row>
    <row r="72" spans="1:20">
      <c r="A72" s="1" t="s">
        <v>95</v>
      </c>
      <c r="B72" s="1">
        <v>14</v>
      </c>
      <c r="C72" s="1">
        <v>3</v>
      </c>
      <c r="D72" s="1" t="s">
        <v>22</v>
      </c>
      <c r="E72" s="1">
        <v>9</v>
      </c>
      <c r="F72" s="1">
        <v>4</v>
      </c>
      <c r="G72" s="1" t="s">
        <v>21</v>
      </c>
      <c r="H72" s="1">
        <v>12</v>
      </c>
      <c r="I72" s="1">
        <v>6</v>
      </c>
      <c r="J72" s="1" t="s">
        <v>21</v>
      </c>
      <c r="K72" s="1">
        <v>3</v>
      </c>
      <c r="L72" s="1" t="s">
        <v>23</v>
      </c>
      <c r="M72" s="1" t="s">
        <v>24</v>
      </c>
      <c r="N72" s="1" t="s">
        <v>21</v>
      </c>
      <c r="O72" s="1">
        <v>365.39999299999999</v>
      </c>
      <c r="P72" s="1">
        <v>354.68224500000002</v>
      </c>
      <c r="Q72" s="2">
        <f t="shared" si="2"/>
        <v>2.9331549549318058E-2</v>
      </c>
      <c r="R72" s="1" t="s">
        <v>25</v>
      </c>
      <c r="S72" s="4">
        <v>19.47</v>
      </c>
      <c r="T72" s="5">
        <v>5.6400022003799677E-5</v>
      </c>
    </row>
    <row r="73" spans="1:20">
      <c r="A73" s="1" t="s">
        <v>96</v>
      </c>
      <c r="B73" s="1">
        <v>8</v>
      </c>
      <c r="C73" s="1">
        <v>6</v>
      </c>
      <c r="D73" s="1" t="s">
        <v>21</v>
      </c>
      <c r="E73" s="1">
        <v>14</v>
      </c>
      <c r="F73" s="1">
        <v>4</v>
      </c>
      <c r="G73" s="1" t="s">
        <v>21</v>
      </c>
      <c r="H73" s="1">
        <v>5</v>
      </c>
      <c r="I73" s="1">
        <v>4</v>
      </c>
      <c r="J73" s="1" t="s">
        <v>21</v>
      </c>
      <c r="K73" s="1">
        <v>3</v>
      </c>
      <c r="L73" s="1" t="s">
        <v>23</v>
      </c>
      <c r="M73" s="1" t="s">
        <v>24</v>
      </c>
      <c r="N73" s="1" t="s">
        <v>21</v>
      </c>
      <c r="O73" s="1">
        <v>181.43999600000001</v>
      </c>
      <c r="P73" s="1">
        <v>180.848726</v>
      </c>
      <c r="Q73" s="2">
        <f t="shared" si="2"/>
        <v>3.2587632993554992E-3</v>
      </c>
      <c r="R73" s="1" t="s">
        <v>25</v>
      </c>
      <c r="S73" s="4">
        <v>20.41</v>
      </c>
      <c r="T73" s="5">
        <v>5.0000031478703022E-5</v>
      </c>
    </row>
    <row r="74" spans="1:20">
      <c r="A74" s="1" t="s">
        <v>97</v>
      </c>
      <c r="B74" s="1">
        <v>12</v>
      </c>
      <c r="C74" s="1">
        <v>8</v>
      </c>
      <c r="D74" s="1" t="s">
        <v>22</v>
      </c>
      <c r="E74" s="1">
        <v>14</v>
      </c>
      <c r="F74" s="1">
        <v>0</v>
      </c>
      <c r="G74" s="1" t="s">
        <v>22</v>
      </c>
      <c r="H74" s="1">
        <v>5</v>
      </c>
      <c r="I74" s="1">
        <v>3</v>
      </c>
      <c r="J74" s="1" t="s">
        <v>22</v>
      </c>
      <c r="K74" s="1">
        <v>1</v>
      </c>
      <c r="L74" s="1" t="s">
        <v>23</v>
      </c>
      <c r="M74" s="1" t="s">
        <v>24</v>
      </c>
      <c r="N74" s="1" t="s">
        <v>21</v>
      </c>
      <c r="O74" s="1">
        <v>61.879998999999998</v>
      </c>
      <c r="P74" s="1">
        <v>68.115072999999995</v>
      </c>
      <c r="Q74" s="2">
        <f t="shared" si="2"/>
        <v>0.10076073207434921</v>
      </c>
      <c r="R74" s="1" t="s">
        <v>25</v>
      </c>
      <c r="S74" s="4">
        <v>18.899999999999999</v>
      </c>
      <c r="T74" s="5">
        <v>6.0399994254112237E-5</v>
      </c>
    </row>
    <row r="75" spans="1:20">
      <c r="A75" s="1" t="s">
        <v>98</v>
      </c>
      <c r="B75" s="1">
        <v>9</v>
      </c>
      <c r="C75" s="1">
        <v>2</v>
      </c>
      <c r="D75" s="1" t="s">
        <v>22</v>
      </c>
      <c r="E75" s="1">
        <v>8</v>
      </c>
      <c r="F75" s="1">
        <v>4</v>
      </c>
      <c r="G75" s="1" t="s">
        <v>21</v>
      </c>
      <c r="H75" s="1">
        <v>8</v>
      </c>
      <c r="I75" s="1">
        <v>3</v>
      </c>
      <c r="J75" s="1" t="s">
        <v>21</v>
      </c>
      <c r="K75" s="1">
        <v>2</v>
      </c>
      <c r="L75" s="1" t="s">
        <v>23</v>
      </c>
      <c r="M75" s="1" t="s">
        <v>24</v>
      </c>
      <c r="N75" s="1" t="s">
        <v>21</v>
      </c>
      <c r="O75" s="1">
        <v>234.639996</v>
      </c>
      <c r="P75" s="1">
        <v>226.21003999999999</v>
      </c>
      <c r="Q75" s="2">
        <f t="shared" si="2"/>
        <v>3.5927191202304677E-2</v>
      </c>
      <c r="R75" s="1" t="s">
        <v>25</v>
      </c>
      <c r="S75" s="4">
        <v>19.29</v>
      </c>
      <c r="T75" s="5">
        <v>5.029997555539012E-5</v>
      </c>
    </row>
    <row r="76" spans="1:20">
      <c r="A76" s="1" t="s">
        <v>99</v>
      </c>
      <c r="B76" s="1">
        <v>12</v>
      </c>
      <c r="C76" s="1">
        <v>4</v>
      </c>
      <c r="D76" s="1" t="s">
        <v>21</v>
      </c>
      <c r="E76" s="1">
        <v>5</v>
      </c>
      <c r="F76" s="1">
        <v>3</v>
      </c>
      <c r="G76" s="1" t="s">
        <v>22</v>
      </c>
      <c r="H76" s="1">
        <v>10</v>
      </c>
      <c r="I76" s="1">
        <v>6</v>
      </c>
      <c r="J76" s="1" t="s">
        <v>21</v>
      </c>
      <c r="K76" s="1">
        <v>3</v>
      </c>
      <c r="L76" s="1" t="s">
        <v>23</v>
      </c>
      <c r="M76" s="1" t="s">
        <v>24</v>
      </c>
      <c r="N76" s="1" t="s">
        <v>21</v>
      </c>
      <c r="O76" s="1">
        <v>276.639995</v>
      </c>
      <c r="P76" s="1">
        <v>272.481942</v>
      </c>
      <c r="Q76" s="2">
        <f t="shared" si="2"/>
        <v>1.503055622886342E-2</v>
      </c>
      <c r="R76" s="1" t="s">
        <v>25</v>
      </c>
      <c r="S76" s="4">
        <v>19.63</v>
      </c>
      <c r="T76" s="5">
        <v>5.1699986215680838E-5</v>
      </c>
    </row>
    <row r="77" spans="1:20">
      <c r="A77" s="1" t="s">
        <v>100</v>
      </c>
      <c r="B77" s="1">
        <v>12</v>
      </c>
      <c r="C77" s="1">
        <v>4</v>
      </c>
      <c r="D77" s="1" t="s">
        <v>22</v>
      </c>
      <c r="E77" s="1">
        <v>8</v>
      </c>
      <c r="F77" s="1">
        <v>0</v>
      </c>
      <c r="G77" s="1" t="s">
        <v>21</v>
      </c>
      <c r="H77" s="1">
        <v>8</v>
      </c>
      <c r="I77" s="1">
        <v>2</v>
      </c>
      <c r="J77" s="1" t="s">
        <v>21</v>
      </c>
      <c r="K77" s="1">
        <v>6</v>
      </c>
      <c r="L77" s="1" t="s">
        <v>23</v>
      </c>
      <c r="M77" s="1" t="s">
        <v>24</v>
      </c>
      <c r="N77" s="1" t="s">
        <v>21</v>
      </c>
      <c r="O77" s="1">
        <v>435.67998999999998</v>
      </c>
      <c r="P77" s="1">
        <v>417.272468</v>
      </c>
      <c r="Q77" s="2">
        <f t="shared" si="2"/>
        <v>4.2250097370778887E-2</v>
      </c>
      <c r="R77" s="1" t="s">
        <v>25</v>
      </c>
      <c r="S77" s="4">
        <v>19.96</v>
      </c>
      <c r="T77" s="5">
        <v>5.229999078437686E-5</v>
      </c>
    </row>
    <row r="78" spans="1:20">
      <c r="A78" s="1" t="s">
        <v>101</v>
      </c>
      <c r="B78" s="1">
        <v>12</v>
      </c>
      <c r="C78" s="1">
        <v>3</v>
      </c>
      <c r="D78" s="1" t="s">
        <v>22</v>
      </c>
      <c r="E78" s="1">
        <v>9</v>
      </c>
      <c r="F78" s="1">
        <v>4</v>
      </c>
      <c r="G78" s="1" t="s">
        <v>22</v>
      </c>
      <c r="H78" s="1">
        <v>5</v>
      </c>
      <c r="I78" s="1">
        <v>1</v>
      </c>
      <c r="J78" s="1" t="s">
        <v>22</v>
      </c>
      <c r="K78" s="1">
        <v>2</v>
      </c>
      <c r="L78" s="1" t="s">
        <v>23</v>
      </c>
      <c r="M78" s="1" t="s">
        <v>24</v>
      </c>
      <c r="N78" s="1" t="s">
        <v>22</v>
      </c>
      <c r="O78" s="1">
        <v>175.560001</v>
      </c>
      <c r="P78" s="1">
        <v>162.15529599999999</v>
      </c>
      <c r="Q78" s="2">
        <f t="shared" si="2"/>
        <v>7.6353981109854335E-2</v>
      </c>
      <c r="R78" s="1" t="s">
        <v>25</v>
      </c>
      <c r="S78" s="4">
        <v>19.329999999999998</v>
      </c>
      <c r="T78" s="5">
        <v>5.64999645575881E-5</v>
      </c>
    </row>
    <row r="79" spans="1:20">
      <c r="A79" s="1" t="s">
        <v>102</v>
      </c>
      <c r="B79" s="1">
        <v>8</v>
      </c>
      <c r="C79" s="1">
        <v>6</v>
      </c>
      <c r="D79" s="1" t="s">
        <v>22</v>
      </c>
      <c r="E79" s="1">
        <v>8</v>
      </c>
      <c r="F79" s="1">
        <v>6</v>
      </c>
      <c r="G79" s="1" t="s">
        <v>22</v>
      </c>
      <c r="H79" s="1">
        <v>12</v>
      </c>
      <c r="I79" s="1">
        <v>3</v>
      </c>
      <c r="J79" s="1" t="s">
        <v>22</v>
      </c>
      <c r="K79" s="1">
        <v>1</v>
      </c>
      <c r="L79" s="1" t="s">
        <v>23</v>
      </c>
      <c r="M79" s="1" t="s">
        <v>24</v>
      </c>
      <c r="N79" s="1" t="s">
        <v>22</v>
      </c>
      <c r="O79" s="1">
        <v>198.80000100000001</v>
      </c>
      <c r="P79" s="1">
        <v>206.108913</v>
      </c>
      <c r="Q79" s="2">
        <f t="shared" si="2"/>
        <v>3.6765150720497186E-2</v>
      </c>
      <c r="R79" s="1" t="s">
        <v>25</v>
      </c>
      <c r="S79" s="4">
        <v>19.41</v>
      </c>
      <c r="T79" s="5">
        <v>5.7000026572495699E-5</v>
      </c>
    </row>
    <row r="80" spans="1:20">
      <c r="A80" s="1" t="s">
        <v>103</v>
      </c>
      <c r="B80" s="1">
        <v>10</v>
      </c>
      <c r="C80" s="1">
        <v>4</v>
      </c>
      <c r="D80" s="1" t="s">
        <v>21</v>
      </c>
      <c r="E80" s="1">
        <v>14</v>
      </c>
      <c r="F80" s="1">
        <v>2</v>
      </c>
      <c r="G80" s="1" t="s">
        <v>21</v>
      </c>
      <c r="H80" s="1">
        <v>16</v>
      </c>
      <c r="I80" s="1">
        <v>8</v>
      </c>
      <c r="J80" s="1" t="s">
        <v>21</v>
      </c>
      <c r="K80" s="1">
        <v>6</v>
      </c>
      <c r="L80" s="1" t="s">
        <v>23</v>
      </c>
      <c r="M80" s="1" t="s">
        <v>24</v>
      </c>
      <c r="N80" s="1" t="s">
        <v>22</v>
      </c>
      <c r="O80" s="1">
        <v>608.72000800000001</v>
      </c>
      <c r="P80" s="1">
        <v>592.55915800000002</v>
      </c>
      <c r="Q80" s="2">
        <f t="shared" si="2"/>
        <v>2.6548905551992276E-2</v>
      </c>
      <c r="R80" s="1" t="s">
        <v>25</v>
      </c>
      <c r="S80" s="4">
        <v>20.12</v>
      </c>
      <c r="T80" s="5">
        <v>6.120000034570694E-5</v>
      </c>
    </row>
    <row r="81" spans="1:20">
      <c r="A81" s="1" t="s">
        <v>104</v>
      </c>
      <c r="B81" s="1">
        <v>6</v>
      </c>
      <c r="C81" s="1">
        <v>4</v>
      </c>
      <c r="D81" s="1" t="s">
        <v>21</v>
      </c>
      <c r="E81" s="1">
        <v>14</v>
      </c>
      <c r="F81" s="1">
        <v>2</v>
      </c>
      <c r="G81" s="1" t="s">
        <v>21</v>
      </c>
      <c r="H81" s="1">
        <v>16</v>
      </c>
      <c r="I81" s="1">
        <v>2</v>
      </c>
      <c r="J81" s="1" t="s">
        <v>21</v>
      </c>
      <c r="K81" s="1">
        <v>0</v>
      </c>
      <c r="L81" s="1" t="s">
        <v>23</v>
      </c>
      <c r="M81" s="1" t="s">
        <v>24</v>
      </c>
      <c r="N81" s="1" t="s">
        <v>21</v>
      </c>
      <c r="O81" s="1">
        <v>273</v>
      </c>
      <c r="P81" s="1">
        <v>269.90634599999998</v>
      </c>
      <c r="Q81" s="2">
        <f t="shared" si="2"/>
        <v>1.1332065934065988E-2</v>
      </c>
      <c r="R81" s="1" t="s">
        <v>25</v>
      </c>
      <c r="S81" s="4">
        <v>20.3</v>
      </c>
      <c r="T81" s="5">
        <v>6.8399996962398291E-5</v>
      </c>
    </row>
    <row r="82" spans="1:20">
      <c r="A82" s="1" t="s">
        <v>105</v>
      </c>
      <c r="B82" s="1">
        <v>16</v>
      </c>
      <c r="C82" s="1">
        <v>4</v>
      </c>
      <c r="D82" s="1" t="s">
        <v>22</v>
      </c>
      <c r="E82" s="1">
        <v>4</v>
      </c>
      <c r="F82" s="1">
        <v>2</v>
      </c>
      <c r="G82" s="1" t="s">
        <v>21</v>
      </c>
      <c r="H82" s="1">
        <v>9</v>
      </c>
      <c r="I82" s="1">
        <v>2</v>
      </c>
      <c r="J82" s="1" t="s">
        <v>21</v>
      </c>
      <c r="K82" s="1">
        <v>4</v>
      </c>
      <c r="L82" s="1" t="s">
        <v>23</v>
      </c>
      <c r="M82" s="1" t="s">
        <v>24</v>
      </c>
      <c r="N82" s="1" t="s">
        <v>22</v>
      </c>
      <c r="O82" s="1">
        <v>348.88000399999999</v>
      </c>
      <c r="P82" s="1">
        <v>349.42593900000003</v>
      </c>
      <c r="Q82" s="2">
        <f t="shared" si="2"/>
        <v>1.5648216972619696E-3</v>
      </c>
      <c r="R82" s="1" t="s">
        <v>25</v>
      </c>
      <c r="S82" s="4">
        <v>19.600000000000001</v>
      </c>
      <c r="T82" s="5">
        <v>5.7000026572495699E-5</v>
      </c>
    </row>
    <row r="83" spans="1:20">
      <c r="A83" s="1" t="s">
        <v>106</v>
      </c>
      <c r="B83" s="1">
        <v>16</v>
      </c>
      <c r="C83" s="1">
        <v>3</v>
      </c>
      <c r="D83" s="1" t="s">
        <v>21</v>
      </c>
      <c r="E83" s="1">
        <v>4</v>
      </c>
      <c r="F83" s="1">
        <v>3</v>
      </c>
      <c r="G83" s="1" t="s">
        <v>21</v>
      </c>
      <c r="H83" s="1">
        <v>8</v>
      </c>
      <c r="I83" s="1">
        <v>0</v>
      </c>
      <c r="J83" s="1" t="s">
        <v>21</v>
      </c>
      <c r="K83" s="1">
        <v>0</v>
      </c>
      <c r="L83" s="1" t="s">
        <v>23</v>
      </c>
      <c r="M83" s="1" t="s">
        <v>24</v>
      </c>
      <c r="N83" s="1" t="s">
        <v>21</v>
      </c>
      <c r="O83" s="1">
        <v>144.47999899999999</v>
      </c>
      <c r="P83" s="1">
        <v>163.337042</v>
      </c>
      <c r="Q83" s="2">
        <f t="shared" si="2"/>
        <v>0.13051663296315502</v>
      </c>
      <c r="R83" s="1" t="s">
        <v>25</v>
      </c>
      <c r="S83" s="4">
        <v>19.78</v>
      </c>
      <c r="T83" s="5">
        <v>6.2100007198750973E-5</v>
      </c>
    </row>
    <row r="84" spans="1:20">
      <c r="A84" s="1" t="s">
        <v>107</v>
      </c>
      <c r="B84" s="1">
        <v>8</v>
      </c>
      <c r="C84" s="1">
        <v>1</v>
      </c>
      <c r="D84" s="1" t="s">
        <v>21</v>
      </c>
      <c r="E84" s="1">
        <v>8</v>
      </c>
      <c r="F84" s="1">
        <v>1</v>
      </c>
      <c r="G84" s="1" t="s">
        <v>21</v>
      </c>
      <c r="H84" s="1">
        <v>5</v>
      </c>
      <c r="I84" s="1">
        <v>4</v>
      </c>
      <c r="J84" s="1" t="s">
        <v>21</v>
      </c>
      <c r="K84" s="1">
        <v>2</v>
      </c>
      <c r="L84" s="1" t="s">
        <v>23</v>
      </c>
      <c r="M84" s="1" t="s">
        <v>24</v>
      </c>
      <c r="N84" s="1" t="s">
        <v>21</v>
      </c>
      <c r="O84" s="1">
        <v>50.959999000000003</v>
      </c>
      <c r="P84" s="1">
        <v>52.022227999999998</v>
      </c>
      <c r="Q84" s="2">
        <f t="shared" si="2"/>
        <v>2.084436854090195E-2</v>
      </c>
      <c r="R84" s="1" t="s">
        <v>25</v>
      </c>
      <c r="S84" s="4">
        <v>19.41</v>
      </c>
      <c r="T84" s="5">
        <v>3.7299992982298143E-5</v>
      </c>
    </row>
    <row r="85" spans="1:20">
      <c r="A85" s="1" t="s">
        <v>108</v>
      </c>
      <c r="B85" s="1">
        <v>12</v>
      </c>
      <c r="C85" s="1">
        <v>1</v>
      </c>
      <c r="D85" s="1" t="s">
        <v>21</v>
      </c>
      <c r="E85" s="1">
        <v>6</v>
      </c>
      <c r="F85" s="1">
        <v>4</v>
      </c>
      <c r="G85" s="1" t="s">
        <v>21</v>
      </c>
      <c r="H85" s="1">
        <v>8</v>
      </c>
      <c r="I85" s="1">
        <v>2</v>
      </c>
      <c r="J85" s="1" t="s">
        <v>21</v>
      </c>
      <c r="K85" s="1">
        <v>1</v>
      </c>
      <c r="L85" s="1" t="s">
        <v>23</v>
      </c>
      <c r="M85" s="1" t="s">
        <v>24</v>
      </c>
      <c r="N85" s="1" t="s">
        <v>21</v>
      </c>
      <c r="O85" s="1">
        <v>175.55999800000001</v>
      </c>
      <c r="P85" s="1">
        <v>170.16894199999999</v>
      </c>
      <c r="Q85" s="2">
        <f t="shared" si="2"/>
        <v>3.0707769773385508E-2</v>
      </c>
      <c r="R85" s="1" t="s">
        <v>25</v>
      </c>
      <c r="S85" s="4">
        <v>19.649999999999999</v>
      </c>
      <c r="T85" s="5">
        <v>5.1900045946240432E-5</v>
      </c>
    </row>
    <row r="86" spans="1:20">
      <c r="A86" s="1" t="s">
        <v>109</v>
      </c>
      <c r="B86" s="1">
        <v>14</v>
      </c>
      <c r="C86" s="1">
        <v>4</v>
      </c>
      <c r="D86" s="1" t="s">
        <v>22</v>
      </c>
      <c r="E86" s="1">
        <v>8</v>
      </c>
      <c r="F86" s="1">
        <v>4</v>
      </c>
      <c r="G86" s="1" t="s">
        <v>21</v>
      </c>
      <c r="H86" s="1">
        <v>16</v>
      </c>
      <c r="I86" s="1">
        <v>3</v>
      </c>
      <c r="J86" s="1" t="s">
        <v>21</v>
      </c>
      <c r="K86" s="1">
        <v>2</v>
      </c>
      <c r="L86" s="1" t="s">
        <v>23</v>
      </c>
      <c r="M86" s="1" t="s">
        <v>24</v>
      </c>
      <c r="N86" s="1" t="s">
        <v>21</v>
      </c>
      <c r="O86" s="1">
        <v>429.23999300000003</v>
      </c>
      <c r="P86" s="1">
        <v>457.18905599999999</v>
      </c>
      <c r="Q86" s="2">
        <f t="shared" si="2"/>
        <v>6.5112905264631218E-2</v>
      </c>
      <c r="R86" s="1" t="s">
        <v>25</v>
      </c>
      <c r="S86" s="4">
        <v>19.54</v>
      </c>
      <c r="T86" s="5">
        <v>6.3800020143389702E-5</v>
      </c>
    </row>
    <row r="87" spans="1:20">
      <c r="A87" s="1" t="s">
        <v>110</v>
      </c>
      <c r="B87" s="1">
        <v>16</v>
      </c>
      <c r="C87" s="1">
        <v>8</v>
      </c>
      <c r="D87" s="1" t="s">
        <v>21</v>
      </c>
      <c r="E87" s="1">
        <v>4</v>
      </c>
      <c r="F87" s="1">
        <v>0</v>
      </c>
      <c r="G87" s="1" t="s">
        <v>21</v>
      </c>
      <c r="H87" s="1">
        <v>16</v>
      </c>
      <c r="I87" s="1">
        <v>3</v>
      </c>
      <c r="J87" s="1" t="s">
        <v>21</v>
      </c>
      <c r="K87" s="1">
        <v>2</v>
      </c>
      <c r="L87" s="1" t="s">
        <v>23</v>
      </c>
      <c r="M87" s="1" t="s">
        <v>24</v>
      </c>
      <c r="N87" s="1" t="s">
        <v>21</v>
      </c>
      <c r="O87" s="1">
        <v>357.27999299999999</v>
      </c>
      <c r="P87" s="1">
        <v>355.71769799999998</v>
      </c>
      <c r="Q87" s="2">
        <f t="shared" si="2"/>
        <v>4.3727469508767205E-3</v>
      </c>
      <c r="R87" s="1" t="s">
        <v>25</v>
      </c>
      <c r="S87" s="4">
        <v>19.39</v>
      </c>
      <c r="T87" s="5">
        <v>6.120000034570694E-5</v>
      </c>
    </row>
    <row r="88" spans="1:20">
      <c r="A88" s="1" t="s">
        <v>111</v>
      </c>
      <c r="B88" s="1">
        <v>14</v>
      </c>
      <c r="C88" s="1">
        <v>1</v>
      </c>
      <c r="D88" s="1" t="s">
        <v>21</v>
      </c>
      <c r="E88" s="1">
        <v>6</v>
      </c>
      <c r="F88" s="1">
        <v>2</v>
      </c>
      <c r="G88" s="1" t="s">
        <v>22</v>
      </c>
      <c r="H88" s="1">
        <v>16</v>
      </c>
      <c r="I88" s="1">
        <v>1</v>
      </c>
      <c r="J88" s="1" t="s">
        <v>21</v>
      </c>
      <c r="K88" s="1">
        <v>6</v>
      </c>
      <c r="L88" s="1" t="s">
        <v>23</v>
      </c>
      <c r="M88" s="1" t="s">
        <v>24</v>
      </c>
      <c r="N88" s="1" t="s">
        <v>21</v>
      </c>
      <c r="O88" s="1">
        <v>862.11997899999994</v>
      </c>
      <c r="P88" s="1">
        <v>887.575692</v>
      </c>
      <c r="Q88" s="2">
        <f t="shared" si="2"/>
        <v>2.9526879807990229E-2</v>
      </c>
      <c r="R88" s="1" t="s">
        <v>25</v>
      </c>
      <c r="S88" s="4">
        <v>19.260000000000002</v>
      </c>
      <c r="T88" s="5">
        <v>7.3699979111552238E-5</v>
      </c>
    </row>
    <row r="89" spans="1:20">
      <c r="A89" s="1" t="s">
        <v>112</v>
      </c>
      <c r="B89" s="1">
        <v>12</v>
      </c>
      <c r="C89" s="1">
        <v>2</v>
      </c>
      <c r="D89" s="1" t="s">
        <v>22</v>
      </c>
      <c r="E89" s="1">
        <v>5</v>
      </c>
      <c r="F89" s="1">
        <v>4</v>
      </c>
      <c r="G89" s="1" t="s">
        <v>21</v>
      </c>
      <c r="H89" s="1">
        <v>16</v>
      </c>
      <c r="I89" s="1">
        <v>2</v>
      </c>
      <c r="J89" s="1" t="s">
        <v>21</v>
      </c>
      <c r="K89" s="1">
        <v>2</v>
      </c>
      <c r="L89" s="1" t="s">
        <v>23</v>
      </c>
      <c r="M89" s="1" t="s">
        <v>24</v>
      </c>
      <c r="N89" s="1" t="s">
        <v>21</v>
      </c>
      <c r="O89" s="1">
        <v>392.27999199999999</v>
      </c>
      <c r="P89" s="1">
        <v>426.861267</v>
      </c>
      <c r="Q89" s="2">
        <f t="shared" si="2"/>
        <v>8.8154572512584337E-2</v>
      </c>
      <c r="R89" s="1" t="s">
        <v>25</v>
      </c>
      <c r="S89" s="4">
        <v>19.62</v>
      </c>
      <c r="T89" s="5">
        <v>6.0999998822808272E-5</v>
      </c>
    </row>
    <row r="90" spans="1:20">
      <c r="A90" s="1" t="s">
        <v>113</v>
      </c>
      <c r="B90" s="1">
        <v>10</v>
      </c>
      <c r="C90" s="1">
        <v>1</v>
      </c>
      <c r="D90" s="1" t="s">
        <v>21</v>
      </c>
      <c r="E90" s="1">
        <v>8</v>
      </c>
      <c r="F90" s="1">
        <v>3</v>
      </c>
      <c r="G90" s="1" t="s">
        <v>21</v>
      </c>
      <c r="H90" s="1">
        <v>10</v>
      </c>
      <c r="I90" s="1">
        <v>8</v>
      </c>
      <c r="J90" s="1" t="s">
        <v>21</v>
      </c>
      <c r="K90" s="1">
        <v>4</v>
      </c>
      <c r="L90" s="1" t="s">
        <v>23</v>
      </c>
      <c r="M90" s="1" t="s">
        <v>24</v>
      </c>
      <c r="N90" s="1" t="s">
        <v>21</v>
      </c>
      <c r="O90" s="1">
        <v>196.27999600000001</v>
      </c>
      <c r="P90" s="1">
        <v>187.42380800000001</v>
      </c>
      <c r="Q90" s="2">
        <f t="shared" si="2"/>
        <v>4.512017617933925E-2</v>
      </c>
      <c r="R90" s="1" t="s">
        <v>25</v>
      </c>
      <c r="S90" s="4">
        <v>19.940000000000001</v>
      </c>
      <c r="T90" s="5">
        <v>4.6999950427561998E-5</v>
      </c>
    </row>
    <row r="91" spans="1:20">
      <c r="A91" s="1" t="s">
        <v>114</v>
      </c>
      <c r="B91" s="1">
        <v>6</v>
      </c>
      <c r="C91" s="1">
        <v>3</v>
      </c>
      <c r="D91" s="1" t="s">
        <v>21</v>
      </c>
      <c r="E91" s="1">
        <v>10</v>
      </c>
      <c r="F91" s="1">
        <v>2</v>
      </c>
      <c r="G91" s="1" t="s">
        <v>21</v>
      </c>
      <c r="H91" s="1">
        <v>6</v>
      </c>
      <c r="I91" s="1">
        <v>1</v>
      </c>
      <c r="J91" s="1" t="s">
        <v>21</v>
      </c>
      <c r="K91" s="1">
        <v>2</v>
      </c>
      <c r="L91" s="1" t="s">
        <v>23</v>
      </c>
      <c r="M91" s="1" t="s">
        <v>24</v>
      </c>
      <c r="N91" s="1" t="s">
        <v>22</v>
      </c>
      <c r="O91" s="1">
        <v>189.280001</v>
      </c>
      <c r="P91" s="1">
        <v>171.719053</v>
      </c>
      <c r="Q91" s="2">
        <f t="shared" si="2"/>
        <v>9.2777619966305874E-2</v>
      </c>
      <c r="R91" s="1" t="s">
        <v>25</v>
      </c>
      <c r="S91" s="4">
        <v>19.420000000000002</v>
      </c>
      <c r="T91" s="5">
        <v>5.6299963034689433E-5</v>
      </c>
    </row>
    <row r="92" spans="1:20">
      <c r="A92" s="1" t="s">
        <v>115</v>
      </c>
      <c r="B92" s="1">
        <v>9</v>
      </c>
      <c r="C92" s="1">
        <v>4</v>
      </c>
      <c r="D92" s="1" t="s">
        <v>22</v>
      </c>
      <c r="E92" s="1">
        <v>6</v>
      </c>
      <c r="F92" s="1">
        <v>0</v>
      </c>
      <c r="G92" s="1" t="s">
        <v>22</v>
      </c>
      <c r="H92" s="1">
        <v>10</v>
      </c>
      <c r="I92" s="1">
        <v>8</v>
      </c>
      <c r="J92" s="1" t="s">
        <v>22</v>
      </c>
      <c r="K92" s="1">
        <v>0</v>
      </c>
      <c r="L92" s="1" t="s">
        <v>23</v>
      </c>
      <c r="M92" s="1" t="s">
        <v>24</v>
      </c>
      <c r="N92" s="1" t="s">
        <v>21</v>
      </c>
      <c r="O92" s="1">
        <v>38.08</v>
      </c>
      <c r="P92" s="1">
        <v>38.08</v>
      </c>
      <c r="Q92" s="2">
        <f t="shared" si="2"/>
        <v>0</v>
      </c>
      <c r="R92" s="1" t="s">
        <v>25</v>
      </c>
      <c r="S92" s="4">
        <v>20</v>
      </c>
      <c r="T92" s="5">
        <v>4.7600013203918927E-5</v>
      </c>
    </row>
    <row r="93" spans="1:20">
      <c r="A93" s="1" t="s">
        <v>116</v>
      </c>
      <c r="B93" s="1">
        <v>6</v>
      </c>
      <c r="C93" s="1">
        <v>1</v>
      </c>
      <c r="D93" s="1" t="s">
        <v>21</v>
      </c>
      <c r="E93" s="1">
        <v>10</v>
      </c>
      <c r="F93" s="1">
        <v>2</v>
      </c>
      <c r="G93" s="1" t="s">
        <v>21</v>
      </c>
      <c r="H93" s="1">
        <v>10</v>
      </c>
      <c r="I93" s="1">
        <v>3</v>
      </c>
      <c r="J93" s="1" t="s">
        <v>21</v>
      </c>
      <c r="K93" s="1">
        <v>2</v>
      </c>
      <c r="L93" s="1" t="s">
        <v>23</v>
      </c>
      <c r="M93" s="1" t="s">
        <v>24</v>
      </c>
      <c r="N93" s="1" t="s">
        <v>22</v>
      </c>
      <c r="O93" s="1">
        <v>248.08000200000001</v>
      </c>
      <c r="P93" s="1">
        <v>234.26627199999999</v>
      </c>
      <c r="Q93" s="2">
        <f t="shared" si="2"/>
        <v>5.5682561627841409E-2</v>
      </c>
      <c r="R93" s="1" t="s">
        <v>25</v>
      </c>
      <c r="S93" s="4">
        <v>19.71</v>
      </c>
      <c r="T93" s="5">
        <v>4.8200017772614963E-5</v>
      </c>
    </row>
    <row r="94" spans="1:20">
      <c r="A94" s="1" t="s">
        <v>117</v>
      </c>
      <c r="B94" s="1">
        <v>16</v>
      </c>
      <c r="C94" s="1">
        <v>1</v>
      </c>
      <c r="D94" s="1" t="s">
        <v>22</v>
      </c>
      <c r="E94" s="1">
        <v>6</v>
      </c>
      <c r="F94" s="1">
        <v>0</v>
      </c>
      <c r="G94" s="1" t="s">
        <v>21</v>
      </c>
      <c r="H94" s="1">
        <v>16</v>
      </c>
      <c r="I94" s="1">
        <v>3</v>
      </c>
      <c r="J94" s="1" t="s">
        <v>21</v>
      </c>
      <c r="K94" s="1">
        <v>1</v>
      </c>
      <c r="L94" s="1" t="s">
        <v>23</v>
      </c>
      <c r="M94" s="1" t="s">
        <v>24</v>
      </c>
      <c r="N94" s="1" t="s">
        <v>21</v>
      </c>
      <c r="O94" s="1">
        <v>287.27999599999998</v>
      </c>
      <c r="P94" s="1">
        <v>301.51303999999999</v>
      </c>
      <c r="Q94" s="2">
        <f t="shared" si="2"/>
        <v>4.954415273662148E-2</v>
      </c>
      <c r="R94" s="1" t="s">
        <v>25</v>
      </c>
      <c r="S94" s="4">
        <v>19.420000000000002</v>
      </c>
      <c r="T94" s="5">
        <v>6.120000034570694E-5</v>
      </c>
    </row>
    <row r="95" spans="1:20">
      <c r="A95" s="1" t="s">
        <v>118</v>
      </c>
      <c r="B95" s="1">
        <v>8</v>
      </c>
      <c r="C95" s="1">
        <v>4</v>
      </c>
      <c r="D95" s="1" t="s">
        <v>21</v>
      </c>
      <c r="E95" s="1">
        <v>9</v>
      </c>
      <c r="F95" s="1">
        <v>2</v>
      </c>
      <c r="G95" s="1" t="s">
        <v>21</v>
      </c>
      <c r="H95" s="1">
        <v>5</v>
      </c>
      <c r="I95" s="1">
        <v>4</v>
      </c>
      <c r="J95" s="1" t="s">
        <v>21</v>
      </c>
      <c r="K95" s="1">
        <v>6</v>
      </c>
      <c r="L95" s="1" t="s">
        <v>23</v>
      </c>
      <c r="M95" s="1" t="s">
        <v>24</v>
      </c>
      <c r="N95" s="1" t="s">
        <v>22</v>
      </c>
      <c r="O95" s="1">
        <v>221.20000300000001</v>
      </c>
      <c r="P95" s="1">
        <v>225.60041899999999</v>
      </c>
      <c r="Q95" s="2">
        <f t="shared" si="2"/>
        <v>1.9893381285351872E-2</v>
      </c>
      <c r="R95" s="1" t="s">
        <v>25</v>
      </c>
      <c r="S95" s="4">
        <v>19.78</v>
      </c>
      <c r="T95" s="5">
        <v>4.3400039430707693E-5</v>
      </c>
    </row>
    <row r="96" spans="1:20">
      <c r="A96" s="1" t="s">
        <v>119</v>
      </c>
      <c r="B96" s="1">
        <v>10</v>
      </c>
      <c r="C96" s="1">
        <v>1</v>
      </c>
      <c r="D96" s="1" t="s">
        <v>22</v>
      </c>
      <c r="E96" s="1">
        <v>5</v>
      </c>
      <c r="F96" s="1">
        <v>4</v>
      </c>
      <c r="G96" s="1" t="s">
        <v>22</v>
      </c>
      <c r="H96" s="1">
        <v>8</v>
      </c>
      <c r="I96" s="1">
        <v>4</v>
      </c>
      <c r="J96" s="1" t="s">
        <v>22</v>
      </c>
      <c r="K96" s="1">
        <v>6</v>
      </c>
      <c r="L96" s="1" t="s">
        <v>23</v>
      </c>
      <c r="M96" s="1" t="s">
        <v>24</v>
      </c>
      <c r="N96" s="1" t="s">
        <v>22</v>
      </c>
      <c r="O96" s="1">
        <v>364.00000499999999</v>
      </c>
      <c r="P96" s="1">
        <v>361.61216200000001</v>
      </c>
      <c r="Q96" s="2">
        <f t="shared" si="2"/>
        <v>6.5600081516481723E-3</v>
      </c>
      <c r="R96" s="1" t="s">
        <v>25</v>
      </c>
      <c r="S96" s="4">
        <v>19.559999999999999</v>
      </c>
      <c r="T96" s="5">
        <v>5.2399991545826197E-5</v>
      </c>
    </row>
    <row r="97" spans="1:20">
      <c r="A97" s="1" t="s">
        <v>120</v>
      </c>
      <c r="B97" s="1">
        <v>10</v>
      </c>
      <c r="C97" s="1">
        <v>2</v>
      </c>
      <c r="D97" s="1" t="s">
        <v>22</v>
      </c>
      <c r="E97" s="1">
        <v>12</v>
      </c>
      <c r="F97" s="1">
        <v>4</v>
      </c>
      <c r="G97" s="1" t="s">
        <v>21</v>
      </c>
      <c r="H97" s="1">
        <v>5</v>
      </c>
      <c r="I97" s="1">
        <v>0</v>
      </c>
      <c r="J97" s="1" t="s">
        <v>21</v>
      </c>
      <c r="K97" s="1">
        <v>0</v>
      </c>
      <c r="L97" s="1" t="s">
        <v>23</v>
      </c>
      <c r="M97" s="1" t="s">
        <v>24</v>
      </c>
      <c r="N97" s="1" t="s">
        <v>21</v>
      </c>
      <c r="O97" s="1">
        <v>121.24</v>
      </c>
      <c r="P97" s="1">
        <v>110.82503199999999</v>
      </c>
      <c r="Q97" s="2">
        <f t="shared" si="2"/>
        <v>8.5903728142527239E-2</v>
      </c>
      <c r="R97" s="1" t="s">
        <v>25</v>
      </c>
      <c r="S97" s="4">
        <v>20.010000000000002</v>
      </c>
      <c r="T97" s="5">
        <v>4.8600020818412297E-5</v>
      </c>
    </row>
    <row r="98" spans="1:20">
      <c r="A98" s="1" t="s">
        <v>121</v>
      </c>
      <c r="B98" s="1">
        <v>16</v>
      </c>
      <c r="C98" s="1">
        <v>2</v>
      </c>
      <c r="D98" s="1" t="s">
        <v>21</v>
      </c>
      <c r="E98" s="1">
        <v>8</v>
      </c>
      <c r="F98" s="1">
        <v>2</v>
      </c>
      <c r="G98" s="1" t="s">
        <v>22</v>
      </c>
      <c r="H98" s="1">
        <v>16</v>
      </c>
      <c r="I98" s="1">
        <v>4</v>
      </c>
      <c r="J98" s="1" t="s">
        <v>21</v>
      </c>
      <c r="K98" s="1">
        <v>2</v>
      </c>
      <c r="L98" s="1" t="s">
        <v>23</v>
      </c>
      <c r="M98" s="1" t="s">
        <v>24</v>
      </c>
      <c r="N98" s="1" t="s">
        <v>21</v>
      </c>
      <c r="O98" s="1">
        <v>396.75999300000001</v>
      </c>
      <c r="P98" s="1">
        <v>416.14943099999999</v>
      </c>
      <c r="Q98" s="2">
        <f t="shared" ref="Q98:Q129" si="3">ABS(P98-O98)/O98</f>
        <v>4.8869438305489593E-2</v>
      </c>
      <c r="R98" s="1" t="s">
        <v>25</v>
      </c>
      <c r="S98" s="4">
        <v>19.32</v>
      </c>
      <c r="T98" s="5">
        <v>6.1700004152953625E-5</v>
      </c>
    </row>
    <row r="99" spans="1:20">
      <c r="A99" s="1" t="s">
        <v>122</v>
      </c>
      <c r="B99" s="1">
        <v>14</v>
      </c>
      <c r="C99" s="1">
        <v>8</v>
      </c>
      <c r="D99" s="1" t="s">
        <v>21</v>
      </c>
      <c r="E99" s="1">
        <v>9</v>
      </c>
      <c r="F99" s="1">
        <v>2</v>
      </c>
      <c r="G99" s="1" t="s">
        <v>22</v>
      </c>
      <c r="H99" s="1">
        <v>12</v>
      </c>
      <c r="I99" s="1">
        <v>3</v>
      </c>
      <c r="J99" s="1" t="s">
        <v>21</v>
      </c>
      <c r="K99" s="1">
        <v>4</v>
      </c>
      <c r="L99" s="1" t="s">
        <v>23</v>
      </c>
      <c r="M99" s="1" t="s">
        <v>24</v>
      </c>
      <c r="N99" s="1" t="s">
        <v>21</v>
      </c>
      <c r="O99" s="1">
        <v>503.99999000000003</v>
      </c>
      <c r="P99" s="1">
        <v>496.21798000000001</v>
      </c>
      <c r="Q99" s="2">
        <f t="shared" si="3"/>
        <v>1.5440496338105113E-2</v>
      </c>
      <c r="R99" s="1" t="s">
        <v>25</v>
      </c>
      <c r="S99" s="4">
        <v>19.68</v>
      </c>
      <c r="T99" s="5">
        <v>5.9500045608729117E-5</v>
      </c>
    </row>
    <row r="100" spans="1:20">
      <c r="A100" s="1" t="s">
        <v>123</v>
      </c>
      <c r="B100" s="1">
        <v>12</v>
      </c>
      <c r="C100" s="1">
        <v>6</v>
      </c>
      <c r="D100" s="1" t="s">
        <v>21</v>
      </c>
      <c r="E100" s="1">
        <v>6</v>
      </c>
      <c r="F100" s="1">
        <v>1</v>
      </c>
      <c r="G100" s="1" t="s">
        <v>22</v>
      </c>
      <c r="H100" s="1">
        <v>8</v>
      </c>
      <c r="I100" s="1">
        <v>1</v>
      </c>
      <c r="J100" s="1" t="s">
        <v>21</v>
      </c>
      <c r="K100" s="1">
        <v>3</v>
      </c>
      <c r="L100" s="1" t="s">
        <v>23</v>
      </c>
      <c r="M100" s="1" t="s">
        <v>24</v>
      </c>
      <c r="N100" s="1" t="s">
        <v>21</v>
      </c>
      <c r="O100" s="1">
        <v>283.639995</v>
      </c>
      <c r="P100" s="1">
        <v>281.70853799999998</v>
      </c>
      <c r="Q100" s="2">
        <f t="shared" si="3"/>
        <v>6.8095368567469587E-3</v>
      </c>
      <c r="R100" s="1" t="s">
        <v>25</v>
      </c>
      <c r="S100" s="4">
        <v>19.46</v>
      </c>
      <c r="T100" s="5">
        <v>5.0100032240152359E-5</v>
      </c>
    </row>
    <row r="101" spans="1:20">
      <c r="A101" s="1" t="s">
        <v>124</v>
      </c>
      <c r="B101" s="1">
        <v>8</v>
      </c>
      <c r="C101" s="1">
        <v>4</v>
      </c>
      <c r="D101" s="1" t="s">
        <v>22</v>
      </c>
      <c r="E101" s="1">
        <v>12</v>
      </c>
      <c r="F101" s="1">
        <v>6</v>
      </c>
      <c r="G101" s="1" t="s">
        <v>22</v>
      </c>
      <c r="H101" s="1">
        <v>8</v>
      </c>
      <c r="I101" s="1">
        <v>1</v>
      </c>
      <c r="J101" s="1" t="s">
        <v>22</v>
      </c>
      <c r="K101" s="1">
        <v>4</v>
      </c>
      <c r="L101" s="1" t="s">
        <v>23</v>
      </c>
      <c r="M101" s="1" t="s">
        <v>24</v>
      </c>
      <c r="N101" s="1" t="s">
        <v>22</v>
      </c>
      <c r="O101" s="1">
        <v>335.72000400000002</v>
      </c>
      <c r="P101" s="1">
        <v>341.767629</v>
      </c>
      <c r="Q101" s="2">
        <f t="shared" si="3"/>
        <v>1.8013895293531517E-2</v>
      </c>
      <c r="R101" s="1" t="s">
        <v>25</v>
      </c>
      <c r="S101" s="4">
        <v>19.100000000000001</v>
      </c>
      <c r="T101" s="5">
        <v>6.0899998061358929E-5</v>
      </c>
    </row>
    <row r="102" spans="1:20">
      <c r="A102" s="1" t="s">
        <v>20</v>
      </c>
      <c r="B102" s="1">
        <v>3</v>
      </c>
      <c r="C102" s="1">
        <v>0</v>
      </c>
      <c r="D102" s="1" t="s">
        <v>21</v>
      </c>
      <c r="E102" s="1">
        <v>14</v>
      </c>
      <c r="F102" s="1">
        <v>5</v>
      </c>
      <c r="G102" s="1" t="s">
        <v>21</v>
      </c>
      <c r="H102" s="1">
        <v>11</v>
      </c>
      <c r="I102" s="1">
        <v>8</v>
      </c>
      <c r="J102" s="1" t="s">
        <v>21</v>
      </c>
      <c r="K102" s="1">
        <v>2</v>
      </c>
      <c r="L102" s="1" t="s">
        <v>23</v>
      </c>
      <c r="M102" s="1" t="s">
        <v>24</v>
      </c>
      <c r="N102" s="1" t="s">
        <v>21</v>
      </c>
      <c r="O102" s="1">
        <v>190.39999599999999</v>
      </c>
      <c r="P102" s="1">
        <v>168.448194</v>
      </c>
      <c r="Q102" s="2">
        <f t="shared" si="3"/>
        <v>0.1152930801532159</v>
      </c>
      <c r="R102" s="1" t="s">
        <v>125</v>
      </c>
      <c r="S102" s="4">
        <v>19.28</v>
      </c>
      <c r="T102" s="5">
        <v>5.0399976316839463E-5</v>
      </c>
    </row>
    <row r="103" spans="1:20">
      <c r="A103" s="1" t="s">
        <v>26</v>
      </c>
      <c r="B103" s="1">
        <v>16</v>
      </c>
      <c r="C103" s="1">
        <v>12</v>
      </c>
      <c r="D103" s="1" t="s">
        <v>22</v>
      </c>
      <c r="E103" s="1">
        <v>10</v>
      </c>
      <c r="F103" s="1">
        <v>1</v>
      </c>
      <c r="G103" s="1" t="s">
        <v>22</v>
      </c>
      <c r="H103" s="1">
        <v>11</v>
      </c>
      <c r="I103" s="1">
        <v>8</v>
      </c>
      <c r="J103" s="1" t="s">
        <v>22</v>
      </c>
      <c r="K103" s="1">
        <v>6</v>
      </c>
      <c r="L103" s="1" t="s">
        <v>23</v>
      </c>
      <c r="M103" s="1" t="s">
        <v>24</v>
      </c>
      <c r="N103" s="1" t="s">
        <v>21</v>
      </c>
      <c r="O103" s="1">
        <v>524.159986</v>
      </c>
      <c r="P103" s="1">
        <v>521.99146800000005</v>
      </c>
      <c r="Q103" s="2">
        <f t="shared" si="3"/>
        <v>4.1371299945050536E-3</v>
      </c>
      <c r="R103" s="1" t="s">
        <v>125</v>
      </c>
      <c r="S103" s="4">
        <v>19.399999999999999</v>
      </c>
      <c r="T103" s="5">
        <v>6.6700042225420475E-5</v>
      </c>
    </row>
    <row r="104" spans="1:20">
      <c r="A104" s="1" t="s">
        <v>27</v>
      </c>
      <c r="B104" s="1">
        <v>12</v>
      </c>
      <c r="C104" s="1">
        <v>2</v>
      </c>
      <c r="D104" s="1" t="s">
        <v>22</v>
      </c>
      <c r="E104" s="1">
        <v>10</v>
      </c>
      <c r="F104" s="1">
        <v>3</v>
      </c>
      <c r="G104" s="1" t="s">
        <v>21</v>
      </c>
      <c r="H104" s="1">
        <v>8</v>
      </c>
      <c r="I104" s="1">
        <v>2</v>
      </c>
      <c r="J104" s="1" t="s">
        <v>21</v>
      </c>
      <c r="K104" s="1">
        <v>0</v>
      </c>
      <c r="L104" s="1" t="s">
        <v>23</v>
      </c>
      <c r="M104" s="1" t="s">
        <v>24</v>
      </c>
      <c r="N104" s="1" t="s">
        <v>22</v>
      </c>
      <c r="O104" s="1">
        <v>152.6</v>
      </c>
      <c r="P104" s="1">
        <v>141.597511</v>
      </c>
      <c r="Q104" s="2">
        <f t="shared" si="3"/>
        <v>7.210019003931846E-2</v>
      </c>
      <c r="R104" s="1" t="s">
        <v>125</v>
      </c>
      <c r="S104" s="4">
        <v>19.39</v>
      </c>
      <c r="T104" s="5">
        <v>4.9499969463795417E-5</v>
      </c>
    </row>
    <row r="105" spans="1:20">
      <c r="A105" s="1" t="s">
        <v>28</v>
      </c>
      <c r="B105" s="1">
        <v>5</v>
      </c>
      <c r="C105" s="1">
        <v>0</v>
      </c>
      <c r="D105" s="1" t="s">
        <v>22</v>
      </c>
      <c r="E105" s="1">
        <v>12</v>
      </c>
      <c r="F105" s="1">
        <v>5</v>
      </c>
      <c r="G105" s="1" t="s">
        <v>22</v>
      </c>
      <c r="H105" s="1">
        <v>18</v>
      </c>
      <c r="I105" s="1">
        <v>2</v>
      </c>
      <c r="J105" s="1" t="s">
        <v>22</v>
      </c>
      <c r="K105" s="1">
        <v>1</v>
      </c>
      <c r="L105" s="1" t="s">
        <v>23</v>
      </c>
      <c r="M105" s="1" t="s">
        <v>24</v>
      </c>
      <c r="N105" s="1" t="s">
        <v>21</v>
      </c>
      <c r="O105" s="1">
        <v>266.83999599999999</v>
      </c>
      <c r="P105" s="1">
        <v>255.99456599999999</v>
      </c>
      <c r="Q105" s="2">
        <f t="shared" si="3"/>
        <v>4.0643944545704434E-2</v>
      </c>
      <c r="R105" s="1" t="s">
        <v>125</v>
      </c>
      <c r="S105" s="4">
        <v>18.62</v>
      </c>
      <c r="T105" s="5">
        <v>5.9200043324381113E-5</v>
      </c>
    </row>
    <row r="106" spans="1:20">
      <c r="A106" s="1" t="s">
        <v>29</v>
      </c>
      <c r="B106" s="1">
        <v>16</v>
      </c>
      <c r="C106" s="1">
        <v>9</v>
      </c>
      <c r="D106" s="1" t="s">
        <v>21</v>
      </c>
      <c r="E106" s="1">
        <v>8</v>
      </c>
      <c r="F106" s="1">
        <v>4</v>
      </c>
      <c r="G106" s="1" t="s">
        <v>22</v>
      </c>
      <c r="H106" s="1">
        <v>17</v>
      </c>
      <c r="I106" s="1">
        <v>1</v>
      </c>
      <c r="J106" s="1" t="s">
        <v>21</v>
      </c>
      <c r="K106" s="1">
        <v>4</v>
      </c>
      <c r="L106" s="1" t="s">
        <v>23</v>
      </c>
      <c r="M106" s="1" t="s">
        <v>24</v>
      </c>
      <c r="N106" s="1" t="s">
        <v>22</v>
      </c>
      <c r="O106" s="1">
        <v>571.480008</v>
      </c>
      <c r="P106" s="1">
        <v>575.94711299999994</v>
      </c>
      <c r="Q106" s="2">
        <f t="shared" si="3"/>
        <v>7.8167301348535476E-3</v>
      </c>
      <c r="R106" s="1" t="s">
        <v>125</v>
      </c>
      <c r="S106" s="4">
        <v>19.190000000000001</v>
      </c>
      <c r="T106" s="5">
        <v>6.2700011767446995E-5</v>
      </c>
    </row>
    <row r="107" spans="1:20">
      <c r="A107" s="1" t="s">
        <v>30</v>
      </c>
      <c r="B107" s="1">
        <v>9</v>
      </c>
      <c r="C107" s="1">
        <v>2</v>
      </c>
      <c r="D107" s="1" t="s">
        <v>22</v>
      </c>
      <c r="E107" s="1">
        <v>16</v>
      </c>
      <c r="F107" s="1">
        <v>9</v>
      </c>
      <c r="G107" s="1" t="s">
        <v>21</v>
      </c>
      <c r="H107" s="1">
        <v>21</v>
      </c>
      <c r="I107" s="1">
        <v>1</v>
      </c>
      <c r="J107" s="1" t="s">
        <v>21</v>
      </c>
      <c r="K107" s="1">
        <v>1</v>
      </c>
      <c r="L107" s="1" t="s">
        <v>23</v>
      </c>
      <c r="M107" s="1" t="s">
        <v>24</v>
      </c>
      <c r="N107" s="1" t="s">
        <v>21</v>
      </c>
      <c r="O107" s="1">
        <v>325.079995</v>
      </c>
      <c r="P107" s="1">
        <v>324.70222100000001</v>
      </c>
      <c r="Q107" s="2">
        <f t="shared" si="3"/>
        <v>1.1620955020624634E-3</v>
      </c>
      <c r="R107" s="1" t="s">
        <v>125</v>
      </c>
      <c r="S107" s="4">
        <v>18.75</v>
      </c>
      <c r="T107" s="5">
        <v>6.0700054746121168E-5</v>
      </c>
    </row>
    <row r="108" spans="1:20">
      <c r="A108" s="1" t="s">
        <v>31</v>
      </c>
      <c r="B108" s="1">
        <v>4</v>
      </c>
      <c r="C108" s="1">
        <v>0</v>
      </c>
      <c r="D108" s="1" t="s">
        <v>21</v>
      </c>
      <c r="E108" s="1">
        <v>12</v>
      </c>
      <c r="F108" s="1">
        <v>8</v>
      </c>
      <c r="G108" s="1" t="s">
        <v>22</v>
      </c>
      <c r="H108" s="1">
        <v>6</v>
      </c>
      <c r="I108" s="1">
        <v>4</v>
      </c>
      <c r="J108" s="1" t="s">
        <v>21</v>
      </c>
      <c r="K108" s="1">
        <v>3</v>
      </c>
      <c r="L108" s="1" t="s">
        <v>23</v>
      </c>
      <c r="M108" s="1" t="s">
        <v>24</v>
      </c>
      <c r="N108" s="1" t="s">
        <v>21</v>
      </c>
      <c r="O108" s="1">
        <v>180.87999600000001</v>
      </c>
      <c r="P108" s="1">
        <v>170.417393</v>
      </c>
      <c r="Q108" s="2">
        <f t="shared" si="3"/>
        <v>5.784278655114522E-2</v>
      </c>
      <c r="R108" s="1" t="s">
        <v>125</v>
      </c>
      <c r="S108" s="4">
        <v>18.48</v>
      </c>
      <c r="T108" s="5">
        <v>4.5799999497830868E-5</v>
      </c>
    </row>
    <row r="109" spans="1:20">
      <c r="A109" s="1" t="s">
        <v>32</v>
      </c>
      <c r="B109" s="1">
        <v>7</v>
      </c>
      <c r="C109" s="1">
        <v>0</v>
      </c>
      <c r="D109" s="1" t="s">
        <v>22</v>
      </c>
      <c r="E109" s="1">
        <v>24</v>
      </c>
      <c r="F109" s="1">
        <v>22</v>
      </c>
      <c r="G109" s="1" t="s">
        <v>22</v>
      </c>
      <c r="H109" s="1">
        <v>5</v>
      </c>
      <c r="I109" s="1">
        <v>1</v>
      </c>
      <c r="J109" s="1" t="s">
        <v>22</v>
      </c>
      <c r="K109" s="1">
        <v>6</v>
      </c>
      <c r="L109" s="1" t="s">
        <v>23</v>
      </c>
      <c r="M109" s="1" t="s">
        <v>24</v>
      </c>
      <c r="N109" s="1" t="s">
        <v>22</v>
      </c>
      <c r="O109" s="1">
        <v>271.32000299999999</v>
      </c>
      <c r="P109" s="1">
        <v>281.58763800000003</v>
      </c>
      <c r="Q109" s="2">
        <f t="shared" si="3"/>
        <v>3.7843265835435076E-2</v>
      </c>
      <c r="R109" s="1" t="s">
        <v>125</v>
      </c>
      <c r="S109" s="4">
        <v>18.66</v>
      </c>
      <c r="T109" s="5">
        <v>6.9900008384138346E-5</v>
      </c>
    </row>
    <row r="110" spans="1:20">
      <c r="A110" s="1" t="s">
        <v>33</v>
      </c>
      <c r="B110" s="1">
        <v>24</v>
      </c>
      <c r="C110" s="1">
        <v>23</v>
      </c>
      <c r="D110" s="1" t="s">
        <v>21</v>
      </c>
      <c r="E110" s="1">
        <v>3</v>
      </c>
      <c r="F110" s="1">
        <v>1</v>
      </c>
      <c r="G110" s="1" t="s">
        <v>22</v>
      </c>
      <c r="H110" s="1">
        <v>20</v>
      </c>
      <c r="I110" s="1">
        <v>4</v>
      </c>
      <c r="J110" s="1" t="s">
        <v>21</v>
      </c>
      <c r="K110" s="1">
        <v>4</v>
      </c>
      <c r="L110" s="1" t="s">
        <v>23</v>
      </c>
      <c r="M110" s="1" t="s">
        <v>24</v>
      </c>
      <c r="N110" s="1" t="s">
        <v>22</v>
      </c>
      <c r="O110" s="1">
        <v>552.16000899999995</v>
      </c>
      <c r="P110" s="1">
        <v>532.01945999999998</v>
      </c>
      <c r="Q110" s="2">
        <f t="shared" si="3"/>
        <v>3.647592848398401E-2</v>
      </c>
      <c r="R110" s="1" t="s">
        <v>125</v>
      </c>
      <c r="S110" s="4">
        <v>18.899999999999999</v>
      </c>
      <c r="T110" s="5">
        <v>6.3300016336143017E-5</v>
      </c>
    </row>
    <row r="111" spans="1:20">
      <c r="A111" s="1" t="s">
        <v>34</v>
      </c>
      <c r="B111" s="1">
        <v>14</v>
      </c>
      <c r="C111" s="1">
        <v>4</v>
      </c>
      <c r="D111" s="1" t="s">
        <v>22</v>
      </c>
      <c r="E111" s="1">
        <v>9</v>
      </c>
      <c r="F111" s="1">
        <v>1</v>
      </c>
      <c r="G111" s="1" t="s">
        <v>21</v>
      </c>
      <c r="H111" s="1">
        <v>3</v>
      </c>
      <c r="I111" s="1">
        <v>0</v>
      </c>
      <c r="J111" s="1" t="s">
        <v>21</v>
      </c>
      <c r="K111" s="1">
        <v>0</v>
      </c>
      <c r="L111" s="1" t="s">
        <v>23</v>
      </c>
      <c r="M111" s="1" t="s">
        <v>24</v>
      </c>
      <c r="N111" s="1" t="s">
        <v>21</v>
      </c>
      <c r="O111" s="1">
        <v>52.36</v>
      </c>
      <c r="P111" s="1">
        <v>55.57667</v>
      </c>
      <c r="Q111" s="2">
        <f t="shared" si="3"/>
        <v>6.1433728036669223E-2</v>
      </c>
      <c r="R111" s="1" t="s">
        <v>125</v>
      </c>
      <c r="S111" s="4">
        <v>19.38</v>
      </c>
      <c r="T111" s="5">
        <v>4.4999993406236172E-5</v>
      </c>
    </row>
    <row r="112" spans="1:20">
      <c r="A112" s="1" t="s">
        <v>35</v>
      </c>
      <c r="B112" s="1">
        <v>10</v>
      </c>
      <c r="C112" s="1">
        <v>6</v>
      </c>
      <c r="D112" s="1" t="s">
        <v>21</v>
      </c>
      <c r="E112" s="1">
        <v>6</v>
      </c>
      <c r="F112" s="1">
        <v>1</v>
      </c>
      <c r="G112" s="1" t="s">
        <v>21</v>
      </c>
      <c r="H112" s="1">
        <v>9</v>
      </c>
      <c r="I112" s="1">
        <v>6</v>
      </c>
      <c r="J112" s="1" t="s">
        <v>21</v>
      </c>
      <c r="K112" s="1">
        <v>3</v>
      </c>
      <c r="L112" s="1" t="s">
        <v>23</v>
      </c>
      <c r="M112" s="1" t="s">
        <v>24</v>
      </c>
      <c r="N112" s="1" t="s">
        <v>21</v>
      </c>
      <c r="O112" s="1">
        <v>256.47999399999998</v>
      </c>
      <c r="P112" s="1">
        <v>250.88958</v>
      </c>
      <c r="Q112" s="2">
        <f t="shared" si="3"/>
        <v>2.1796686411338508E-2</v>
      </c>
      <c r="R112" s="1" t="s">
        <v>125</v>
      </c>
      <c r="S112" s="4">
        <v>18.34</v>
      </c>
      <c r="T112" s="5">
        <v>4.8600020818412297E-5</v>
      </c>
    </row>
    <row r="113" spans="1:20">
      <c r="A113" s="1" t="s">
        <v>36</v>
      </c>
      <c r="B113" s="1">
        <v>7</v>
      </c>
      <c r="C113" s="1">
        <v>3</v>
      </c>
      <c r="D113" s="1" t="s">
        <v>21</v>
      </c>
      <c r="E113" s="1">
        <v>3</v>
      </c>
      <c r="F113" s="1">
        <v>2</v>
      </c>
      <c r="G113" s="1" t="s">
        <v>22</v>
      </c>
      <c r="H113" s="1">
        <v>20</v>
      </c>
      <c r="I113" s="1">
        <v>0</v>
      </c>
      <c r="J113" s="1" t="s">
        <v>21</v>
      </c>
      <c r="K113" s="1">
        <v>6</v>
      </c>
      <c r="L113" s="1" t="s">
        <v>23</v>
      </c>
      <c r="M113" s="1" t="s">
        <v>24</v>
      </c>
      <c r="N113" s="1" t="s">
        <v>21</v>
      </c>
      <c r="O113" s="1">
        <v>908.319975</v>
      </c>
      <c r="P113" s="1">
        <v>896.72359900000004</v>
      </c>
      <c r="Q113" s="2">
        <f t="shared" si="3"/>
        <v>1.2766840231604468E-2</v>
      </c>
      <c r="R113" s="1" t="s">
        <v>125</v>
      </c>
      <c r="S113" s="4">
        <v>18.66</v>
      </c>
      <c r="T113" s="5">
        <v>4.439998883754015E-5</v>
      </c>
    </row>
    <row r="114" spans="1:20">
      <c r="A114" s="1" t="s">
        <v>37</v>
      </c>
      <c r="B114" s="1">
        <v>20</v>
      </c>
      <c r="C114" s="1">
        <v>16</v>
      </c>
      <c r="D114" s="1" t="s">
        <v>22</v>
      </c>
      <c r="E114" s="1">
        <v>4</v>
      </c>
      <c r="F114" s="1">
        <v>3</v>
      </c>
      <c r="G114" s="1" t="s">
        <v>22</v>
      </c>
      <c r="H114" s="1">
        <v>17</v>
      </c>
      <c r="I114" s="1">
        <v>1</v>
      </c>
      <c r="J114" s="1" t="s">
        <v>22</v>
      </c>
      <c r="K114" s="1">
        <v>6</v>
      </c>
      <c r="L114" s="1" t="s">
        <v>23</v>
      </c>
      <c r="M114" s="1" t="s">
        <v>24</v>
      </c>
      <c r="N114" s="1" t="s">
        <v>21</v>
      </c>
      <c r="O114" s="1">
        <v>822.63997800000004</v>
      </c>
      <c r="P114" s="1">
        <v>774.75137800000005</v>
      </c>
      <c r="Q114" s="2">
        <f t="shared" si="3"/>
        <v>5.8213314792245598E-2</v>
      </c>
      <c r="R114" s="1" t="s">
        <v>125</v>
      </c>
      <c r="S114" s="4">
        <v>19.3</v>
      </c>
      <c r="T114" s="5">
        <v>6.4699968788772821E-5</v>
      </c>
    </row>
    <row r="115" spans="1:20">
      <c r="A115" s="1" t="s">
        <v>38</v>
      </c>
      <c r="B115" s="1">
        <v>16</v>
      </c>
      <c r="C115" s="1">
        <v>10</v>
      </c>
      <c r="D115" s="1" t="s">
        <v>21</v>
      </c>
      <c r="E115" s="1">
        <v>16</v>
      </c>
      <c r="F115" s="1">
        <v>11</v>
      </c>
      <c r="G115" s="1" t="s">
        <v>22</v>
      </c>
      <c r="H115" s="1">
        <v>5</v>
      </c>
      <c r="I115" s="1">
        <v>1</v>
      </c>
      <c r="J115" s="1" t="s">
        <v>21</v>
      </c>
      <c r="K115" s="1">
        <v>2</v>
      </c>
      <c r="L115" s="1" t="s">
        <v>23</v>
      </c>
      <c r="M115" s="1" t="s">
        <v>24</v>
      </c>
      <c r="N115" s="1" t="s">
        <v>22</v>
      </c>
      <c r="O115" s="1">
        <v>241.36000200000001</v>
      </c>
      <c r="P115" s="1">
        <v>255.43197599999999</v>
      </c>
      <c r="Q115" s="2">
        <f t="shared" si="3"/>
        <v>5.8302841744258781E-2</v>
      </c>
      <c r="R115" s="1" t="s">
        <v>125</v>
      </c>
      <c r="S115" s="4">
        <v>19.2</v>
      </c>
      <c r="T115" s="5">
        <v>6.6499982494860888E-5</v>
      </c>
    </row>
    <row r="116" spans="1:20">
      <c r="A116" s="1" t="s">
        <v>39</v>
      </c>
      <c r="B116" s="1">
        <v>5</v>
      </c>
      <c r="C116" s="1">
        <v>1</v>
      </c>
      <c r="D116" s="1" t="s">
        <v>22</v>
      </c>
      <c r="E116" s="1">
        <v>8</v>
      </c>
      <c r="F116" s="1">
        <v>1</v>
      </c>
      <c r="G116" s="1" t="s">
        <v>21</v>
      </c>
      <c r="H116" s="1">
        <v>16</v>
      </c>
      <c r="I116" s="1">
        <v>0</v>
      </c>
      <c r="J116" s="1" t="s">
        <v>21</v>
      </c>
      <c r="K116" s="1">
        <v>1</v>
      </c>
      <c r="L116" s="1" t="s">
        <v>23</v>
      </c>
      <c r="M116" s="1" t="s">
        <v>24</v>
      </c>
      <c r="N116" s="1" t="s">
        <v>21</v>
      </c>
      <c r="O116" s="1">
        <v>236.87999600000001</v>
      </c>
      <c r="P116" s="1">
        <v>250.38642400000001</v>
      </c>
      <c r="Q116" s="2">
        <f t="shared" si="3"/>
        <v>5.7018018524451507E-2</v>
      </c>
      <c r="R116" s="1" t="s">
        <v>125</v>
      </c>
      <c r="S116" s="4">
        <v>19.07</v>
      </c>
      <c r="T116" s="5">
        <v>4.859996261075139E-5</v>
      </c>
    </row>
    <row r="117" spans="1:20">
      <c r="A117" s="1" t="s">
        <v>40</v>
      </c>
      <c r="B117" s="1">
        <v>14</v>
      </c>
      <c r="C117" s="1">
        <v>0</v>
      </c>
      <c r="D117" s="1" t="s">
        <v>22</v>
      </c>
      <c r="E117" s="1">
        <v>8</v>
      </c>
      <c r="F117" s="1">
        <v>3</v>
      </c>
      <c r="G117" s="1" t="s">
        <v>22</v>
      </c>
      <c r="H117" s="1">
        <v>17</v>
      </c>
      <c r="I117" s="1">
        <v>1</v>
      </c>
      <c r="J117" s="1" t="s">
        <v>22</v>
      </c>
      <c r="K117" s="1">
        <v>0</v>
      </c>
      <c r="L117" s="1" t="s">
        <v>23</v>
      </c>
      <c r="M117" s="1" t="s">
        <v>24</v>
      </c>
      <c r="N117" s="1" t="s">
        <v>22</v>
      </c>
      <c r="O117" s="1">
        <v>233.23999900000001</v>
      </c>
      <c r="P117" s="1">
        <v>236.26706100000001</v>
      </c>
      <c r="Q117" s="2">
        <f t="shared" si="3"/>
        <v>1.297831423845959E-2</v>
      </c>
      <c r="R117" s="1" t="s">
        <v>125</v>
      </c>
      <c r="S117" s="4">
        <v>19.43</v>
      </c>
      <c r="T117" s="5">
        <v>6.8499997723847628E-5</v>
      </c>
    </row>
    <row r="118" spans="1:20">
      <c r="A118" s="1" t="s">
        <v>41</v>
      </c>
      <c r="B118" s="1">
        <v>6</v>
      </c>
      <c r="C118" s="1">
        <v>5</v>
      </c>
      <c r="D118" s="1" t="s">
        <v>22</v>
      </c>
      <c r="E118" s="1">
        <v>12</v>
      </c>
      <c r="F118" s="1">
        <v>11</v>
      </c>
      <c r="G118" s="1" t="s">
        <v>22</v>
      </c>
      <c r="H118" s="1">
        <v>11</v>
      </c>
      <c r="I118" s="1">
        <v>8</v>
      </c>
      <c r="J118" s="1" t="s">
        <v>22</v>
      </c>
      <c r="K118" s="1">
        <v>0</v>
      </c>
      <c r="L118" s="1" t="s">
        <v>23</v>
      </c>
      <c r="M118" s="1" t="s">
        <v>24</v>
      </c>
      <c r="N118" s="1" t="s">
        <v>22</v>
      </c>
      <c r="O118" s="1">
        <v>153.16</v>
      </c>
      <c r="P118" s="1">
        <v>153.23921200000001</v>
      </c>
      <c r="Q118" s="2">
        <f t="shared" si="3"/>
        <v>5.1718464351013641E-4</v>
      </c>
      <c r="R118" s="1" t="s">
        <v>125</v>
      </c>
      <c r="S118" s="4">
        <v>19.16</v>
      </c>
      <c r="T118" s="5">
        <v>5.6700024288147688E-5</v>
      </c>
    </row>
    <row r="119" spans="1:20">
      <c r="A119" s="1" t="s">
        <v>42</v>
      </c>
      <c r="B119" s="1">
        <v>10</v>
      </c>
      <c r="C119" s="1">
        <v>6</v>
      </c>
      <c r="D119" s="1" t="s">
        <v>22</v>
      </c>
      <c r="E119" s="1">
        <v>6</v>
      </c>
      <c r="F119" s="1">
        <v>3</v>
      </c>
      <c r="G119" s="1" t="s">
        <v>21</v>
      </c>
      <c r="H119" s="1">
        <v>17</v>
      </c>
      <c r="I119" s="1">
        <v>1</v>
      </c>
      <c r="J119" s="1" t="s">
        <v>21</v>
      </c>
      <c r="K119" s="1">
        <v>6</v>
      </c>
      <c r="L119" s="1" t="s">
        <v>23</v>
      </c>
      <c r="M119" s="1" t="s">
        <v>24</v>
      </c>
      <c r="N119" s="1" t="s">
        <v>21</v>
      </c>
      <c r="O119" s="1">
        <v>822.91997800000001</v>
      </c>
      <c r="P119" s="1">
        <v>797.56843200000003</v>
      </c>
      <c r="Q119" s="2">
        <f t="shared" si="3"/>
        <v>3.0806818011167525E-2</v>
      </c>
      <c r="R119" s="1" t="s">
        <v>125</v>
      </c>
      <c r="S119" s="4">
        <v>19.190000000000001</v>
      </c>
      <c r="T119" s="5">
        <v>4.9199967179447412E-5</v>
      </c>
    </row>
    <row r="120" spans="1:20">
      <c r="A120" s="1" t="s">
        <v>43</v>
      </c>
      <c r="B120" s="1">
        <v>14</v>
      </c>
      <c r="C120" s="1">
        <v>6</v>
      </c>
      <c r="D120" s="1" t="s">
        <v>21</v>
      </c>
      <c r="E120" s="1">
        <v>4</v>
      </c>
      <c r="F120" s="1">
        <v>2</v>
      </c>
      <c r="G120" s="1" t="s">
        <v>21</v>
      </c>
      <c r="H120" s="1">
        <v>22</v>
      </c>
      <c r="I120" s="1">
        <v>6</v>
      </c>
      <c r="J120" s="1" t="s">
        <v>21</v>
      </c>
      <c r="K120" s="1">
        <v>2</v>
      </c>
      <c r="L120" s="1" t="s">
        <v>23</v>
      </c>
      <c r="M120" s="1" t="s">
        <v>24</v>
      </c>
      <c r="N120" s="1" t="s">
        <v>21</v>
      </c>
      <c r="O120" s="1">
        <v>464.79998999999998</v>
      </c>
      <c r="P120" s="1">
        <v>478.75679200000002</v>
      </c>
      <c r="Q120" s="2">
        <f t="shared" si="3"/>
        <v>3.0027543675291472E-2</v>
      </c>
      <c r="R120" s="1" t="s">
        <v>125</v>
      </c>
      <c r="S120" s="4">
        <v>19.09</v>
      </c>
      <c r="T120" s="5">
        <v>6.0799997299909592E-5</v>
      </c>
    </row>
    <row r="121" spans="1:20">
      <c r="A121" s="1" t="s">
        <v>44</v>
      </c>
      <c r="B121" s="1">
        <v>20</v>
      </c>
      <c r="C121" s="1">
        <v>11</v>
      </c>
      <c r="D121" s="1" t="s">
        <v>21</v>
      </c>
      <c r="E121" s="1">
        <v>9</v>
      </c>
      <c r="F121" s="1">
        <v>4</v>
      </c>
      <c r="G121" s="1" t="s">
        <v>21</v>
      </c>
      <c r="H121" s="1">
        <v>7</v>
      </c>
      <c r="I121" s="1">
        <v>6</v>
      </c>
      <c r="J121" s="1" t="s">
        <v>21</v>
      </c>
      <c r="K121" s="1">
        <v>3</v>
      </c>
      <c r="L121" s="1" t="s">
        <v>23</v>
      </c>
      <c r="M121" s="1" t="s">
        <v>24</v>
      </c>
      <c r="N121" s="1" t="s">
        <v>22</v>
      </c>
      <c r="O121" s="1">
        <v>231.560002</v>
      </c>
      <c r="P121" s="1">
        <v>208.88590500000001</v>
      </c>
      <c r="Q121" s="2">
        <f t="shared" si="3"/>
        <v>9.79188841084912E-2</v>
      </c>
      <c r="R121" s="1" t="s">
        <v>125</v>
      </c>
      <c r="S121" s="4">
        <v>19.05</v>
      </c>
      <c r="T121" s="5">
        <v>5.5200012866407633E-5</v>
      </c>
    </row>
    <row r="122" spans="1:20">
      <c r="A122" s="1" t="s">
        <v>45</v>
      </c>
      <c r="B122" s="1">
        <v>24</v>
      </c>
      <c r="C122" s="1">
        <v>5</v>
      </c>
      <c r="D122" s="1" t="s">
        <v>21</v>
      </c>
      <c r="E122" s="1">
        <v>9</v>
      </c>
      <c r="F122" s="1">
        <v>6</v>
      </c>
      <c r="G122" s="1" t="s">
        <v>21</v>
      </c>
      <c r="H122" s="1">
        <v>14</v>
      </c>
      <c r="I122" s="1">
        <v>8</v>
      </c>
      <c r="J122" s="1" t="s">
        <v>21</v>
      </c>
      <c r="K122" s="1">
        <v>3</v>
      </c>
      <c r="L122" s="1" t="s">
        <v>23</v>
      </c>
      <c r="M122" s="1" t="s">
        <v>24</v>
      </c>
      <c r="N122" s="1" t="s">
        <v>21</v>
      </c>
      <c r="O122" s="1">
        <v>451.63999200000001</v>
      </c>
      <c r="P122" s="1">
        <v>432.25474400000002</v>
      </c>
      <c r="Q122" s="2">
        <f t="shared" si="3"/>
        <v>4.2921903160426919E-2</v>
      </c>
      <c r="R122" s="1" t="s">
        <v>125</v>
      </c>
      <c r="S122" s="4">
        <v>19.13</v>
      </c>
      <c r="T122" s="5">
        <v>7.2599970735609531E-5</v>
      </c>
    </row>
    <row r="123" spans="1:20">
      <c r="A123" s="1" t="s">
        <v>46</v>
      </c>
      <c r="B123" s="1">
        <v>4</v>
      </c>
      <c r="C123" s="1">
        <v>3</v>
      </c>
      <c r="D123" s="1" t="s">
        <v>22</v>
      </c>
      <c r="E123" s="1">
        <v>3</v>
      </c>
      <c r="F123" s="1">
        <v>2</v>
      </c>
      <c r="G123" s="1" t="s">
        <v>21</v>
      </c>
      <c r="H123" s="1">
        <v>21</v>
      </c>
      <c r="I123" s="1">
        <v>1</v>
      </c>
      <c r="J123" s="1" t="s">
        <v>21</v>
      </c>
      <c r="K123" s="1">
        <v>6</v>
      </c>
      <c r="L123" s="1" t="s">
        <v>23</v>
      </c>
      <c r="M123" s="1" t="s">
        <v>24</v>
      </c>
      <c r="N123" s="1" t="s">
        <v>21</v>
      </c>
      <c r="O123" s="1">
        <v>930.15997300000004</v>
      </c>
      <c r="P123" s="1">
        <v>904.47516900000005</v>
      </c>
      <c r="Q123" s="2">
        <f t="shared" si="3"/>
        <v>2.7613318940353914E-2</v>
      </c>
      <c r="R123" s="1" t="s">
        <v>125</v>
      </c>
      <c r="S123" s="4">
        <v>19.39</v>
      </c>
      <c r="T123" s="5">
        <v>4.2100029531866312E-5</v>
      </c>
    </row>
    <row r="124" spans="1:20">
      <c r="A124" s="1" t="s">
        <v>47</v>
      </c>
      <c r="B124" s="1">
        <v>14</v>
      </c>
      <c r="C124" s="1">
        <v>10</v>
      </c>
      <c r="D124" s="1" t="s">
        <v>22</v>
      </c>
      <c r="E124" s="1">
        <v>4</v>
      </c>
      <c r="F124" s="1">
        <v>1</v>
      </c>
      <c r="G124" s="1" t="s">
        <v>22</v>
      </c>
      <c r="H124" s="1">
        <v>21</v>
      </c>
      <c r="I124" s="1">
        <v>1</v>
      </c>
      <c r="J124" s="1" t="s">
        <v>22</v>
      </c>
      <c r="K124" s="1">
        <v>0</v>
      </c>
      <c r="L124" s="1" t="s">
        <v>23</v>
      </c>
      <c r="M124" s="1" t="s">
        <v>24</v>
      </c>
      <c r="N124" s="1" t="s">
        <v>21</v>
      </c>
      <c r="O124" s="1">
        <v>130.19999999999999</v>
      </c>
      <c r="P124" s="1">
        <v>96.840348000000006</v>
      </c>
      <c r="Q124" s="2">
        <f t="shared" si="3"/>
        <v>0.25621852534562201</v>
      </c>
      <c r="R124" s="1" t="s">
        <v>125</v>
      </c>
      <c r="S124" s="4">
        <v>19.579999999999998</v>
      </c>
      <c r="T124" s="5">
        <v>5.43000060133636E-5</v>
      </c>
    </row>
    <row r="125" spans="1:20">
      <c r="A125" s="1" t="s">
        <v>48</v>
      </c>
      <c r="B125" s="1">
        <v>12</v>
      </c>
      <c r="C125" s="1">
        <v>7</v>
      </c>
      <c r="D125" s="1" t="s">
        <v>22</v>
      </c>
      <c r="E125" s="1">
        <v>16</v>
      </c>
      <c r="F125" s="1">
        <v>3</v>
      </c>
      <c r="G125" s="1" t="s">
        <v>21</v>
      </c>
      <c r="H125" s="1">
        <v>24</v>
      </c>
      <c r="I125" s="1">
        <v>4</v>
      </c>
      <c r="J125" s="1" t="s">
        <v>21</v>
      </c>
      <c r="K125" s="1">
        <v>2</v>
      </c>
      <c r="L125" s="1" t="s">
        <v>23</v>
      </c>
      <c r="M125" s="1" t="s">
        <v>24</v>
      </c>
      <c r="N125" s="1" t="s">
        <v>21</v>
      </c>
      <c r="O125" s="1">
        <v>574.27999</v>
      </c>
      <c r="P125" s="1">
        <v>620.45146899999997</v>
      </c>
      <c r="Q125" s="2">
        <f t="shared" si="3"/>
        <v>8.0398899150221095E-2</v>
      </c>
      <c r="R125" s="1" t="s">
        <v>125</v>
      </c>
      <c r="S125" s="4">
        <v>19.399999999999999</v>
      </c>
      <c r="T125" s="5">
        <v>7.2500028181821108E-5</v>
      </c>
    </row>
    <row r="126" spans="1:20">
      <c r="A126" s="1" t="s">
        <v>49</v>
      </c>
      <c r="B126" s="1">
        <v>20</v>
      </c>
      <c r="C126" s="1">
        <v>4</v>
      </c>
      <c r="D126" s="1" t="s">
        <v>22</v>
      </c>
      <c r="E126" s="1">
        <v>4</v>
      </c>
      <c r="F126" s="1">
        <v>2</v>
      </c>
      <c r="G126" s="1" t="s">
        <v>21</v>
      </c>
      <c r="H126" s="1">
        <v>12</v>
      </c>
      <c r="I126" s="1">
        <v>0</v>
      </c>
      <c r="J126" s="1" t="s">
        <v>21</v>
      </c>
      <c r="K126" s="1">
        <v>0</v>
      </c>
      <c r="L126" s="1" t="s">
        <v>23</v>
      </c>
      <c r="M126" s="1" t="s">
        <v>24</v>
      </c>
      <c r="N126" s="1" t="s">
        <v>22</v>
      </c>
      <c r="O126" s="1">
        <v>192.63999899999999</v>
      </c>
      <c r="P126" s="1">
        <v>221.89260200000001</v>
      </c>
      <c r="Q126" s="2">
        <f t="shared" si="3"/>
        <v>0.15185113762381208</v>
      </c>
      <c r="R126" s="1" t="s">
        <v>125</v>
      </c>
      <c r="S126" s="4">
        <v>19.91</v>
      </c>
      <c r="T126" s="5">
        <v>6.6599983256310225E-5</v>
      </c>
    </row>
    <row r="127" spans="1:20">
      <c r="A127" s="1" t="s">
        <v>50</v>
      </c>
      <c r="B127" s="1">
        <v>6</v>
      </c>
      <c r="C127" s="1">
        <v>5</v>
      </c>
      <c r="D127" s="1" t="s">
        <v>21</v>
      </c>
      <c r="E127" s="1">
        <v>14</v>
      </c>
      <c r="F127" s="1">
        <v>4</v>
      </c>
      <c r="G127" s="1" t="s">
        <v>21</v>
      </c>
      <c r="H127" s="1">
        <v>4</v>
      </c>
      <c r="I127" s="1">
        <v>1</v>
      </c>
      <c r="J127" s="1" t="s">
        <v>21</v>
      </c>
      <c r="K127" s="1">
        <v>6</v>
      </c>
      <c r="L127" s="1" t="s">
        <v>23</v>
      </c>
      <c r="M127" s="1" t="s">
        <v>24</v>
      </c>
      <c r="N127" s="1" t="s">
        <v>21</v>
      </c>
      <c r="O127" s="1">
        <v>255.919995</v>
      </c>
      <c r="P127" s="1">
        <v>252.82759200000001</v>
      </c>
      <c r="Q127" s="2">
        <f t="shared" si="3"/>
        <v>1.2083475540861862E-2</v>
      </c>
      <c r="R127" s="1" t="s">
        <v>125</v>
      </c>
      <c r="S127" s="4">
        <v>18.690000000000001</v>
      </c>
      <c r="T127" s="5">
        <v>5.229999078437686E-5</v>
      </c>
    </row>
    <row r="128" spans="1:20">
      <c r="A128" s="1" t="s">
        <v>51</v>
      </c>
      <c r="B128" s="1">
        <v>7</v>
      </c>
      <c r="C128" s="1">
        <v>3</v>
      </c>
      <c r="D128" s="1" t="s">
        <v>22</v>
      </c>
      <c r="E128" s="1">
        <v>24</v>
      </c>
      <c r="F128" s="1">
        <v>1</v>
      </c>
      <c r="G128" s="1" t="s">
        <v>21</v>
      </c>
      <c r="H128" s="1">
        <v>6</v>
      </c>
      <c r="I128" s="1">
        <v>3</v>
      </c>
      <c r="J128" s="1" t="s">
        <v>21</v>
      </c>
      <c r="K128" s="1">
        <v>6</v>
      </c>
      <c r="L128" s="1" t="s">
        <v>23</v>
      </c>
      <c r="M128" s="1" t="s">
        <v>24</v>
      </c>
      <c r="N128" s="1" t="s">
        <v>21</v>
      </c>
      <c r="O128" s="1">
        <v>302.399992</v>
      </c>
      <c r="P128" s="1">
        <v>304.605278</v>
      </c>
      <c r="Q128" s="2">
        <f t="shared" si="3"/>
        <v>7.2926126267886969E-3</v>
      </c>
      <c r="R128" s="1" t="s">
        <v>125</v>
      </c>
      <c r="S128" s="4">
        <v>18.559999999999999</v>
      </c>
      <c r="T128" s="5">
        <v>5.8800040278583772E-5</v>
      </c>
    </row>
    <row r="129" spans="1:20">
      <c r="A129" s="1" t="s">
        <v>52</v>
      </c>
      <c r="B129" s="1">
        <v>14</v>
      </c>
      <c r="C129" s="1">
        <v>0</v>
      </c>
      <c r="D129" s="1" t="s">
        <v>21</v>
      </c>
      <c r="E129" s="1">
        <v>7</v>
      </c>
      <c r="F129" s="1">
        <v>5</v>
      </c>
      <c r="G129" s="1" t="s">
        <v>22</v>
      </c>
      <c r="H129" s="1">
        <v>5</v>
      </c>
      <c r="I129" s="1">
        <v>2</v>
      </c>
      <c r="J129" s="1" t="s">
        <v>21</v>
      </c>
      <c r="K129" s="1">
        <v>2</v>
      </c>
      <c r="L129" s="1" t="s">
        <v>23</v>
      </c>
      <c r="M129" s="1" t="s">
        <v>24</v>
      </c>
      <c r="N129" s="1" t="s">
        <v>21</v>
      </c>
      <c r="O129" s="1">
        <v>126.27999800000001</v>
      </c>
      <c r="P129" s="1">
        <v>124.05635100000001</v>
      </c>
      <c r="Q129" s="2">
        <f t="shared" si="3"/>
        <v>1.7608861539576519E-2</v>
      </c>
      <c r="R129" s="1" t="s">
        <v>125</v>
      </c>
      <c r="S129" s="4">
        <v>19.440000000000001</v>
      </c>
      <c r="T129" s="5">
        <v>4.9900030717253678E-5</v>
      </c>
    </row>
    <row r="130" spans="1:20">
      <c r="A130" s="1" t="s">
        <v>53</v>
      </c>
      <c r="B130" s="1">
        <v>5</v>
      </c>
      <c r="C130" s="1">
        <v>0</v>
      </c>
      <c r="D130" s="1" t="s">
        <v>22</v>
      </c>
      <c r="E130" s="1">
        <v>16</v>
      </c>
      <c r="F130" s="1">
        <v>6</v>
      </c>
      <c r="G130" s="1" t="s">
        <v>22</v>
      </c>
      <c r="H130" s="1">
        <v>2</v>
      </c>
      <c r="I130" s="1">
        <v>1</v>
      </c>
      <c r="J130" s="1" t="s">
        <v>22</v>
      </c>
      <c r="K130" s="1">
        <v>6</v>
      </c>
      <c r="L130" s="1" t="s">
        <v>23</v>
      </c>
      <c r="M130" s="1" t="s">
        <v>24</v>
      </c>
      <c r="N130" s="1" t="s">
        <v>22</v>
      </c>
      <c r="O130" s="1">
        <v>93.240001000000007</v>
      </c>
      <c r="P130" s="1">
        <v>101.215754</v>
      </c>
      <c r="Q130" s="2">
        <f t="shared" ref="Q130:Q161" si="4">ABS(P130-O130)/O130</f>
        <v>8.5540035547618631E-2</v>
      </c>
      <c r="R130" s="1" t="s">
        <v>125</v>
      </c>
      <c r="S130" s="4">
        <v>19.05</v>
      </c>
      <c r="T130" s="5">
        <v>4.8499961849302047E-5</v>
      </c>
    </row>
    <row r="131" spans="1:20">
      <c r="A131" s="1" t="s">
        <v>54</v>
      </c>
      <c r="B131" s="1">
        <v>8</v>
      </c>
      <c r="C131" s="1">
        <v>4</v>
      </c>
      <c r="D131" s="1" t="s">
        <v>22</v>
      </c>
      <c r="E131" s="1">
        <v>14</v>
      </c>
      <c r="F131" s="1">
        <v>13</v>
      </c>
      <c r="G131" s="1" t="s">
        <v>21</v>
      </c>
      <c r="H131" s="1">
        <v>12</v>
      </c>
      <c r="I131" s="1">
        <v>6</v>
      </c>
      <c r="J131" s="1" t="s">
        <v>21</v>
      </c>
      <c r="K131" s="1">
        <v>2</v>
      </c>
      <c r="L131" s="1" t="s">
        <v>23</v>
      </c>
      <c r="M131" s="1" t="s">
        <v>24</v>
      </c>
      <c r="N131" s="1" t="s">
        <v>21</v>
      </c>
      <c r="O131" s="1">
        <v>321.71999399999999</v>
      </c>
      <c r="P131" s="1">
        <v>336.979737</v>
      </c>
      <c r="Q131" s="2">
        <f t="shared" si="4"/>
        <v>4.7431752096824965E-2</v>
      </c>
      <c r="R131" s="1" t="s">
        <v>125</v>
      </c>
      <c r="S131" s="4">
        <v>19.34</v>
      </c>
      <c r="T131" s="5">
        <v>6.019999273121357E-5</v>
      </c>
    </row>
    <row r="132" spans="1:20">
      <c r="A132" s="1" t="s">
        <v>55</v>
      </c>
      <c r="B132" s="1">
        <v>12</v>
      </c>
      <c r="C132" s="1">
        <v>9</v>
      </c>
      <c r="D132" s="1" t="s">
        <v>22</v>
      </c>
      <c r="E132" s="1">
        <v>3</v>
      </c>
      <c r="F132" s="1">
        <v>1</v>
      </c>
      <c r="G132" s="1" t="s">
        <v>22</v>
      </c>
      <c r="H132" s="1">
        <v>8</v>
      </c>
      <c r="I132" s="1">
        <v>0</v>
      </c>
      <c r="J132" s="1" t="s">
        <v>22</v>
      </c>
      <c r="K132" s="1">
        <v>0</v>
      </c>
      <c r="L132" s="1" t="s">
        <v>23</v>
      </c>
      <c r="M132" s="1" t="s">
        <v>24</v>
      </c>
      <c r="N132" s="1" t="s">
        <v>22</v>
      </c>
      <c r="O132" s="1">
        <v>67.48</v>
      </c>
      <c r="P132" s="1">
        <v>58.289988000000001</v>
      </c>
      <c r="Q132" s="2">
        <f t="shared" si="4"/>
        <v>0.13618867812685242</v>
      </c>
      <c r="R132" s="1" t="s">
        <v>125</v>
      </c>
      <c r="S132" s="4">
        <v>19.34</v>
      </c>
      <c r="T132" s="5">
        <v>5.1999988500028849E-5</v>
      </c>
    </row>
    <row r="133" spans="1:20">
      <c r="A133" s="1" t="s">
        <v>56</v>
      </c>
      <c r="B133" s="1">
        <v>14</v>
      </c>
      <c r="C133" s="1">
        <v>2</v>
      </c>
      <c r="D133" s="1" t="s">
        <v>21</v>
      </c>
      <c r="E133" s="1">
        <v>4</v>
      </c>
      <c r="F133" s="1">
        <v>3</v>
      </c>
      <c r="G133" s="1" t="s">
        <v>22</v>
      </c>
      <c r="H133" s="1">
        <v>12</v>
      </c>
      <c r="I133" s="1">
        <v>8</v>
      </c>
      <c r="J133" s="1" t="s">
        <v>21</v>
      </c>
      <c r="K133" s="1">
        <v>6</v>
      </c>
      <c r="L133" s="1" t="s">
        <v>23</v>
      </c>
      <c r="M133" s="1" t="s">
        <v>24</v>
      </c>
      <c r="N133" s="1" t="s">
        <v>22</v>
      </c>
      <c r="O133" s="1">
        <v>336.00000399999999</v>
      </c>
      <c r="P133" s="1">
        <v>341.00322</v>
      </c>
      <c r="Q133" s="2">
        <f t="shared" si="4"/>
        <v>1.4890523632255698E-2</v>
      </c>
      <c r="R133" s="1" t="s">
        <v>125</v>
      </c>
      <c r="S133" s="4">
        <v>19.420000000000002</v>
      </c>
      <c r="T133" s="5">
        <v>5.2999996114522219E-5</v>
      </c>
    </row>
    <row r="134" spans="1:20">
      <c r="A134" s="1" t="s">
        <v>57</v>
      </c>
      <c r="B134" s="1">
        <v>6</v>
      </c>
      <c r="C134" s="1">
        <v>5</v>
      </c>
      <c r="D134" s="1" t="s">
        <v>22</v>
      </c>
      <c r="E134" s="1">
        <v>4</v>
      </c>
      <c r="F134" s="1">
        <v>1</v>
      </c>
      <c r="G134" s="1" t="s">
        <v>21</v>
      </c>
      <c r="H134" s="1">
        <v>4</v>
      </c>
      <c r="I134" s="1">
        <v>1</v>
      </c>
      <c r="J134" s="1" t="s">
        <v>21</v>
      </c>
      <c r="K134" s="1">
        <v>4</v>
      </c>
      <c r="L134" s="1" t="s">
        <v>23</v>
      </c>
      <c r="M134" s="1" t="s">
        <v>24</v>
      </c>
      <c r="N134" s="1" t="s">
        <v>21</v>
      </c>
      <c r="O134" s="1">
        <v>156.51999599999999</v>
      </c>
      <c r="P134" s="1">
        <v>158.67800199999999</v>
      </c>
      <c r="Q134" s="2">
        <f t="shared" si="4"/>
        <v>1.37874141013906E-2</v>
      </c>
      <c r="R134" s="1" t="s">
        <v>125</v>
      </c>
      <c r="S134" s="4">
        <v>18.73</v>
      </c>
      <c r="T134" s="5">
        <v>5.2899995353072882E-5</v>
      </c>
    </row>
    <row r="135" spans="1:20">
      <c r="A135" s="1" t="s">
        <v>58</v>
      </c>
      <c r="B135" s="1">
        <v>14</v>
      </c>
      <c r="C135" s="1">
        <v>3</v>
      </c>
      <c r="D135" s="1" t="s">
        <v>21</v>
      </c>
      <c r="E135" s="1">
        <v>24</v>
      </c>
      <c r="F135" s="1">
        <v>15</v>
      </c>
      <c r="G135" s="1" t="s">
        <v>21</v>
      </c>
      <c r="H135" s="1">
        <v>21</v>
      </c>
      <c r="I135" s="1">
        <v>1</v>
      </c>
      <c r="J135" s="1" t="s">
        <v>21</v>
      </c>
      <c r="K135" s="1">
        <v>3</v>
      </c>
      <c r="L135" s="1" t="s">
        <v>23</v>
      </c>
      <c r="M135" s="1" t="s">
        <v>24</v>
      </c>
      <c r="N135" s="1" t="s">
        <v>22</v>
      </c>
      <c r="O135" s="1">
        <v>623.84000700000001</v>
      </c>
      <c r="P135" s="1">
        <v>640.70738900000003</v>
      </c>
      <c r="Q135" s="2">
        <f t="shared" si="4"/>
        <v>2.7037993412948939E-2</v>
      </c>
      <c r="R135" s="1" t="s">
        <v>125</v>
      </c>
      <c r="S135" s="4">
        <v>19.309999999999999</v>
      </c>
      <c r="T135" s="5">
        <v>7.7500008046627045E-5</v>
      </c>
    </row>
    <row r="136" spans="1:20">
      <c r="A136" s="1" t="s">
        <v>59</v>
      </c>
      <c r="B136" s="1">
        <v>10</v>
      </c>
      <c r="C136" s="1">
        <v>5</v>
      </c>
      <c r="D136" s="1" t="s">
        <v>21</v>
      </c>
      <c r="E136" s="1">
        <v>20</v>
      </c>
      <c r="F136" s="1">
        <v>18</v>
      </c>
      <c r="G136" s="1" t="s">
        <v>22</v>
      </c>
      <c r="H136" s="1">
        <v>6</v>
      </c>
      <c r="I136" s="1">
        <v>2</v>
      </c>
      <c r="J136" s="1" t="s">
        <v>21</v>
      </c>
      <c r="K136" s="1">
        <v>4</v>
      </c>
      <c r="L136" s="1" t="s">
        <v>23</v>
      </c>
      <c r="M136" s="1" t="s">
        <v>24</v>
      </c>
      <c r="N136" s="1" t="s">
        <v>21</v>
      </c>
      <c r="O136" s="1">
        <v>305.199995</v>
      </c>
      <c r="P136" s="1">
        <v>324.96696100000003</v>
      </c>
      <c r="Q136" s="2">
        <f t="shared" si="4"/>
        <v>6.4767255320564557E-2</v>
      </c>
      <c r="R136" s="1" t="s">
        <v>125</v>
      </c>
      <c r="S136" s="4">
        <v>19.350000000000001</v>
      </c>
      <c r="T136" s="5">
        <v>6.4599968027323484E-5</v>
      </c>
    </row>
    <row r="137" spans="1:20">
      <c r="A137" s="1" t="s">
        <v>60</v>
      </c>
      <c r="B137" s="1">
        <v>8</v>
      </c>
      <c r="C137" s="1">
        <v>4</v>
      </c>
      <c r="D137" s="1" t="s">
        <v>22</v>
      </c>
      <c r="E137" s="1">
        <v>16</v>
      </c>
      <c r="F137" s="1">
        <v>12</v>
      </c>
      <c r="G137" s="1" t="s">
        <v>22</v>
      </c>
      <c r="H137" s="1">
        <v>22</v>
      </c>
      <c r="I137" s="1">
        <v>6</v>
      </c>
      <c r="J137" s="1" t="s">
        <v>22</v>
      </c>
      <c r="K137" s="1">
        <v>4</v>
      </c>
      <c r="L137" s="1" t="s">
        <v>23</v>
      </c>
      <c r="M137" s="1" t="s">
        <v>24</v>
      </c>
      <c r="N137" s="1" t="s">
        <v>22</v>
      </c>
      <c r="O137" s="1">
        <v>700.56001000000003</v>
      </c>
      <c r="P137" s="1">
        <v>694.27019700000005</v>
      </c>
      <c r="Q137" s="2">
        <f t="shared" si="4"/>
        <v>8.9782644030737355E-3</v>
      </c>
      <c r="R137" s="1" t="s">
        <v>125</v>
      </c>
      <c r="S137" s="4">
        <v>18.93</v>
      </c>
      <c r="T137" s="5">
        <v>6.5100030042231083E-5</v>
      </c>
    </row>
    <row r="138" spans="1:20">
      <c r="A138" s="1" t="s">
        <v>61</v>
      </c>
      <c r="B138" s="1">
        <v>9</v>
      </c>
      <c r="C138" s="1">
        <v>4</v>
      </c>
      <c r="D138" s="1" t="s">
        <v>22</v>
      </c>
      <c r="E138" s="1">
        <v>4</v>
      </c>
      <c r="F138" s="1">
        <v>2</v>
      </c>
      <c r="G138" s="1" t="s">
        <v>21</v>
      </c>
      <c r="H138" s="1">
        <v>2</v>
      </c>
      <c r="I138" s="1">
        <v>0</v>
      </c>
      <c r="J138" s="1" t="s">
        <v>21</v>
      </c>
      <c r="K138" s="1">
        <v>6</v>
      </c>
      <c r="L138" s="1" t="s">
        <v>23</v>
      </c>
      <c r="M138" s="1" t="s">
        <v>24</v>
      </c>
      <c r="N138" s="1" t="s">
        <v>21</v>
      </c>
      <c r="O138" s="1">
        <v>124.879997</v>
      </c>
      <c r="P138" s="1">
        <v>121.619007</v>
      </c>
      <c r="Q138" s="2">
        <f t="shared" si="4"/>
        <v>2.6112989096244186E-2</v>
      </c>
      <c r="R138" s="1" t="s">
        <v>125</v>
      </c>
      <c r="S138" s="4">
        <v>18.68</v>
      </c>
      <c r="T138" s="5">
        <v>4.0099956095218658E-5</v>
      </c>
    </row>
    <row r="139" spans="1:20">
      <c r="A139" s="1" t="s">
        <v>62</v>
      </c>
      <c r="B139" s="1">
        <v>5</v>
      </c>
      <c r="C139" s="1">
        <v>0</v>
      </c>
      <c r="D139" s="1" t="s">
        <v>21</v>
      </c>
      <c r="E139" s="1">
        <v>14</v>
      </c>
      <c r="F139" s="1">
        <v>4</v>
      </c>
      <c r="G139" s="1" t="s">
        <v>21</v>
      </c>
      <c r="H139" s="1">
        <v>16</v>
      </c>
      <c r="I139" s="1">
        <v>4</v>
      </c>
      <c r="J139" s="1" t="s">
        <v>21</v>
      </c>
      <c r="K139" s="1">
        <v>2</v>
      </c>
      <c r="L139" s="1" t="s">
        <v>23</v>
      </c>
      <c r="M139" s="1" t="s">
        <v>24</v>
      </c>
      <c r="N139" s="1" t="s">
        <v>22</v>
      </c>
      <c r="O139" s="1">
        <v>404.88000399999999</v>
      </c>
      <c r="P139" s="1">
        <v>391.25621000000001</v>
      </c>
      <c r="Q139" s="2">
        <f t="shared" si="4"/>
        <v>3.3648967262902854E-2</v>
      </c>
      <c r="R139" s="1" t="s">
        <v>125</v>
      </c>
      <c r="S139" s="4">
        <v>19.12</v>
      </c>
      <c r="T139" s="5">
        <v>6.5999978687614202E-5</v>
      </c>
    </row>
    <row r="140" spans="1:20">
      <c r="A140" s="1" t="s">
        <v>63</v>
      </c>
      <c r="B140" s="1">
        <v>5</v>
      </c>
      <c r="C140" s="1">
        <v>1</v>
      </c>
      <c r="D140" s="1" t="s">
        <v>21</v>
      </c>
      <c r="E140" s="1">
        <v>16</v>
      </c>
      <c r="F140" s="1">
        <v>14</v>
      </c>
      <c r="G140" s="1" t="s">
        <v>21</v>
      </c>
      <c r="H140" s="1">
        <v>8</v>
      </c>
      <c r="I140" s="1">
        <v>2</v>
      </c>
      <c r="J140" s="1" t="s">
        <v>21</v>
      </c>
      <c r="K140" s="1">
        <v>6</v>
      </c>
      <c r="L140" s="1" t="s">
        <v>23</v>
      </c>
      <c r="M140" s="1" t="s">
        <v>24</v>
      </c>
      <c r="N140" s="1" t="s">
        <v>22</v>
      </c>
      <c r="O140" s="1">
        <v>390.88000499999998</v>
      </c>
      <c r="P140" s="1">
        <v>404.168117</v>
      </c>
      <c r="Q140" s="2">
        <f t="shared" si="4"/>
        <v>3.3995374104643733E-2</v>
      </c>
      <c r="R140" s="1" t="s">
        <v>125</v>
      </c>
      <c r="S140" s="4">
        <v>19.18</v>
      </c>
      <c r="T140" s="5">
        <v>5.5099953897297382E-5</v>
      </c>
    </row>
    <row r="141" spans="1:20">
      <c r="A141" s="1" t="s">
        <v>64</v>
      </c>
      <c r="B141" s="1">
        <v>14</v>
      </c>
      <c r="C141" s="1">
        <v>10</v>
      </c>
      <c r="D141" s="1" t="s">
        <v>21</v>
      </c>
      <c r="E141" s="1">
        <v>24</v>
      </c>
      <c r="F141" s="1">
        <v>5</v>
      </c>
      <c r="G141" s="1" t="s">
        <v>22</v>
      </c>
      <c r="H141" s="1">
        <v>14</v>
      </c>
      <c r="I141" s="1">
        <v>6</v>
      </c>
      <c r="J141" s="1" t="s">
        <v>21</v>
      </c>
      <c r="K141" s="1">
        <v>3</v>
      </c>
      <c r="L141" s="1" t="s">
        <v>23</v>
      </c>
      <c r="M141" s="1" t="s">
        <v>24</v>
      </c>
      <c r="N141" s="1" t="s">
        <v>21</v>
      </c>
      <c r="O141" s="1">
        <v>539.279991</v>
      </c>
      <c r="P141" s="1">
        <v>508.19188100000002</v>
      </c>
      <c r="Q141" s="2">
        <f t="shared" si="4"/>
        <v>5.7647438285912546E-2</v>
      </c>
      <c r="R141" s="1" t="s">
        <v>125</v>
      </c>
      <c r="S141" s="4">
        <v>19</v>
      </c>
      <c r="T141" s="5">
        <v>7.599999662488699E-5</v>
      </c>
    </row>
    <row r="142" spans="1:20">
      <c r="A142" s="1" t="s">
        <v>65</v>
      </c>
      <c r="B142" s="1">
        <v>9</v>
      </c>
      <c r="C142" s="1">
        <v>4</v>
      </c>
      <c r="D142" s="1" t="s">
        <v>22</v>
      </c>
      <c r="E142" s="1">
        <v>8</v>
      </c>
      <c r="F142" s="1">
        <v>7</v>
      </c>
      <c r="G142" s="1" t="s">
        <v>21</v>
      </c>
      <c r="H142" s="1">
        <v>8</v>
      </c>
      <c r="I142" s="1">
        <v>0</v>
      </c>
      <c r="J142" s="1" t="s">
        <v>21</v>
      </c>
      <c r="K142" s="1">
        <v>3</v>
      </c>
      <c r="L142" s="1" t="s">
        <v>23</v>
      </c>
      <c r="M142" s="1" t="s">
        <v>24</v>
      </c>
      <c r="N142" s="1" t="s">
        <v>22</v>
      </c>
      <c r="O142" s="1">
        <v>267.680003</v>
      </c>
      <c r="P142" s="1">
        <v>286.573441</v>
      </c>
      <c r="Q142" s="2">
        <f t="shared" si="4"/>
        <v>7.0582179424138761E-2</v>
      </c>
      <c r="R142" s="1" t="s">
        <v>125</v>
      </c>
      <c r="S142" s="4">
        <v>18.850000000000001</v>
      </c>
      <c r="T142" s="5">
        <v>5.7599972933530807E-5</v>
      </c>
    </row>
    <row r="143" spans="1:20">
      <c r="A143" s="1" t="s">
        <v>66</v>
      </c>
      <c r="B143" s="1">
        <v>4</v>
      </c>
      <c r="C143" s="1">
        <v>2</v>
      </c>
      <c r="D143" s="1" t="s">
        <v>21</v>
      </c>
      <c r="E143" s="1">
        <v>24</v>
      </c>
      <c r="F143" s="1">
        <v>9</v>
      </c>
      <c r="G143" s="1" t="s">
        <v>21</v>
      </c>
      <c r="H143" s="1">
        <v>9</v>
      </c>
      <c r="I143" s="1">
        <v>1</v>
      </c>
      <c r="J143" s="1" t="s">
        <v>21</v>
      </c>
      <c r="K143" s="1">
        <v>6</v>
      </c>
      <c r="L143" s="1" t="s">
        <v>23</v>
      </c>
      <c r="M143" s="1" t="s">
        <v>24</v>
      </c>
      <c r="N143" s="1" t="s">
        <v>21</v>
      </c>
      <c r="O143" s="1">
        <v>566.71998799999994</v>
      </c>
      <c r="P143" s="1">
        <v>528.55513599999995</v>
      </c>
      <c r="Q143" s="2">
        <f t="shared" si="4"/>
        <v>6.7343402047079379E-2</v>
      </c>
      <c r="R143" s="1" t="s">
        <v>125</v>
      </c>
      <c r="S143" s="4">
        <v>19.5</v>
      </c>
      <c r="T143" s="5">
        <v>6.4499967265874147E-5</v>
      </c>
    </row>
    <row r="144" spans="1:20">
      <c r="A144" s="1" t="s">
        <v>67</v>
      </c>
      <c r="B144" s="1">
        <v>4</v>
      </c>
      <c r="C144" s="1">
        <v>2</v>
      </c>
      <c r="D144" s="1" t="s">
        <v>22</v>
      </c>
      <c r="E144" s="1">
        <v>24</v>
      </c>
      <c r="F144" s="1">
        <v>2</v>
      </c>
      <c r="G144" s="1" t="s">
        <v>22</v>
      </c>
      <c r="H144" s="1">
        <v>8</v>
      </c>
      <c r="I144" s="1">
        <v>4</v>
      </c>
      <c r="J144" s="1" t="s">
        <v>22</v>
      </c>
      <c r="K144" s="1">
        <v>3</v>
      </c>
      <c r="L144" s="1" t="s">
        <v>23</v>
      </c>
      <c r="M144" s="1" t="s">
        <v>24</v>
      </c>
      <c r="N144" s="1" t="s">
        <v>21</v>
      </c>
      <c r="O144" s="1">
        <v>218.11999499999999</v>
      </c>
      <c r="P144" s="1">
        <v>203.14927499999999</v>
      </c>
      <c r="Q144" s="2">
        <f t="shared" si="4"/>
        <v>6.8635248226555298E-2</v>
      </c>
      <c r="R144" s="1" t="s">
        <v>125</v>
      </c>
      <c r="S144" s="4">
        <v>18.86</v>
      </c>
      <c r="T144" s="5">
        <v>6.2100007198750973E-5</v>
      </c>
    </row>
    <row r="145" spans="1:20">
      <c r="A145" s="1" t="s">
        <v>68</v>
      </c>
      <c r="B145" s="1">
        <v>16</v>
      </c>
      <c r="C145" s="1">
        <v>12</v>
      </c>
      <c r="D145" s="1" t="s">
        <v>22</v>
      </c>
      <c r="E145" s="1">
        <v>16</v>
      </c>
      <c r="F145" s="1">
        <v>10</v>
      </c>
      <c r="G145" s="1" t="s">
        <v>21</v>
      </c>
      <c r="H145" s="1">
        <v>9</v>
      </c>
      <c r="I145" s="1">
        <v>3</v>
      </c>
      <c r="J145" s="1" t="s">
        <v>21</v>
      </c>
      <c r="K145" s="1">
        <v>1</v>
      </c>
      <c r="L145" s="1" t="s">
        <v>23</v>
      </c>
      <c r="M145" s="1" t="s">
        <v>24</v>
      </c>
      <c r="N145" s="1" t="s">
        <v>22</v>
      </c>
      <c r="O145" s="1">
        <v>267.120001</v>
      </c>
      <c r="P145" s="1">
        <v>293.07867199999998</v>
      </c>
      <c r="Q145" s="2">
        <f t="shared" si="4"/>
        <v>9.7179810208221667E-2</v>
      </c>
      <c r="R145" s="1" t="s">
        <v>125</v>
      </c>
      <c r="S145" s="4">
        <v>18.78</v>
      </c>
      <c r="T145" s="5">
        <v>7.2700029704719782E-5</v>
      </c>
    </row>
    <row r="146" spans="1:20">
      <c r="A146" s="1" t="s">
        <v>69</v>
      </c>
      <c r="B146" s="1">
        <v>7</v>
      </c>
      <c r="C146" s="1">
        <v>2</v>
      </c>
      <c r="D146" s="1" t="s">
        <v>21</v>
      </c>
      <c r="E146" s="1">
        <v>16</v>
      </c>
      <c r="F146" s="1">
        <v>10</v>
      </c>
      <c r="G146" s="1" t="s">
        <v>21</v>
      </c>
      <c r="H146" s="1">
        <v>9</v>
      </c>
      <c r="I146" s="1">
        <v>3</v>
      </c>
      <c r="J146" s="1" t="s">
        <v>21</v>
      </c>
      <c r="K146" s="1">
        <v>6</v>
      </c>
      <c r="L146" s="1" t="s">
        <v>23</v>
      </c>
      <c r="M146" s="1" t="s">
        <v>24</v>
      </c>
      <c r="N146" s="1" t="s">
        <v>21</v>
      </c>
      <c r="O146" s="1">
        <v>528.63998800000002</v>
      </c>
      <c r="P146" s="1">
        <v>511.123876</v>
      </c>
      <c r="Q146" s="2">
        <f t="shared" si="4"/>
        <v>3.3134292519694936E-2</v>
      </c>
      <c r="R146" s="1" t="s">
        <v>125</v>
      </c>
      <c r="S146" s="4">
        <v>19.309999999999999</v>
      </c>
      <c r="T146" s="5">
        <v>5.5099953897297382E-5</v>
      </c>
    </row>
    <row r="147" spans="1:20">
      <c r="A147" s="1" t="s">
        <v>70</v>
      </c>
      <c r="B147" s="1">
        <v>4</v>
      </c>
      <c r="C147" s="1">
        <v>1</v>
      </c>
      <c r="D147" s="1" t="s">
        <v>22</v>
      </c>
      <c r="E147" s="1">
        <v>10</v>
      </c>
      <c r="F147" s="1">
        <v>6</v>
      </c>
      <c r="G147" s="1" t="s">
        <v>21</v>
      </c>
      <c r="H147" s="1">
        <v>5</v>
      </c>
      <c r="I147" s="1">
        <v>4</v>
      </c>
      <c r="J147" s="1" t="s">
        <v>21</v>
      </c>
      <c r="K147" s="1">
        <v>1</v>
      </c>
      <c r="L147" s="1" t="s">
        <v>23</v>
      </c>
      <c r="M147" s="1" t="s">
        <v>24</v>
      </c>
      <c r="N147" s="1" t="s">
        <v>21</v>
      </c>
      <c r="O147" s="1">
        <v>84.839999000000006</v>
      </c>
      <c r="P147" s="1">
        <v>74.639143000000004</v>
      </c>
      <c r="Q147" s="2">
        <f t="shared" si="4"/>
        <v>0.12023639934272042</v>
      </c>
      <c r="R147" s="1" t="s">
        <v>125</v>
      </c>
      <c r="S147" s="4">
        <v>18.920000000000002</v>
      </c>
      <c r="T147" s="5">
        <v>4.2299972847104073E-5</v>
      </c>
    </row>
    <row r="148" spans="1:20">
      <c r="A148" s="1" t="s">
        <v>71</v>
      </c>
      <c r="B148" s="1">
        <v>9</v>
      </c>
      <c r="C148" s="1">
        <v>6</v>
      </c>
      <c r="D148" s="1" t="s">
        <v>22</v>
      </c>
      <c r="E148" s="1">
        <v>8</v>
      </c>
      <c r="F148" s="1">
        <v>2</v>
      </c>
      <c r="G148" s="1" t="s">
        <v>21</v>
      </c>
      <c r="H148" s="1">
        <v>12</v>
      </c>
      <c r="I148" s="1">
        <v>6</v>
      </c>
      <c r="J148" s="1" t="s">
        <v>21</v>
      </c>
      <c r="K148" s="1">
        <v>1</v>
      </c>
      <c r="L148" s="1" t="s">
        <v>23</v>
      </c>
      <c r="M148" s="1" t="s">
        <v>24</v>
      </c>
      <c r="N148" s="1" t="s">
        <v>22</v>
      </c>
      <c r="O148" s="1">
        <v>198.52000100000001</v>
      </c>
      <c r="P148" s="1">
        <v>208.929159</v>
      </c>
      <c r="Q148" s="2">
        <f t="shared" si="4"/>
        <v>5.243379985677106E-2</v>
      </c>
      <c r="R148" s="1" t="s">
        <v>125</v>
      </c>
      <c r="S148" s="4">
        <v>19.190000000000001</v>
      </c>
      <c r="T148" s="5">
        <v>5.5500015150755637E-5</v>
      </c>
    </row>
    <row r="149" spans="1:20">
      <c r="A149" s="1" t="s">
        <v>72</v>
      </c>
      <c r="B149" s="1">
        <v>4</v>
      </c>
      <c r="C149" s="1">
        <v>2</v>
      </c>
      <c r="D149" s="1" t="s">
        <v>22</v>
      </c>
      <c r="E149" s="1">
        <v>4</v>
      </c>
      <c r="F149" s="1">
        <v>2</v>
      </c>
      <c r="G149" s="1" t="s">
        <v>22</v>
      </c>
      <c r="H149" s="1">
        <v>12</v>
      </c>
      <c r="I149" s="1">
        <v>6</v>
      </c>
      <c r="J149" s="1" t="s">
        <v>22</v>
      </c>
      <c r="K149" s="1">
        <v>4</v>
      </c>
      <c r="L149" s="1" t="s">
        <v>23</v>
      </c>
      <c r="M149" s="1" t="s">
        <v>24</v>
      </c>
      <c r="N149" s="1" t="s">
        <v>21</v>
      </c>
      <c r="O149" s="1">
        <v>297.91999299999998</v>
      </c>
      <c r="P149" s="1">
        <v>290.26422600000001</v>
      </c>
      <c r="Q149" s="2">
        <f t="shared" si="4"/>
        <v>2.5697392521085247E-2</v>
      </c>
      <c r="R149" s="1" t="s">
        <v>125</v>
      </c>
      <c r="S149" s="4">
        <v>18.920000000000002</v>
      </c>
      <c r="T149" s="5">
        <v>4.0900020394474268E-5</v>
      </c>
    </row>
    <row r="150" spans="1:20">
      <c r="A150" s="1" t="s">
        <v>73</v>
      </c>
      <c r="B150" s="1">
        <v>16</v>
      </c>
      <c r="C150" s="1">
        <v>12</v>
      </c>
      <c r="D150" s="1" t="s">
        <v>21</v>
      </c>
      <c r="E150" s="1">
        <v>24</v>
      </c>
      <c r="F150" s="1">
        <v>2</v>
      </c>
      <c r="G150" s="1" t="s">
        <v>22</v>
      </c>
      <c r="H150" s="1">
        <v>3</v>
      </c>
      <c r="I150" s="1">
        <v>0</v>
      </c>
      <c r="J150" s="1" t="s">
        <v>21</v>
      </c>
      <c r="K150" s="1">
        <v>1</v>
      </c>
      <c r="L150" s="1" t="s">
        <v>23</v>
      </c>
      <c r="M150" s="1" t="s">
        <v>24</v>
      </c>
      <c r="N150" s="1" t="s">
        <v>21</v>
      </c>
      <c r="O150" s="1">
        <v>81.479999000000007</v>
      </c>
      <c r="P150" s="1">
        <v>90.600703999999993</v>
      </c>
      <c r="Q150" s="2">
        <f t="shared" si="4"/>
        <v>0.11193796160944953</v>
      </c>
      <c r="R150" s="1" t="s">
        <v>125</v>
      </c>
      <c r="S150" s="4">
        <v>18.940000000000001</v>
      </c>
      <c r="T150" s="5">
        <v>6.9800007622689009E-5</v>
      </c>
    </row>
    <row r="151" spans="1:20">
      <c r="A151" s="1" t="s">
        <v>74</v>
      </c>
      <c r="B151" s="1">
        <v>8</v>
      </c>
      <c r="C151" s="1">
        <v>2</v>
      </c>
      <c r="D151" s="1" t="s">
        <v>22</v>
      </c>
      <c r="E151" s="1">
        <v>7</v>
      </c>
      <c r="F151" s="1">
        <v>3</v>
      </c>
      <c r="G151" s="1" t="s">
        <v>21</v>
      </c>
      <c r="H151" s="1">
        <v>26</v>
      </c>
      <c r="I151" s="1">
        <v>6</v>
      </c>
      <c r="J151" s="1" t="s">
        <v>21</v>
      </c>
      <c r="K151" s="1">
        <v>1</v>
      </c>
      <c r="L151" s="1" t="s">
        <v>23</v>
      </c>
      <c r="M151" s="1" t="s">
        <v>24</v>
      </c>
      <c r="N151" s="1" t="s">
        <v>22</v>
      </c>
      <c r="O151" s="1">
        <v>292.88000199999999</v>
      </c>
      <c r="P151" s="1">
        <v>283.67613299999999</v>
      </c>
      <c r="Q151" s="2">
        <f t="shared" si="4"/>
        <v>3.14253924376851E-2</v>
      </c>
      <c r="R151" s="1" t="s">
        <v>125</v>
      </c>
      <c r="S151" s="4">
        <v>18.87</v>
      </c>
      <c r="T151" s="5">
        <v>5.2499992307275527E-5</v>
      </c>
    </row>
    <row r="152" spans="1:20">
      <c r="A152" s="1" t="s">
        <v>75</v>
      </c>
      <c r="B152" s="1">
        <v>24</v>
      </c>
      <c r="C152" s="1">
        <v>7</v>
      </c>
      <c r="D152" s="1" t="s">
        <v>21</v>
      </c>
      <c r="E152" s="1">
        <v>14</v>
      </c>
      <c r="F152" s="1">
        <v>4</v>
      </c>
      <c r="G152" s="1" t="s">
        <v>21</v>
      </c>
      <c r="H152" s="1">
        <v>26</v>
      </c>
      <c r="I152" s="1">
        <v>6</v>
      </c>
      <c r="J152" s="1" t="s">
        <v>21</v>
      </c>
      <c r="K152" s="1">
        <v>6</v>
      </c>
      <c r="L152" s="1" t="s">
        <v>23</v>
      </c>
      <c r="M152" s="1" t="s">
        <v>24</v>
      </c>
      <c r="N152" s="1" t="s">
        <v>22</v>
      </c>
      <c r="O152" s="1">
        <v>1256.6400169999999</v>
      </c>
      <c r="P152" s="1">
        <v>1296.2535720000001</v>
      </c>
      <c r="Q152" s="2">
        <f t="shared" si="4"/>
        <v>3.1523391316608161E-2</v>
      </c>
      <c r="R152" s="1" t="s">
        <v>125</v>
      </c>
      <c r="S152" s="4">
        <v>19.87</v>
      </c>
      <c r="T152" s="5">
        <v>8.7600026745349169E-5</v>
      </c>
    </row>
    <row r="153" spans="1:20">
      <c r="A153" s="1" t="s">
        <v>76</v>
      </c>
      <c r="B153" s="1">
        <v>5</v>
      </c>
      <c r="C153" s="1">
        <v>4</v>
      </c>
      <c r="D153" s="1" t="s">
        <v>21</v>
      </c>
      <c r="E153" s="1">
        <v>9</v>
      </c>
      <c r="F153" s="1">
        <v>0</v>
      </c>
      <c r="G153" s="1" t="s">
        <v>22</v>
      </c>
      <c r="H153" s="1">
        <v>16</v>
      </c>
      <c r="I153" s="1">
        <v>4</v>
      </c>
      <c r="J153" s="1" t="s">
        <v>21</v>
      </c>
      <c r="K153" s="1">
        <v>6</v>
      </c>
      <c r="L153" s="1" t="s">
        <v>23</v>
      </c>
      <c r="M153" s="1" t="s">
        <v>24</v>
      </c>
      <c r="N153" s="1" t="s">
        <v>21</v>
      </c>
      <c r="O153" s="1">
        <v>824.31997899999999</v>
      </c>
      <c r="P153" s="1">
        <v>820.06429300000002</v>
      </c>
      <c r="Q153" s="2">
        <f t="shared" si="4"/>
        <v>5.1626626897514133E-3</v>
      </c>
      <c r="R153" s="1" t="s">
        <v>125</v>
      </c>
      <c r="S153" s="4">
        <v>19.190000000000001</v>
      </c>
      <c r="T153" s="5">
        <v>6.1500002630054951E-5</v>
      </c>
    </row>
    <row r="154" spans="1:20">
      <c r="A154" s="1" t="s">
        <v>77</v>
      </c>
      <c r="B154" s="1">
        <v>10</v>
      </c>
      <c r="C154" s="1">
        <v>7</v>
      </c>
      <c r="D154" s="1" t="s">
        <v>21</v>
      </c>
      <c r="E154" s="1">
        <v>5</v>
      </c>
      <c r="F154" s="1">
        <v>1</v>
      </c>
      <c r="G154" s="1" t="s">
        <v>22</v>
      </c>
      <c r="H154" s="1">
        <v>7</v>
      </c>
      <c r="I154" s="1">
        <v>6</v>
      </c>
      <c r="J154" s="1" t="s">
        <v>21</v>
      </c>
      <c r="K154" s="1">
        <v>3</v>
      </c>
      <c r="L154" s="1" t="s">
        <v>23</v>
      </c>
      <c r="M154" s="1" t="s">
        <v>24</v>
      </c>
      <c r="N154" s="1" t="s">
        <v>22</v>
      </c>
      <c r="O154" s="1">
        <v>156.240002</v>
      </c>
      <c r="P154" s="1">
        <v>157.56512499999999</v>
      </c>
      <c r="Q154" s="2">
        <f t="shared" si="4"/>
        <v>8.4813298965522969E-3</v>
      </c>
      <c r="R154" s="1" t="s">
        <v>125</v>
      </c>
      <c r="S154" s="4">
        <v>18.87</v>
      </c>
      <c r="T154" s="5">
        <v>4.8300018534064293E-5</v>
      </c>
    </row>
    <row r="155" spans="1:20">
      <c r="A155" s="1" t="s">
        <v>78</v>
      </c>
      <c r="B155" s="1">
        <v>16</v>
      </c>
      <c r="C155" s="1">
        <v>15</v>
      </c>
      <c r="D155" s="1" t="s">
        <v>22</v>
      </c>
      <c r="E155" s="1">
        <v>20</v>
      </c>
      <c r="F155" s="1">
        <v>18</v>
      </c>
      <c r="G155" s="1" t="s">
        <v>22</v>
      </c>
      <c r="H155" s="1">
        <v>18</v>
      </c>
      <c r="I155" s="1">
        <v>6</v>
      </c>
      <c r="J155" s="1" t="s">
        <v>22</v>
      </c>
      <c r="K155" s="1">
        <v>0</v>
      </c>
      <c r="L155" s="1" t="s">
        <v>23</v>
      </c>
      <c r="M155" s="1" t="s">
        <v>24</v>
      </c>
      <c r="N155" s="1" t="s">
        <v>21</v>
      </c>
      <c r="O155" s="1">
        <v>268.52</v>
      </c>
      <c r="P155" s="1">
        <v>298.257949</v>
      </c>
      <c r="Q155" s="2">
        <f t="shared" si="4"/>
        <v>0.11074761284075681</v>
      </c>
      <c r="R155" s="1" t="s">
        <v>125</v>
      </c>
      <c r="S155" s="4">
        <v>19.52</v>
      </c>
      <c r="T155" s="5">
        <v>8.9799985289573669E-5</v>
      </c>
    </row>
    <row r="156" spans="1:20">
      <c r="A156" s="1" t="s">
        <v>79</v>
      </c>
      <c r="B156" s="1">
        <v>14</v>
      </c>
      <c r="C156" s="1">
        <v>8</v>
      </c>
      <c r="D156" s="1" t="s">
        <v>21</v>
      </c>
      <c r="E156" s="1">
        <v>12</v>
      </c>
      <c r="F156" s="1">
        <v>9</v>
      </c>
      <c r="G156" s="1" t="s">
        <v>21</v>
      </c>
      <c r="H156" s="1">
        <v>7</v>
      </c>
      <c r="I156" s="1">
        <v>1</v>
      </c>
      <c r="J156" s="1" t="s">
        <v>21</v>
      </c>
      <c r="K156" s="1">
        <v>4</v>
      </c>
      <c r="L156" s="1" t="s">
        <v>23</v>
      </c>
      <c r="M156" s="1" t="s">
        <v>24</v>
      </c>
      <c r="N156" s="1" t="s">
        <v>21</v>
      </c>
      <c r="O156" s="1">
        <v>367.35999399999997</v>
      </c>
      <c r="P156" s="1">
        <v>388.86899199999999</v>
      </c>
      <c r="Q156" s="2">
        <f t="shared" si="4"/>
        <v>5.8550191505066337E-2</v>
      </c>
      <c r="R156" s="1" t="s">
        <v>125</v>
      </c>
      <c r="S156" s="4">
        <v>19.09</v>
      </c>
      <c r="T156" s="5">
        <v>6.6299980971962214E-5</v>
      </c>
    </row>
    <row r="157" spans="1:20">
      <c r="A157" s="1" t="s">
        <v>80</v>
      </c>
      <c r="B157" s="1">
        <v>6</v>
      </c>
      <c r="C157" s="1">
        <v>2</v>
      </c>
      <c r="D157" s="1" t="s">
        <v>21</v>
      </c>
      <c r="E157" s="1">
        <v>9</v>
      </c>
      <c r="F157" s="1">
        <v>7</v>
      </c>
      <c r="G157" s="1" t="s">
        <v>21</v>
      </c>
      <c r="H157" s="1">
        <v>20</v>
      </c>
      <c r="I157" s="1">
        <v>8</v>
      </c>
      <c r="J157" s="1" t="s">
        <v>21</v>
      </c>
      <c r="K157" s="1">
        <v>1</v>
      </c>
      <c r="L157" s="1" t="s">
        <v>23</v>
      </c>
      <c r="M157" s="1" t="s">
        <v>24</v>
      </c>
      <c r="N157" s="1" t="s">
        <v>22</v>
      </c>
      <c r="O157" s="1">
        <v>257.88000199999999</v>
      </c>
      <c r="P157" s="1">
        <v>247.546245</v>
      </c>
      <c r="Q157" s="2">
        <f t="shared" si="4"/>
        <v>4.0071959515495859E-2</v>
      </c>
      <c r="R157" s="1" t="s">
        <v>125</v>
      </c>
      <c r="S157" s="4">
        <v>19.25</v>
      </c>
      <c r="T157" s="5">
        <v>5.64999645575881E-5</v>
      </c>
    </row>
    <row r="158" spans="1:20">
      <c r="A158" s="1" t="s">
        <v>81</v>
      </c>
      <c r="B158" s="1">
        <v>8</v>
      </c>
      <c r="C158" s="1">
        <v>2</v>
      </c>
      <c r="D158" s="1" t="s">
        <v>22</v>
      </c>
      <c r="E158" s="1">
        <v>12</v>
      </c>
      <c r="F158" s="1">
        <v>8</v>
      </c>
      <c r="G158" s="1" t="s">
        <v>21</v>
      </c>
      <c r="H158" s="1">
        <v>8</v>
      </c>
      <c r="I158" s="1">
        <v>4</v>
      </c>
      <c r="J158" s="1" t="s">
        <v>21</v>
      </c>
      <c r="K158" s="1">
        <v>4</v>
      </c>
      <c r="L158" s="1" t="s">
        <v>23</v>
      </c>
      <c r="M158" s="1" t="s">
        <v>24</v>
      </c>
      <c r="N158" s="1" t="s">
        <v>22</v>
      </c>
      <c r="O158" s="1">
        <v>301.00000299999999</v>
      </c>
      <c r="P158" s="1">
        <v>302.76483500000001</v>
      </c>
      <c r="Q158" s="2">
        <f t="shared" si="4"/>
        <v>5.8632291774429407E-3</v>
      </c>
      <c r="R158" s="1" t="s">
        <v>125</v>
      </c>
      <c r="S158" s="4">
        <v>18.97</v>
      </c>
      <c r="T158" s="5">
        <v>5.2899995353072882E-5</v>
      </c>
    </row>
    <row r="159" spans="1:20">
      <c r="A159" s="1" t="s">
        <v>82</v>
      </c>
      <c r="B159" s="1">
        <v>5</v>
      </c>
      <c r="C159" s="1">
        <v>4</v>
      </c>
      <c r="D159" s="1" t="s">
        <v>22</v>
      </c>
      <c r="E159" s="1">
        <v>14</v>
      </c>
      <c r="F159" s="1">
        <v>11</v>
      </c>
      <c r="G159" s="1" t="s">
        <v>21</v>
      </c>
      <c r="H159" s="1">
        <v>16</v>
      </c>
      <c r="I159" s="1">
        <v>0</v>
      </c>
      <c r="J159" s="1" t="s">
        <v>21</v>
      </c>
      <c r="K159" s="1">
        <v>0</v>
      </c>
      <c r="L159" s="1" t="s">
        <v>23</v>
      </c>
      <c r="M159" s="1" t="s">
        <v>24</v>
      </c>
      <c r="N159" s="1" t="s">
        <v>21</v>
      </c>
      <c r="O159" s="1">
        <v>127.68</v>
      </c>
      <c r="P159" s="1">
        <v>146.176975</v>
      </c>
      <c r="Q159" s="2">
        <f t="shared" si="4"/>
        <v>0.14486979166666661</v>
      </c>
      <c r="R159" s="1" t="s">
        <v>125</v>
      </c>
      <c r="S159" s="4">
        <v>19.489999999999998</v>
      </c>
      <c r="T159" s="5">
        <v>5.8100034948438413E-5</v>
      </c>
    </row>
    <row r="160" spans="1:20">
      <c r="A160" s="1" t="s">
        <v>83</v>
      </c>
      <c r="B160" s="1">
        <v>10</v>
      </c>
      <c r="C160" s="1">
        <v>9</v>
      </c>
      <c r="D160" s="1" t="s">
        <v>22</v>
      </c>
      <c r="E160" s="1">
        <v>16</v>
      </c>
      <c r="F160" s="1">
        <v>11</v>
      </c>
      <c r="G160" s="1" t="s">
        <v>21</v>
      </c>
      <c r="H160" s="1">
        <v>18</v>
      </c>
      <c r="I160" s="1">
        <v>6</v>
      </c>
      <c r="J160" s="1" t="s">
        <v>21</v>
      </c>
      <c r="K160" s="1">
        <v>0</v>
      </c>
      <c r="L160" s="1" t="s">
        <v>23</v>
      </c>
      <c r="M160" s="1" t="s">
        <v>24</v>
      </c>
      <c r="N160" s="1" t="s">
        <v>22</v>
      </c>
      <c r="O160" s="1">
        <v>238.28</v>
      </c>
      <c r="P160" s="1">
        <v>276.82054399999998</v>
      </c>
      <c r="Q160" s="2">
        <f t="shared" si="4"/>
        <v>0.16174477085781427</v>
      </c>
      <c r="R160" s="1" t="s">
        <v>125</v>
      </c>
      <c r="S160" s="4">
        <v>19.149999999999999</v>
      </c>
      <c r="T160" s="5">
        <v>7.0800015237182379E-5</v>
      </c>
    </row>
    <row r="161" spans="1:20">
      <c r="A161" s="1" t="s">
        <v>84</v>
      </c>
      <c r="B161" s="1">
        <v>10</v>
      </c>
      <c r="C161" s="1">
        <v>5</v>
      </c>
      <c r="D161" s="1" t="s">
        <v>22</v>
      </c>
      <c r="E161" s="1">
        <v>8</v>
      </c>
      <c r="F161" s="1">
        <v>5</v>
      </c>
      <c r="G161" s="1" t="s">
        <v>21</v>
      </c>
      <c r="H161" s="1">
        <v>2</v>
      </c>
      <c r="I161" s="1">
        <v>0</v>
      </c>
      <c r="J161" s="1" t="s">
        <v>21</v>
      </c>
      <c r="K161" s="1">
        <v>1</v>
      </c>
      <c r="L161" s="1" t="s">
        <v>23</v>
      </c>
      <c r="M161" s="1" t="s">
        <v>24</v>
      </c>
      <c r="N161" s="1" t="s">
        <v>22</v>
      </c>
      <c r="O161" s="1">
        <v>98.28</v>
      </c>
      <c r="P161" s="1">
        <v>95.070588000000001</v>
      </c>
      <c r="Q161" s="2">
        <f t="shared" si="4"/>
        <v>3.2655799755799762E-2</v>
      </c>
      <c r="R161" s="1" t="s">
        <v>125</v>
      </c>
      <c r="S161" s="4">
        <v>18.309999999999999</v>
      </c>
      <c r="T161" s="5">
        <v>4.859996261075139E-5</v>
      </c>
    </row>
    <row r="162" spans="1:20">
      <c r="Q162" s="6">
        <f>AVERAGE(Q2:Q161)</f>
        <v>4.602636258745952E-2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2"/>
  <sheetViews>
    <sheetView tabSelected="1" topLeftCell="D1" workbookViewId="0">
      <pane ySplit="1" topLeftCell="A211" activePane="bottomLeft" state="frozen"/>
      <selection pane="bottomLeft" activeCell="Q233" sqref="Q233"/>
    </sheetView>
  </sheetViews>
  <sheetFormatPr defaultRowHeight="14"/>
  <cols>
    <col min="1" max="1" width="6.6640625" customWidth="1"/>
    <col min="2" max="2" width="13.4140625" customWidth="1"/>
    <col min="3" max="3" width="14.1640625" customWidth="1"/>
    <col min="4" max="4" width="18.75" customWidth="1"/>
    <col min="5" max="5" width="13.4140625" customWidth="1"/>
    <col min="6" max="6" width="14.1640625" customWidth="1"/>
    <col min="7" max="7" width="18.75" customWidth="1"/>
    <col min="8" max="8" width="13.5" customWidth="1"/>
    <col min="9" max="9" width="14.25" customWidth="1"/>
    <col min="10" max="10" width="18.9140625" customWidth="1"/>
    <col min="11" max="11" width="6.75" customWidth="1"/>
    <col min="12" max="12" width="9.9140625" customWidth="1"/>
    <col min="13" max="13" width="9.75" customWidth="1"/>
    <col min="14" max="14" width="9.1640625" customWidth="1"/>
    <col min="15" max="15" width="15" customWidth="1"/>
    <col min="16" max="16" width="10.25" customWidth="1"/>
    <col min="17" max="17" width="6.25" customWidth="1"/>
    <col min="18" max="18" width="4.4140625" customWidth="1"/>
    <col min="19" max="19" width="9.914062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127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 t="s">
        <v>20</v>
      </c>
      <c r="B2" s="1">
        <v>6</v>
      </c>
      <c r="C2" s="1">
        <v>4</v>
      </c>
      <c r="D2" s="1" t="s">
        <v>21</v>
      </c>
      <c r="E2" s="1">
        <v>14</v>
      </c>
      <c r="F2" s="1">
        <v>2</v>
      </c>
      <c r="G2" s="1" t="s">
        <v>21</v>
      </c>
      <c r="H2" s="1">
        <v>16</v>
      </c>
      <c r="I2" s="1">
        <v>0</v>
      </c>
      <c r="J2" s="1" t="s">
        <v>21</v>
      </c>
      <c r="K2" s="1">
        <v>1</v>
      </c>
      <c r="L2" s="1" t="s">
        <v>23</v>
      </c>
      <c r="M2" s="1" t="s">
        <v>24</v>
      </c>
      <c r="N2" s="1" t="s">
        <v>21</v>
      </c>
      <c r="O2" s="1">
        <v>1167.0399890000001</v>
      </c>
      <c r="P2" s="1">
        <v>1114.1648439999999</v>
      </c>
      <c r="Q2" s="2">
        <f t="shared" ref="Q2:Q65" si="0">ABS(P2-O2)/O2</f>
        <v>4.5307055026715282E-2</v>
      </c>
      <c r="R2" s="1" t="s">
        <v>25</v>
      </c>
      <c r="S2" s="4">
        <v>20.76</v>
      </c>
      <c r="T2" s="5">
        <v>2.5540002388879662E-4</v>
      </c>
    </row>
    <row r="3" spans="1:20">
      <c r="A3" s="1" t="s">
        <v>26</v>
      </c>
      <c r="B3" s="1">
        <v>9</v>
      </c>
      <c r="C3" s="1">
        <v>3</v>
      </c>
      <c r="D3" s="1" t="s">
        <v>21</v>
      </c>
      <c r="E3" s="1">
        <v>8</v>
      </c>
      <c r="F3" s="1">
        <v>3</v>
      </c>
      <c r="G3" s="1" t="s">
        <v>22</v>
      </c>
      <c r="H3" s="1">
        <v>16</v>
      </c>
      <c r="I3" s="1">
        <v>0</v>
      </c>
      <c r="J3" s="1" t="s">
        <v>21</v>
      </c>
      <c r="K3" s="1">
        <v>1</v>
      </c>
      <c r="L3" s="1" t="s">
        <v>23</v>
      </c>
      <c r="M3" s="1" t="s">
        <v>24</v>
      </c>
      <c r="N3" s="1" t="s">
        <v>21</v>
      </c>
      <c r="O3" s="1">
        <v>949.75999000000002</v>
      </c>
      <c r="P3" s="1">
        <v>926.66185199999995</v>
      </c>
      <c r="Q3" s="2">
        <f t="shared" si="0"/>
        <v>2.4319973723045611E-2</v>
      </c>
      <c r="R3" s="1" t="s">
        <v>25</v>
      </c>
      <c r="S3" s="4">
        <v>20.85</v>
      </c>
      <c r="T3" s="5">
        <v>2.4510000366717582E-4</v>
      </c>
    </row>
    <row r="4" spans="1:20">
      <c r="A4" s="1" t="s">
        <v>27</v>
      </c>
      <c r="B4" s="1">
        <v>12</v>
      </c>
      <c r="C4" s="1">
        <v>2</v>
      </c>
      <c r="D4" s="1" t="s">
        <v>22</v>
      </c>
      <c r="E4" s="1">
        <v>9</v>
      </c>
      <c r="F4" s="1">
        <v>4</v>
      </c>
      <c r="G4" s="1" t="s">
        <v>22</v>
      </c>
      <c r="H4" s="1">
        <v>10</v>
      </c>
      <c r="I4" s="1">
        <v>0</v>
      </c>
      <c r="J4" s="1" t="s">
        <v>22</v>
      </c>
      <c r="K4" s="1">
        <v>2</v>
      </c>
      <c r="L4" s="1" t="s">
        <v>23</v>
      </c>
      <c r="M4" s="1" t="s">
        <v>24</v>
      </c>
      <c r="N4" s="1" t="s">
        <v>21</v>
      </c>
      <c r="O4" s="1">
        <v>968.51998800000001</v>
      </c>
      <c r="P4" s="1">
        <v>1013.781959</v>
      </c>
      <c r="Q4" s="2">
        <f t="shared" si="0"/>
        <v>4.6733130509228081E-2</v>
      </c>
      <c r="R4" s="1" t="s">
        <v>25</v>
      </c>
      <c r="S4" s="4">
        <v>20.05</v>
      </c>
      <c r="T4" s="5">
        <v>2.440999960526824E-4</v>
      </c>
    </row>
    <row r="5" spans="1:20">
      <c r="A5" s="1" t="s">
        <v>28</v>
      </c>
      <c r="B5" s="1">
        <v>12</v>
      </c>
      <c r="C5" s="1">
        <v>8</v>
      </c>
      <c r="D5" s="1" t="s">
        <v>22</v>
      </c>
      <c r="E5" s="1">
        <v>6</v>
      </c>
      <c r="F5" s="1">
        <v>0</v>
      </c>
      <c r="G5" s="1" t="s">
        <v>21</v>
      </c>
      <c r="H5" s="1">
        <v>6</v>
      </c>
      <c r="I5" s="1">
        <v>4</v>
      </c>
      <c r="J5" s="1" t="s">
        <v>21</v>
      </c>
      <c r="K5" s="1">
        <v>0</v>
      </c>
      <c r="L5" s="1" t="s">
        <v>23</v>
      </c>
      <c r="M5" s="1" t="s">
        <v>24</v>
      </c>
      <c r="N5" s="1" t="s">
        <v>22</v>
      </c>
      <c r="O5" s="1">
        <v>720.99999400000002</v>
      </c>
      <c r="P5" s="1">
        <v>729.36095399999999</v>
      </c>
      <c r="Q5" s="2">
        <f t="shared" si="0"/>
        <v>1.1596338515364783E-2</v>
      </c>
      <c r="R5" s="1" t="s">
        <v>25</v>
      </c>
      <c r="S5" s="4">
        <v>20.59</v>
      </c>
      <c r="T5" s="5">
        <v>2.3800000781193381E-4</v>
      </c>
    </row>
    <row r="6" spans="1:20">
      <c r="A6" s="1" t="s">
        <v>29</v>
      </c>
      <c r="B6" s="1">
        <v>12</v>
      </c>
      <c r="C6" s="1">
        <v>4</v>
      </c>
      <c r="D6" s="1" t="s">
        <v>22</v>
      </c>
      <c r="E6" s="1">
        <v>12</v>
      </c>
      <c r="F6" s="1">
        <v>1</v>
      </c>
      <c r="G6" s="1" t="s">
        <v>21</v>
      </c>
      <c r="H6" s="1">
        <v>9</v>
      </c>
      <c r="I6" s="1">
        <v>3</v>
      </c>
      <c r="J6" s="1" t="s">
        <v>21</v>
      </c>
      <c r="K6" s="1">
        <v>3</v>
      </c>
      <c r="L6" s="1" t="s">
        <v>23</v>
      </c>
      <c r="M6" s="1" t="s">
        <v>24</v>
      </c>
      <c r="N6" s="1" t="s">
        <v>22</v>
      </c>
      <c r="O6" s="1">
        <v>1786.3999920000001</v>
      </c>
      <c r="P6" s="1">
        <v>1741.6566849999999</v>
      </c>
      <c r="Q6" s="2">
        <f t="shared" si="0"/>
        <v>2.5046634124705137E-2</v>
      </c>
      <c r="R6" s="1" t="s">
        <v>25</v>
      </c>
      <c r="S6" s="4">
        <v>21.3</v>
      </c>
      <c r="T6" s="5">
        <v>2.7039996348321438E-4</v>
      </c>
    </row>
    <row r="7" spans="1:20">
      <c r="A7" s="1" t="s">
        <v>30</v>
      </c>
      <c r="B7" s="1">
        <v>10</v>
      </c>
      <c r="C7" s="1">
        <v>4</v>
      </c>
      <c r="D7" s="1" t="s">
        <v>21</v>
      </c>
      <c r="E7" s="1">
        <v>9</v>
      </c>
      <c r="F7" s="1">
        <v>2</v>
      </c>
      <c r="G7" s="1" t="s">
        <v>22</v>
      </c>
      <c r="H7" s="1">
        <v>16</v>
      </c>
      <c r="I7" s="1">
        <v>2</v>
      </c>
      <c r="J7" s="1" t="s">
        <v>21</v>
      </c>
      <c r="K7" s="1">
        <v>6</v>
      </c>
      <c r="L7" s="1" t="s">
        <v>23</v>
      </c>
      <c r="M7" s="1" t="s">
        <v>24</v>
      </c>
      <c r="N7" s="1" t="s">
        <v>21</v>
      </c>
      <c r="O7" s="1">
        <v>1725.359972</v>
      </c>
      <c r="P7" s="1">
        <v>1688.0946670000001</v>
      </c>
      <c r="Q7" s="2">
        <f t="shared" si="0"/>
        <v>2.1598568185630714E-2</v>
      </c>
      <c r="R7" s="1" t="s">
        <v>25</v>
      </c>
      <c r="S7" s="4">
        <v>20.73</v>
      </c>
      <c r="T7" s="5">
        <v>2.3529998725280171E-4</v>
      </c>
    </row>
    <row r="8" spans="1:20">
      <c r="A8" s="1" t="s">
        <v>31</v>
      </c>
      <c r="B8" s="1">
        <v>12</v>
      </c>
      <c r="C8" s="1">
        <v>1</v>
      </c>
      <c r="D8" s="1" t="s">
        <v>21</v>
      </c>
      <c r="E8" s="1">
        <v>6</v>
      </c>
      <c r="F8" s="1">
        <v>1</v>
      </c>
      <c r="G8" s="1" t="s">
        <v>21</v>
      </c>
      <c r="H8" s="1">
        <v>9</v>
      </c>
      <c r="I8" s="1">
        <v>3</v>
      </c>
      <c r="J8" s="1" t="s">
        <v>21</v>
      </c>
      <c r="K8" s="1">
        <v>1</v>
      </c>
      <c r="L8" s="1" t="s">
        <v>23</v>
      </c>
      <c r="M8" s="1" t="s">
        <v>24</v>
      </c>
      <c r="N8" s="1" t="s">
        <v>22</v>
      </c>
      <c r="O8" s="1">
        <v>868.55999499999996</v>
      </c>
      <c r="P8" s="1">
        <v>864.96897899999999</v>
      </c>
      <c r="Q8" s="2">
        <f t="shared" si="0"/>
        <v>4.1344478454824161E-3</v>
      </c>
      <c r="R8" s="1" t="s">
        <v>25</v>
      </c>
      <c r="S8" s="4">
        <v>20.82</v>
      </c>
      <c r="T8" s="5">
        <v>2.5350000942125922E-4</v>
      </c>
    </row>
    <row r="9" spans="1:20">
      <c r="A9" s="1" t="s">
        <v>32</v>
      </c>
      <c r="B9" s="1">
        <v>10</v>
      </c>
      <c r="C9" s="1">
        <v>6</v>
      </c>
      <c r="D9" s="1" t="s">
        <v>22</v>
      </c>
      <c r="E9" s="1">
        <v>6</v>
      </c>
      <c r="F9" s="1">
        <v>4</v>
      </c>
      <c r="G9" s="1" t="s">
        <v>22</v>
      </c>
      <c r="H9" s="1">
        <v>16</v>
      </c>
      <c r="I9" s="1">
        <v>0</v>
      </c>
      <c r="J9" s="1" t="s">
        <v>22</v>
      </c>
      <c r="K9" s="1">
        <v>3</v>
      </c>
      <c r="L9" s="1" t="s">
        <v>23</v>
      </c>
      <c r="M9" s="1" t="s">
        <v>24</v>
      </c>
      <c r="N9" s="1" t="s">
        <v>21</v>
      </c>
      <c r="O9" s="1">
        <v>601.99999200000002</v>
      </c>
      <c r="P9" s="1">
        <v>800.89983800000005</v>
      </c>
      <c r="Q9" s="2">
        <f t="shared" si="0"/>
        <v>0.33039841967306871</v>
      </c>
      <c r="R9" s="1" t="s">
        <v>25</v>
      </c>
      <c r="S9" s="4">
        <v>20.37</v>
      </c>
      <c r="T9" s="5">
        <v>2.4429999757558107E-4</v>
      </c>
    </row>
    <row r="10" spans="1:20">
      <c r="A10" s="1" t="s">
        <v>33</v>
      </c>
      <c r="B10" s="1">
        <v>12</v>
      </c>
      <c r="C10" s="1">
        <v>3</v>
      </c>
      <c r="D10" s="1" t="s">
        <v>21</v>
      </c>
      <c r="E10" s="1">
        <v>6</v>
      </c>
      <c r="F10" s="1">
        <v>2</v>
      </c>
      <c r="G10" s="1" t="s">
        <v>21</v>
      </c>
      <c r="H10" s="1">
        <v>5</v>
      </c>
      <c r="I10" s="1">
        <v>2</v>
      </c>
      <c r="J10" s="1" t="s">
        <v>21</v>
      </c>
      <c r="K10" s="1">
        <v>6</v>
      </c>
      <c r="L10" s="1" t="s">
        <v>23</v>
      </c>
      <c r="M10" s="1" t="s">
        <v>24</v>
      </c>
      <c r="N10" s="1" t="s">
        <v>22</v>
      </c>
      <c r="O10" s="1">
        <v>1061.7599990000001</v>
      </c>
      <c r="P10" s="1">
        <v>1060.9849380000001</v>
      </c>
      <c r="Q10" s="2">
        <f t="shared" si="0"/>
        <v>7.2997758507574982E-4</v>
      </c>
      <c r="R10" s="1" t="s">
        <v>25</v>
      </c>
      <c r="S10" s="4">
        <v>21.61</v>
      </c>
      <c r="T10" s="5">
        <v>2.3529998725280171E-4</v>
      </c>
    </row>
    <row r="11" spans="1:20">
      <c r="A11" s="1" t="s">
        <v>34</v>
      </c>
      <c r="B11" s="1">
        <v>14</v>
      </c>
      <c r="C11" s="1">
        <v>8</v>
      </c>
      <c r="D11" s="1" t="s">
        <v>21</v>
      </c>
      <c r="E11" s="1">
        <v>8</v>
      </c>
      <c r="F11" s="1">
        <v>2</v>
      </c>
      <c r="G11" s="1" t="s">
        <v>22</v>
      </c>
      <c r="H11" s="1">
        <v>6</v>
      </c>
      <c r="I11" s="1">
        <v>2</v>
      </c>
      <c r="J11" s="1" t="s">
        <v>21</v>
      </c>
      <c r="K11" s="1">
        <v>0</v>
      </c>
      <c r="L11" s="1" t="s">
        <v>23</v>
      </c>
      <c r="M11" s="1" t="s">
        <v>24</v>
      </c>
      <c r="N11" s="1" t="s">
        <v>21</v>
      </c>
      <c r="O11" s="1">
        <v>1209.8799899999999</v>
      </c>
      <c r="P11" s="1">
        <v>1200.8218019999999</v>
      </c>
      <c r="Q11" s="2">
        <f t="shared" si="0"/>
        <v>7.4868483443551901E-3</v>
      </c>
      <c r="R11" s="1" t="s">
        <v>25</v>
      </c>
      <c r="S11" s="4">
        <v>21.4</v>
      </c>
      <c r="T11" s="5">
        <v>2.3999996483325961E-4</v>
      </c>
    </row>
    <row r="12" spans="1:20">
      <c r="A12" s="1" t="s">
        <v>35</v>
      </c>
      <c r="B12" s="1">
        <v>9</v>
      </c>
      <c r="C12" s="1">
        <v>2</v>
      </c>
      <c r="D12" s="1" t="s">
        <v>21</v>
      </c>
      <c r="E12" s="1">
        <v>5</v>
      </c>
      <c r="F12" s="1">
        <v>2</v>
      </c>
      <c r="G12" s="1" t="s">
        <v>22</v>
      </c>
      <c r="H12" s="1">
        <v>6</v>
      </c>
      <c r="I12" s="1">
        <v>0</v>
      </c>
      <c r="J12" s="1" t="s">
        <v>21</v>
      </c>
      <c r="K12" s="1">
        <v>2</v>
      </c>
      <c r="L12" s="1" t="s">
        <v>23</v>
      </c>
      <c r="M12" s="1" t="s">
        <v>24</v>
      </c>
      <c r="N12" s="1" t="s">
        <v>21</v>
      </c>
      <c r="O12" s="1">
        <v>637.55999199999997</v>
      </c>
      <c r="P12" s="1">
        <v>628.16949299999999</v>
      </c>
      <c r="Q12" s="2">
        <f t="shared" si="0"/>
        <v>1.4728808453840336E-2</v>
      </c>
      <c r="R12" s="1" t="s">
        <v>25</v>
      </c>
      <c r="S12" s="4">
        <v>20.59</v>
      </c>
      <c r="T12" s="5">
        <v>2.2849999368190771E-4</v>
      </c>
    </row>
    <row r="13" spans="1:20">
      <c r="A13" s="1" t="s">
        <v>36</v>
      </c>
      <c r="B13" s="1">
        <v>9</v>
      </c>
      <c r="C13" s="1">
        <v>6</v>
      </c>
      <c r="D13" s="1" t="s">
        <v>21</v>
      </c>
      <c r="E13" s="1">
        <v>10</v>
      </c>
      <c r="F13" s="1">
        <v>4</v>
      </c>
      <c r="G13" s="1" t="s">
        <v>22</v>
      </c>
      <c r="H13" s="1">
        <v>9</v>
      </c>
      <c r="I13" s="1">
        <v>3</v>
      </c>
      <c r="J13" s="1" t="s">
        <v>21</v>
      </c>
      <c r="K13" s="1">
        <v>6</v>
      </c>
      <c r="L13" s="1" t="s">
        <v>23</v>
      </c>
      <c r="M13" s="1" t="s">
        <v>24</v>
      </c>
      <c r="N13" s="1" t="s">
        <v>21</v>
      </c>
      <c r="O13" s="1">
        <v>1419.879979</v>
      </c>
      <c r="P13" s="1">
        <v>1409.0965060000001</v>
      </c>
      <c r="Q13" s="2">
        <f t="shared" si="0"/>
        <v>7.5946369830459859E-3</v>
      </c>
      <c r="R13" s="1" t="s">
        <v>25</v>
      </c>
      <c r="S13" s="4">
        <v>20.98</v>
      </c>
      <c r="T13" s="5">
        <v>2.3500004317611461E-4</v>
      </c>
    </row>
    <row r="14" spans="1:20">
      <c r="A14" s="1" t="s">
        <v>37</v>
      </c>
      <c r="B14" s="1">
        <v>9</v>
      </c>
      <c r="C14" s="1">
        <v>8</v>
      </c>
      <c r="D14" s="1" t="s">
        <v>22</v>
      </c>
      <c r="E14" s="1">
        <v>10</v>
      </c>
      <c r="F14" s="1">
        <v>0</v>
      </c>
      <c r="G14" s="1" t="s">
        <v>21</v>
      </c>
      <c r="H14" s="1">
        <v>12</v>
      </c>
      <c r="I14" s="1">
        <v>0</v>
      </c>
      <c r="J14" s="1" t="s">
        <v>21</v>
      </c>
      <c r="K14" s="1">
        <v>6</v>
      </c>
      <c r="L14" s="1" t="s">
        <v>23</v>
      </c>
      <c r="M14" s="1" t="s">
        <v>24</v>
      </c>
      <c r="N14" s="1" t="s">
        <v>21</v>
      </c>
      <c r="O14" s="1">
        <v>1551.4799760000001</v>
      </c>
      <c r="P14" s="1">
        <v>1538.5443660000001</v>
      </c>
      <c r="Q14" s="2">
        <f t="shared" si="0"/>
        <v>8.3375939103966859E-3</v>
      </c>
      <c r="R14" s="1" t="s">
        <v>25</v>
      </c>
      <c r="S14" s="4">
        <v>20.399999999999999</v>
      </c>
      <c r="T14" s="5">
        <v>2.4150003446266061E-4</v>
      </c>
    </row>
    <row r="15" spans="1:20">
      <c r="A15" s="1" t="s">
        <v>38</v>
      </c>
      <c r="B15" s="1">
        <v>12</v>
      </c>
      <c r="C15" s="1">
        <v>2</v>
      </c>
      <c r="D15" s="1" t="s">
        <v>21</v>
      </c>
      <c r="E15" s="1">
        <v>12</v>
      </c>
      <c r="F15" s="1">
        <v>3</v>
      </c>
      <c r="G15" s="1" t="s">
        <v>22</v>
      </c>
      <c r="H15" s="1">
        <v>10</v>
      </c>
      <c r="I15" s="1">
        <v>3</v>
      </c>
      <c r="J15" s="1" t="s">
        <v>21</v>
      </c>
      <c r="K15" s="1">
        <v>3</v>
      </c>
      <c r="L15" s="1" t="s">
        <v>23</v>
      </c>
      <c r="M15" s="1" t="s">
        <v>24</v>
      </c>
      <c r="N15" s="1" t="s">
        <v>21</v>
      </c>
      <c r="O15" s="1">
        <v>1844.639977</v>
      </c>
      <c r="P15" s="1">
        <v>1797.207731</v>
      </c>
      <c r="Q15" s="2">
        <f t="shared" si="0"/>
        <v>2.5713552016334771E-2</v>
      </c>
      <c r="R15" s="1" t="s">
        <v>25</v>
      </c>
      <c r="S15" s="4">
        <v>21.03</v>
      </c>
      <c r="T15" s="5">
        <v>2.3830001009628179E-4</v>
      </c>
    </row>
    <row r="16" spans="1:20">
      <c r="A16" s="1" t="s">
        <v>39</v>
      </c>
      <c r="B16" s="1">
        <v>14</v>
      </c>
      <c r="C16" s="1">
        <v>3</v>
      </c>
      <c r="D16" s="1" t="s">
        <v>21</v>
      </c>
      <c r="E16" s="1">
        <v>14</v>
      </c>
      <c r="F16" s="1">
        <v>1</v>
      </c>
      <c r="G16" s="1" t="s">
        <v>22</v>
      </c>
      <c r="H16" s="1">
        <v>12</v>
      </c>
      <c r="I16" s="1">
        <v>3</v>
      </c>
      <c r="J16" s="1" t="s">
        <v>21</v>
      </c>
      <c r="K16" s="1">
        <v>3</v>
      </c>
      <c r="L16" s="1" t="s">
        <v>23</v>
      </c>
      <c r="M16" s="1" t="s">
        <v>24</v>
      </c>
      <c r="N16" s="1" t="s">
        <v>22</v>
      </c>
      <c r="O16" s="1">
        <v>2399.5999879999999</v>
      </c>
      <c r="P16" s="1">
        <v>2343.215381</v>
      </c>
      <c r="Q16" s="2">
        <f t="shared" si="0"/>
        <v>2.3497502617923816E-2</v>
      </c>
      <c r="R16" s="1" t="s">
        <v>25</v>
      </c>
      <c r="S16" s="4">
        <v>21.01</v>
      </c>
      <c r="T16" s="5">
        <v>2.4250004207715389E-4</v>
      </c>
    </row>
    <row r="17" spans="1:20">
      <c r="A17" s="1" t="s">
        <v>40</v>
      </c>
      <c r="B17" s="1">
        <v>6</v>
      </c>
      <c r="C17" s="1">
        <v>3</v>
      </c>
      <c r="D17" s="1" t="s">
        <v>21</v>
      </c>
      <c r="E17" s="1">
        <v>8</v>
      </c>
      <c r="F17" s="1">
        <v>2</v>
      </c>
      <c r="G17" s="1" t="s">
        <v>21</v>
      </c>
      <c r="H17" s="1">
        <v>9</v>
      </c>
      <c r="I17" s="1">
        <v>3</v>
      </c>
      <c r="J17" s="1" t="s">
        <v>21</v>
      </c>
      <c r="K17" s="1">
        <v>2</v>
      </c>
      <c r="L17" s="1" t="s">
        <v>23</v>
      </c>
      <c r="M17" s="1" t="s">
        <v>24</v>
      </c>
      <c r="N17" s="1" t="s">
        <v>22</v>
      </c>
      <c r="O17" s="1">
        <v>742.27999799999998</v>
      </c>
      <c r="P17" s="1">
        <v>710.76815599999998</v>
      </c>
      <c r="Q17" s="2">
        <f t="shared" si="0"/>
        <v>4.2452769958648412E-2</v>
      </c>
      <c r="R17" s="1" t="s">
        <v>25</v>
      </c>
      <c r="S17" s="4">
        <v>21.08</v>
      </c>
      <c r="T17" s="5">
        <v>2.353000454604626E-4</v>
      </c>
    </row>
    <row r="18" spans="1:20">
      <c r="A18" s="1" t="s">
        <v>41</v>
      </c>
      <c r="B18" s="1">
        <v>10</v>
      </c>
      <c r="C18" s="1">
        <v>8</v>
      </c>
      <c r="D18" s="1" t="s">
        <v>22</v>
      </c>
      <c r="E18" s="1">
        <v>6</v>
      </c>
      <c r="F18" s="1">
        <v>0</v>
      </c>
      <c r="G18" s="1" t="s">
        <v>22</v>
      </c>
      <c r="H18" s="1">
        <v>12</v>
      </c>
      <c r="I18" s="1">
        <v>3</v>
      </c>
      <c r="J18" s="1" t="s">
        <v>22</v>
      </c>
      <c r="K18" s="1">
        <v>0</v>
      </c>
      <c r="L18" s="1" t="s">
        <v>23</v>
      </c>
      <c r="M18" s="1" t="s">
        <v>24</v>
      </c>
      <c r="N18" s="1" t="s">
        <v>22</v>
      </c>
      <c r="O18" s="1">
        <v>559.15999499999998</v>
      </c>
      <c r="P18" s="1">
        <v>538.85287600000004</v>
      </c>
      <c r="Q18" s="2">
        <f t="shared" si="0"/>
        <v>3.6317188607171272E-2</v>
      </c>
      <c r="R18" s="1" t="s">
        <v>25</v>
      </c>
      <c r="S18" s="4">
        <v>20.079999999999998</v>
      </c>
      <c r="T18" s="5">
        <v>2.631000243127346E-4</v>
      </c>
    </row>
    <row r="19" spans="1:20">
      <c r="A19" s="1" t="s">
        <v>42</v>
      </c>
      <c r="B19" s="1">
        <v>14</v>
      </c>
      <c r="C19" s="1">
        <v>1</v>
      </c>
      <c r="D19" s="1" t="s">
        <v>22</v>
      </c>
      <c r="E19" s="1">
        <v>10</v>
      </c>
      <c r="F19" s="1">
        <v>4</v>
      </c>
      <c r="G19" s="1" t="s">
        <v>21</v>
      </c>
      <c r="H19" s="1">
        <v>16</v>
      </c>
      <c r="I19" s="1">
        <v>0</v>
      </c>
      <c r="J19" s="1" t="s">
        <v>21</v>
      </c>
      <c r="K19" s="1">
        <v>3</v>
      </c>
      <c r="L19" s="1" t="s">
        <v>23</v>
      </c>
      <c r="M19" s="1" t="s">
        <v>24</v>
      </c>
      <c r="N19" s="1" t="s">
        <v>21</v>
      </c>
      <c r="O19" s="1">
        <v>1910.1599759999999</v>
      </c>
      <c r="P19" s="1">
        <v>1861.9314059999999</v>
      </c>
      <c r="Q19" s="2">
        <f t="shared" si="0"/>
        <v>2.5248445473658062E-2</v>
      </c>
      <c r="R19" s="1" t="s">
        <v>25</v>
      </c>
      <c r="S19" s="4">
        <v>21.4</v>
      </c>
      <c r="T19" s="5">
        <v>2.4269998539239171E-4</v>
      </c>
    </row>
    <row r="20" spans="1:20">
      <c r="A20" s="1" t="s">
        <v>43</v>
      </c>
      <c r="B20" s="1">
        <v>16</v>
      </c>
      <c r="C20" s="1">
        <v>4</v>
      </c>
      <c r="D20" s="1" t="s">
        <v>22</v>
      </c>
      <c r="E20" s="1">
        <v>8</v>
      </c>
      <c r="F20" s="1">
        <v>2</v>
      </c>
      <c r="G20" s="1" t="s">
        <v>21</v>
      </c>
      <c r="H20" s="1">
        <v>12</v>
      </c>
      <c r="I20" s="1">
        <v>8</v>
      </c>
      <c r="J20" s="1" t="s">
        <v>21</v>
      </c>
      <c r="K20" s="1">
        <v>4</v>
      </c>
      <c r="L20" s="1" t="s">
        <v>23</v>
      </c>
      <c r="M20" s="1" t="s">
        <v>24</v>
      </c>
      <c r="N20" s="1" t="s">
        <v>22</v>
      </c>
      <c r="O20" s="1">
        <v>1647.799996</v>
      </c>
      <c r="P20" s="1">
        <v>1599.0377209999999</v>
      </c>
      <c r="Q20" s="2">
        <f t="shared" si="0"/>
        <v>2.9592350478437581E-2</v>
      </c>
      <c r="R20" s="1" t="s">
        <v>25</v>
      </c>
      <c r="S20" s="4">
        <v>21.37</v>
      </c>
      <c r="T20" s="5">
        <v>2.4070002837106591E-4</v>
      </c>
    </row>
    <row r="21" spans="1:20">
      <c r="A21" s="1" t="s">
        <v>44</v>
      </c>
      <c r="B21" s="1">
        <v>16</v>
      </c>
      <c r="C21" s="1">
        <v>2</v>
      </c>
      <c r="D21" s="1" t="s">
        <v>22</v>
      </c>
      <c r="E21" s="1">
        <v>14</v>
      </c>
      <c r="F21" s="1">
        <v>2</v>
      </c>
      <c r="G21" s="1" t="s">
        <v>22</v>
      </c>
      <c r="H21" s="1">
        <v>9</v>
      </c>
      <c r="I21" s="1">
        <v>1</v>
      </c>
      <c r="J21" s="1" t="s">
        <v>22</v>
      </c>
      <c r="K21" s="1">
        <v>0</v>
      </c>
      <c r="L21" s="1" t="s">
        <v>23</v>
      </c>
      <c r="M21" s="1" t="s">
        <v>24</v>
      </c>
      <c r="N21" s="1" t="s">
        <v>22</v>
      </c>
      <c r="O21" s="1">
        <v>622.99999300000002</v>
      </c>
      <c r="P21" s="1">
        <v>619.56966199999999</v>
      </c>
      <c r="Q21" s="2">
        <f t="shared" si="0"/>
        <v>5.506149339555488E-3</v>
      </c>
      <c r="R21" s="1" t="s">
        <v>25</v>
      </c>
      <c r="S21" s="4">
        <v>21.57</v>
      </c>
      <c r="T21" s="5">
        <v>2.3409997811540961E-4</v>
      </c>
    </row>
    <row r="22" spans="1:20">
      <c r="A22" s="1" t="s">
        <v>45</v>
      </c>
      <c r="B22" s="1">
        <v>12</v>
      </c>
      <c r="C22" s="1">
        <v>6</v>
      </c>
      <c r="D22" s="1" t="s">
        <v>21</v>
      </c>
      <c r="E22" s="1">
        <v>6</v>
      </c>
      <c r="F22" s="1">
        <v>0</v>
      </c>
      <c r="G22" s="1" t="s">
        <v>21</v>
      </c>
      <c r="H22" s="1">
        <v>16</v>
      </c>
      <c r="I22" s="1">
        <v>1</v>
      </c>
      <c r="J22" s="1" t="s">
        <v>21</v>
      </c>
      <c r="K22" s="1">
        <v>1</v>
      </c>
      <c r="L22" s="1" t="s">
        <v>23</v>
      </c>
      <c r="M22" s="1" t="s">
        <v>24</v>
      </c>
      <c r="N22" s="1" t="s">
        <v>21</v>
      </c>
      <c r="O22" s="1">
        <v>985.03999099999999</v>
      </c>
      <c r="P22" s="1">
        <v>981.88875700000006</v>
      </c>
      <c r="Q22" s="2">
        <f t="shared" si="0"/>
        <v>3.199092451871765E-3</v>
      </c>
      <c r="R22" s="1" t="s">
        <v>25</v>
      </c>
      <c r="S22" s="4">
        <v>22.03</v>
      </c>
      <c r="T22" s="5">
        <v>2.2729998454451561E-4</v>
      </c>
    </row>
    <row r="23" spans="1:20">
      <c r="A23" s="1" t="s">
        <v>46</v>
      </c>
      <c r="B23" s="1">
        <v>8</v>
      </c>
      <c r="C23" s="1">
        <v>3</v>
      </c>
      <c r="D23" s="1" t="s">
        <v>21</v>
      </c>
      <c r="E23" s="1">
        <v>10</v>
      </c>
      <c r="F23" s="1">
        <v>2</v>
      </c>
      <c r="G23" s="1" t="s">
        <v>21</v>
      </c>
      <c r="H23" s="1">
        <v>10</v>
      </c>
      <c r="I23" s="1">
        <v>3</v>
      </c>
      <c r="J23" s="1" t="s">
        <v>21</v>
      </c>
      <c r="K23" s="1">
        <v>4</v>
      </c>
      <c r="L23" s="1" t="s">
        <v>23</v>
      </c>
      <c r="M23" s="1" t="s">
        <v>24</v>
      </c>
      <c r="N23" s="1" t="s">
        <v>22</v>
      </c>
      <c r="O23" s="1">
        <v>1244.3199990000001</v>
      </c>
      <c r="P23" s="1">
        <v>1206.5100210000001</v>
      </c>
      <c r="Q23" s="2">
        <f t="shared" si="0"/>
        <v>3.0386056665798231E-2</v>
      </c>
      <c r="R23" s="1" t="s">
        <v>25</v>
      </c>
      <c r="S23" s="4">
        <v>20.64</v>
      </c>
      <c r="T23" s="5">
        <v>2.2689998149871829E-4</v>
      </c>
    </row>
    <row r="24" spans="1:20">
      <c r="A24" s="1" t="s">
        <v>47</v>
      </c>
      <c r="B24" s="1">
        <v>12</v>
      </c>
      <c r="C24" s="1">
        <v>3</v>
      </c>
      <c r="D24" s="1" t="s">
        <v>22</v>
      </c>
      <c r="E24" s="1">
        <v>8</v>
      </c>
      <c r="F24" s="1">
        <v>6</v>
      </c>
      <c r="G24" s="1" t="s">
        <v>22</v>
      </c>
      <c r="H24" s="1">
        <v>9</v>
      </c>
      <c r="I24" s="1">
        <v>1</v>
      </c>
      <c r="J24" s="1" t="s">
        <v>22</v>
      </c>
      <c r="K24" s="1">
        <v>3</v>
      </c>
      <c r="L24" s="1" t="s">
        <v>23</v>
      </c>
      <c r="M24" s="1" t="s">
        <v>24</v>
      </c>
      <c r="N24" s="1" t="s">
        <v>21</v>
      </c>
      <c r="O24" s="1">
        <v>967.11998700000004</v>
      </c>
      <c r="P24" s="1">
        <v>1027.753835</v>
      </c>
      <c r="Q24" s="2">
        <f t="shared" si="0"/>
        <v>6.2695269268589676E-2</v>
      </c>
      <c r="R24" s="1" t="s">
        <v>25</v>
      </c>
      <c r="S24" s="4">
        <v>20.39</v>
      </c>
      <c r="T24" s="5">
        <v>2.328999689780176E-4</v>
      </c>
    </row>
    <row r="25" spans="1:20">
      <c r="A25" s="1" t="s">
        <v>48</v>
      </c>
      <c r="B25" s="1">
        <v>10</v>
      </c>
      <c r="C25" s="1">
        <v>1</v>
      </c>
      <c r="D25" s="1" t="s">
        <v>21</v>
      </c>
      <c r="E25" s="1">
        <v>12</v>
      </c>
      <c r="F25" s="1">
        <v>2</v>
      </c>
      <c r="G25" s="1" t="s">
        <v>21</v>
      </c>
      <c r="H25" s="1">
        <v>16</v>
      </c>
      <c r="I25" s="1">
        <v>0</v>
      </c>
      <c r="J25" s="1" t="s">
        <v>21</v>
      </c>
      <c r="K25" s="1">
        <v>4</v>
      </c>
      <c r="L25" s="1" t="s">
        <v>23</v>
      </c>
      <c r="M25" s="1" t="s">
        <v>24</v>
      </c>
      <c r="N25" s="1" t="s">
        <v>22</v>
      </c>
      <c r="O25" s="1">
        <v>1839.8799979999999</v>
      </c>
      <c r="P25" s="1">
        <v>1797.825519</v>
      </c>
      <c r="Q25" s="2">
        <f t="shared" si="0"/>
        <v>2.2857185819572079E-2</v>
      </c>
      <c r="R25" s="1" t="s">
        <v>25</v>
      </c>
      <c r="S25" s="4">
        <v>21.4</v>
      </c>
      <c r="T25" s="5">
        <v>2.3529998725280171E-4</v>
      </c>
    </row>
    <row r="26" spans="1:20">
      <c r="A26" s="1" t="s">
        <v>49</v>
      </c>
      <c r="B26" s="1">
        <v>16</v>
      </c>
      <c r="C26" s="1">
        <v>1</v>
      </c>
      <c r="D26" s="1" t="s">
        <v>22</v>
      </c>
      <c r="E26" s="1">
        <v>12</v>
      </c>
      <c r="F26" s="1">
        <v>6</v>
      </c>
      <c r="G26" s="1" t="s">
        <v>21</v>
      </c>
      <c r="H26" s="1">
        <v>9</v>
      </c>
      <c r="I26" s="1">
        <v>6</v>
      </c>
      <c r="J26" s="1" t="s">
        <v>21</v>
      </c>
      <c r="K26" s="1">
        <v>1</v>
      </c>
      <c r="L26" s="1" t="s">
        <v>23</v>
      </c>
      <c r="M26" s="1" t="s">
        <v>24</v>
      </c>
      <c r="N26" s="1" t="s">
        <v>21</v>
      </c>
      <c r="O26" s="1">
        <v>2056.0399809999999</v>
      </c>
      <c r="P26" s="1">
        <v>2031.074977</v>
      </c>
      <c r="Q26" s="2">
        <f t="shared" si="0"/>
        <v>1.2142275554319539E-2</v>
      </c>
      <c r="R26" s="1" t="s">
        <v>25</v>
      </c>
      <c r="S26" s="4">
        <v>21.67</v>
      </c>
      <c r="T26" s="5">
        <v>2.4009996559470889E-4</v>
      </c>
    </row>
    <row r="27" spans="1:20">
      <c r="A27" s="1" t="s">
        <v>50</v>
      </c>
      <c r="B27" s="1">
        <v>16</v>
      </c>
      <c r="C27" s="1">
        <v>3</v>
      </c>
      <c r="D27" s="1" t="s">
        <v>22</v>
      </c>
      <c r="E27" s="1">
        <v>10</v>
      </c>
      <c r="F27" s="1">
        <v>2</v>
      </c>
      <c r="G27" s="1" t="s">
        <v>21</v>
      </c>
      <c r="H27" s="1">
        <v>12</v>
      </c>
      <c r="I27" s="1">
        <v>6</v>
      </c>
      <c r="J27" s="1" t="s">
        <v>21</v>
      </c>
      <c r="K27" s="1">
        <v>6</v>
      </c>
      <c r="L27" s="1" t="s">
        <v>23</v>
      </c>
      <c r="M27" s="1" t="s">
        <v>24</v>
      </c>
      <c r="N27" s="1" t="s">
        <v>22</v>
      </c>
      <c r="O27" s="1">
        <v>2157.959996</v>
      </c>
      <c r="P27" s="1">
        <v>2109.3840850000001</v>
      </c>
      <c r="Q27" s="2">
        <f t="shared" si="0"/>
        <v>2.2510107272628008E-2</v>
      </c>
      <c r="R27" s="1" t="s">
        <v>25</v>
      </c>
      <c r="S27" s="4">
        <v>21.65</v>
      </c>
      <c r="T27" s="5">
        <v>2.3850001161918039E-4</v>
      </c>
    </row>
    <row r="28" spans="1:20">
      <c r="A28" s="1" t="s">
        <v>51</v>
      </c>
      <c r="B28" s="1">
        <v>14</v>
      </c>
      <c r="C28" s="1">
        <v>6</v>
      </c>
      <c r="D28" s="1" t="s">
        <v>21</v>
      </c>
      <c r="E28" s="1">
        <v>9</v>
      </c>
      <c r="F28" s="1">
        <v>1</v>
      </c>
      <c r="G28" s="1" t="s">
        <v>21</v>
      </c>
      <c r="H28" s="1">
        <v>16</v>
      </c>
      <c r="I28" s="1">
        <v>4</v>
      </c>
      <c r="J28" s="1" t="s">
        <v>21</v>
      </c>
      <c r="K28" s="1">
        <v>4</v>
      </c>
      <c r="L28" s="1" t="s">
        <v>23</v>
      </c>
      <c r="M28" s="1" t="s">
        <v>24</v>
      </c>
      <c r="N28" s="1" t="s">
        <v>21</v>
      </c>
      <c r="O28" s="1">
        <v>1977.9199739999999</v>
      </c>
      <c r="P28" s="1">
        <v>1920.2076609999999</v>
      </c>
      <c r="Q28" s="2">
        <f t="shared" si="0"/>
        <v>2.9178285147344388E-2</v>
      </c>
      <c r="R28" s="1" t="s">
        <v>25</v>
      </c>
      <c r="S28" s="4">
        <v>21.45</v>
      </c>
      <c r="T28" s="5">
        <v>2.3579999106004829E-4</v>
      </c>
    </row>
    <row r="29" spans="1:20">
      <c r="A29" s="1" t="s">
        <v>52</v>
      </c>
      <c r="B29" s="1">
        <v>14</v>
      </c>
      <c r="C29" s="1">
        <v>4</v>
      </c>
      <c r="D29" s="1" t="s">
        <v>21</v>
      </c>
      <c r="E29" s="1">
        <v>10</v>
      </c>
      <c r="F29" s="1">
        <v>2</v>
      </c>
      <c r="G29" s="1" t="s">
        <v>22</v>
      </c>
      <c r="H29" s="1">
        <v>10</v>
      </c>
      <c r="I29" s="1">
        <v>6</v>
      </c>
      <c r="J29" s="1" t="s">
        <v>21</v>
      </c>
      <c r="K29" s="1">
        <v>2</v>
      </c>
      <c r="L29" s="1" t="s">
        <v>23</v>
      </c>
      <c r="M29" s="1" t="s">
        <v>24</v>
      </c>
      <c r="N29" s="1" t="s">
        <v>21</v>
      </c>
      <c r="O29" s="1">
        <v>1739.35998</v>
      </c>
      <c r="P29" s="1">
        <v>1682.022974</v>
      </c>
      <c r="Q29" s="2">
        <f t="shared" si="0"/>
        <v>3.2964427524657648E-2</v>
      </c>
      <c r="R29" s="1" t="s">
        <v>25</v>
      </c>
      <c r="S29" s="4">
        <v>20.9</v>
      </c>
      <c r="T29" s="5">
        <v>2.5490002008154988E-4</v>
      </c>
    </row>
    <row r="30" spans="1:20">
      <c r="A30" s="1" t="s">
        <v>53</v>
      </c>
      <c r="B30" s="1">
        <v>6</v>
      </c>
      <c r="C30" s="1">
        <v>1</v>
      </c>
      <c r="D30" s="1" t="s">
        <v>22</v>
      </c>
      <c r="E30" s="1">
        <v>10</v>
      </c>
      <c r="F30" s="1">
        <v>1</v>
      </c>
      <c r="G30" s="1" t="s">
        <v>21</v>
      </c>
      <c r="H30" s="1">
        <v>8</v>
      </c>
      <c r="I30" s="1">
        <v>0</v>
      </c>
      <c r="J30" s="1" t="s">
        <v>21</v>
      </c>
      <c r="K30" s="1">
        <v>1</v>
      </c>
      <c r="L30" s="1" t="s">
        <v>23</v>
      </c>
      <c r="M30" s="1" t="s">
        <v>24</v>
      </c>
      <c r="N30" s="1" t="s">
        <v>21</v>
      </c>
      <c r="O30" s="1">
        <v>745.07999299999994</v>
      </c>
      <c r="P30" s="1">
        <v>710.30202599999996</v>
      </c>
      <c r="Q30" s="2">
        <f t="shared" si="0"/>
        <v>4.6676823061601105E-2</v>
      </c>
      <c r="R30" s="1" t="s">
        <v>25</v>
      </c>
      <c r="S30" s="4">
        <v>20.6</v>
      </c>
      <c r="T30" s="5">
        <v>2.4030002532526851E-4</v>
      </c>
    </row>
    <row r="31" spans="1:20">
      <c r="A31" s="1" t="s">
        <v>54</v>
      </c>
      <c r="B31" s="1">
        <v>16</v>
      </c>
      <c r="C31" s="1">
        <v>8</v>
      </c>
      <c r="D31" s="1" t="s">
        <v>22</v>
      </c>
      <c r="E31" s="1">
        <v>8</v>
      </c>
      <c r="F31" s="1">
        <v>2</v>
      </c>
      <c r="G31" s="1" t="s">
        <v>21</v>
      </c>
      <c r="H31" s="1">
        <v>9</v>
      </c>
      <c r="I31" s="1">
        <v>1</v>
      </c>
      <c r="J31" s="1" t="s">
        <v>21</v>
      </c>
      <c r="K31" s="1">
        <v>4</v>
      </c>
      <c r="L31" s="1" t="s">
        <v>23</v>
      </c>
      <c r="M31" s="1" t="s">
        <v>24</v>
      </c>
      <c r="N31" s="1" t="s">
        <v>21</v>
      </c>
      <c r="O31" s="1">
        <v>1678.0399789999999</v>
      </c>
      <c r="P31" s="1">
        <v>1657.5193859999999</v>
      </c>
      <c r="Q31" s="2">
        <f t="shared" si="0"/>
        <v>1.2228905900221083E-2</v>
      </c>
      <c r="R31" s="1" t="s">
        <v>25</v>
      </c>
      <c r="S31" s="4">
        <v>21.39</v>
      </c>
      <c r="T31" s="5">
        <v>2.6739999884739518E-4</v>
      </c>
    </row>
    <row r="32" spans="1:20">
      <c r="A32" s="1" t="s">
        <v>55</v>
      </c>
      <c r="B32" s="1">
        <v>9</v>
      </c>
      <c r="C32" s="1">
        <v>1</v>
      </c>
      <c r="D32" s="1" t="s">
        <v>22</v>
      </c>
      <c r="E32" s="1">
        <v>12</v>
      </c>
      <c r="F32" s="1">
        <v>6</v>
      </c>
      <c r="G32" s="1" t="s">
        <v>22</v>
      </c>
      <c r="H32" s="1">
        <v>12</v>
      </c>
      <c r="I32" s="1">
        <v>8</v>
      </c>
      <c r="J32" s="1" t="s">
        <v>22</v>
      </c>
      <c r="K32" s="1">
        <v>3</v>
      </c>
      <c r="L32" s="1" t="s">
        <v>23</v>
      </c>
      <c r="M32" s="1" t="s">
        <v>24</v>
      </c>
      <c r="N32" s="1" t="s">
        <v>21</v>
      </c>
      <c r="O32" s="1">
        <v>726.87998800000003</v>
      </c>
      <c r="P32" s="1">
        <v>736.38345100000004</v>
      </c>
      <c r="Q32" s="2">
        <f t="shared" si="0"/>
        <v>1.3074321974592606E-2</v>
      </c>
      <c r="R32" s="1" t="s">
        <v>25</v>
      </c>
      <c r="S32" s="4">
        <v>20.58</v>
      </c>
      <c r="T32" s="5">
        <v>2.341000363230705E-4</v>
      </c>
    </row>
    <row r="33" spans="1:20">
      <c r="A33" s="1" t="s">
        <v>56</v>
      </c>
      <c r="B33" s="1">
        <v>10</v>
      </c>
      <c r="C33" s="1">
        <v>8</v>
      </c>
      <c r="D33" s="1" t="s">
        <v>21</v>
      </c>
      <c r="E33" s="1">
        <v>10</v>
      </c>
      <c r="F33" s="1">
        <v>3</v>
      </c>
      <c r="G33" s="1" t="s">
        <v>22</v>
      </c>
      <c r="H33" s="1">
        <v>16</v>
      </c>
      <c r="I33" s="1">
        <v>8</v>
      </c>
      <c r="J33" s="1" t="s">
        <v>21</v>
      </c>
      <c r="K33" s="1">
        <v>0</v>
      </c>
      <c r="L33" s="1" t="s">
        <v>23</v>
      </c>
      <c r="M33" s="1" t="s">
        <v>24</v>
      </c>
      <c r="N33" s="1" t="s">
        <v>21</v>
      </c>
      <c r="O33" s="1">
        <v>1163.119991</v>
      </c>
      <c r="P33" s="1">
        <v>1103.6354590000001</v>
      </c>
      <c r="Q33" s="2">
        <f t="shared" si="0"/>
        <v>5.1142214440711084E-2</v>
      </c>
      <c r="R33" s="1" t="s">
        <v>25</v>
      </c>
      <c r="S33" s="4">
        <v>21.42</v>
      </c>
      <c r="T33" s="5">
        <v>2.3609999334439641E-4</v>
      </c>
    </row>
    <row r="34" spans="1:20">
      <c r="A34" s="1" t="s">
        <v>57</v>
      </c>
      <c r="B34" s="1">
        <v>10</v>
      </c>
      <c r="C34" s="1">
        <v>1</v>
      </c>
      <c r="D34" s="1" t="s">
        <v>22</v>
      </c>
      <c r="E34" s="1">
        <v>4</v>
      </c>
      <c r="F34" s="1">
        <v>1</v>
      </c>
      <c r="G34" s="1" t="s">
        <v>22</v>
      </c>
      <c r="H34" s="1">
        <v>12</v>
      </c>
      <c r="I34" s="1">
        <v>8</v>
      </c>
      <c r="J34" s="1" t="s">
        <v>22</v>
      </c>
      <c r="K34" s="1">
        <v>6</v>
      </c>
      <c r="L34" s="1" t="s">
        <v>23</v>
      </c>
      <c r="M34" s="1" t="s">
        <v>24</v>
      </c>
      <c r="N34" s="1" t="s">
        <v>22</v>
      </c>
      <c r="O34" s="1">
        <v>330.680003</v>
      </c>
      <c r="P34" s="1">
        <v>328.79461400000002</v>
      </c>
      <c r="Q34" s="2">
        <f t="shared" si="0"/>
        <v>5.7015512970101647E-3</v>
      </c>
      <c r="R34" s="1" t="s">
        <v>25</v>
      </c>
      <c r="S34" s="4">
        <v>20.18</v>
      </c>
      <c r="T34" s="5">
        <v>2.292999997735023E-4</v>
      </c>
    </row>
    <row r="35" spans="1:20">
      <c r="A35" s="1" t="s">
        <v>58</v>
      </c>
      <c r="B35" s="1">
        <v>12</v>
      </c>
      <c r="C35" s="1">
        <v>4</v>
      </c>
      <c r="D35" s="1" t="s">
        <v>21</v>
      </c>
      <c r="E35" s="1">
        <v>12</v>
      </c>
      <c r="F35" s="1">
        <v>0</v>
      </c>
      <c r="G35" s="1" t="s">
        <v>22</v>
      </c>
      <c r="H35" s="1">
        <v>8</v>
      </c>
      <c r="I35" s="1">
        <v>3</v>
      </c>
      <c r="J35" s="1" t="s">
        <v>21</v>
      </c>
      <c r="K35" s="1">
        <v>0</v>
      </c>
      <c r="L35" s="1" t="s">
        <v>23</v>
      </c>
      <c r="M35" s="1" t="s">
        <v>24</v>
      </c>
      <c r="N35" s="1" t="s">
        <v>21</v>
      </c>
      <c r="O35" s="1">
        <v>1544.1999860000001</v>
      </c>
      <c r="P35" s="1">
        <v>1498.500284</v>
      </c>
      <c r="Q35" s="2">
        <f t="shared" si="0"/>
        <v>2.9594419385003227E-2</v>
      </c>
      <c r="R35" s="1" t="s">
        <v>25</v>
      </c>
      <c r="S35" s="4">
        <v>21.71</v>
      </c>
      <c r="T35" s="5">
        <v>2.4640001356601721E-4</v>
      </c>
    </row>
    <row r="36" spans="1:20">
      <c r="A36" s="1" t="s">
        <v>59</v>
      </c>
      <c r="B36" s="1">
        <v>14</v>
      </c>
      <c r="C36" s="1">
        <v>2</v>
      </c>
      <c r="D36" s="1" t="s">
        <v>22</v>
      </c>
      <c r="E36" s="1">
        <v>8</v>
      </c>
      <c r="F36" s="1">
        <v>1</v>
      </c>
      <c r="G36" s="1" t="s">
        <v>21</v>
      </c>
      <c r="H36" s="1">
        <v>10</v>
      </c>
      <c r="I36" s="1">
        <v>8</v>
      </c>
      <c r="J36" s="1" t="s">
        <v>21</v>
      </c>
      <c r="K36" s="1">
        <v>1</v>
      </c>
      <c r="L36" s="1" t="s">
        <v>23</v>
      </c>
      <c r="M36" s="1" t="s">
        <v>24</v>
      </c>
      <c r="N36" s="1" t="s">
        <v>21</v>
      </c>
      <c r="O36" s="1">
        <v>1098.7199900000001</v>
      </c>
      <c r="P36" s="1">
        <v>1149.4956589999999</v>
      </c>
      <c r="Q36" s="2">
        <f t="shared" si="0"/>
        <v>4.621347519125403E-2</v>
      </c>
      <c r="R36" s="1" t="s">
        <v>25</v>
      </c>
      <c r="S36" s="4">
        <v>21.1</v>
      </c>
      <c r="T36" s="5">
        <v>2.3850001161918039E-4</v>
      </c>
    </row>
    <row r="37" spans="1:20">
      <c r="A37" s="1" t="s">
        <v>60</v>
      </c>
      <c r="B37" s="1">
        <v>8</v>
      </c>
      <c r="C37" s="1">
        <v>3</v>
      </c>
      <c r="D37" s="1" t="s">
        <v>22</v>
      </c>
      <c r="E37" s="1">
        <v>9</v>
      </c>
      <c r="F37" s="1">
        <v>6</v>
      </c>
      <c r="G37" s="1" t="s">
        <v>21</v>
      </c>
      <c r="H37" s="1">
        <v>8</v>
      </c>
      <c r="I37" s="1">
        <v>2</v>
      </c>
      <c r="J37" s="1" t="s">
        <v>21</v>
      </c>
      <c r="K37" s="1">
        <v>6</v>
      </c>
      <c r="L37" s="1" t="s">
        <v>23</v>
      </c>
      <c r="M37" s="1" t="s">
        <v>24</v>
      </c>
      <c r="N37" s="1" t="s">
        <v>22</v>
      </c>
      <c r="O37" s="1">
        <v>1147.72</v>
      </c>
      <c r="P37" s="1">
        <v>1131.262725</v>
      </c>
      <c r="Q37" s="2">
        <f t="shared" si="0"/>
        <v>1.4339102742829245E-2</v>
      </c>
      <c r="R37" s="1" t="s">
        <v>25</v>
      </c>
      <c r="S37" s="4">
        <v>20.43</v>
      </c>
      <c r="T37" s="5">
        <v>2.3429997963830829E-4</v>
      </c>
    </row>
    <row r="38" spans="1:20">
      <c r="A38" s="1" t="s">
        <v>61</v>
      </c>
      <c r="B38" s="1">
        <v>9</v>
      </c>
      <c r="C38" s="1">
        <v>4</v>
      </c>
      <c r="D38" s="1" t="s">
        <v>21</v>
      </c>
      <c r="E38" s="1">
        <v>4</v>
      </c>
      <c r="F38" s="1">
        <v>1</v>
      </c>
      <c r="G38" s="1" t="s">
        <v>22</v>
      </c>
      <c r="H38" s="1">
        <v>9</v>
      </c>
      <c r="I38" s="1">
        <v>4</v>
      </c>
      <c r="J38" s="1" t="s">
        <v>21</v>
      </c>
      <c r="K38" s="1">
        <v>1</v>
      </c>
      <c r="L38" s="1" t="s">
        <v>23</v>
      </c>
      <c r="M38" s="1" t="s">
        <v>24</v>
      </c>
      <c r="N38" s="1" t="s">
        <v>21</v>
      </c>
      <c r="O38" s="1">
        <v>473.759996</v>
      </c>
      <c r="P38" s="1">
        <v>479.12385499999999</v>
      </c>
      <c r="Q38" s="2">
        <f t="shared" si="0"/>
        <v>1.1321890926392171E-2</v>
      </c>
      <c r="R38" s="1" t="s">
        <v>25</v>
      </c>
      <c r="S38" s="4">
        <v>20.37</v>
      </c>
      <c r="T38" s="5">
        <v>2.3470004089176649E-4</v>
      </c>
    </row>
    <row r="39" spans="1:20">
      <c r="A39" s="1" t="s">
        <v>62</v>
      </c>
      <c r="B39" s="1">
        <v>8</v>
      </c>
      <c r="C39" s="1">
        <v>6</v>
      </c>
      <c r="D39" s="1" t="s">
        <v>21</v>
      </c>
      <c r="E39" s="1">
        <v>12</v>
      </c>
      <c r="F39" s="1">
        <v>1</v>
      </c>
      <c r="G39" s="1" t="s">
        <v>22</v>
      </c>
      <c r="H39" s="1">
        <v>8</v>
      </c>
      <c r="I39" s="1">
        <v>0</v>
      </c>
      <c r="J39" s="1" t="s">
        <v>21</v>
      </c>
      <c r="K39" s="1">
        <v>0</v>
      </c>
      <c r="L39" s="1" t="s">
        <v>23</v>
      </c>
      <c r="M39" s="1" t="s">
        <v>24</v>
      </c>
      <c r="N39" s="1" t="s">
        <v>21</v>
      </c>
      <c r="O39" s="1">
        <v>1033.4799909999999</v>
      </c>
      <c r="P39" s="1">
        <v>1011.800541</v>
      </c>
      <c r="Q39" s="2">
        <f t="shared" si="0"/>
        <v>2.0977135686026046E-2</v>
      </c>
      <c r="R39" s="1" t="s">
        <v>25</v>
      </c>
      <c r="S39" s="4">
        <v>21.25</v>
      </c>
      <c r="T39" s="5">
        <v>2.7049996424466372E-4</v>
      </c>
    </row>
    <row r="40" spans="1:20">
      <c r="A40" s="1" t="s">
        <v>63</v>
      </c>
      <c r="B40" s="1">
        <v>6</v>
      </c>
      <c r="C40" s="1">
        <v>1</v>
      </c>
      <c r="D40" s="1" t="s">
        <v>21</v>
      </c>
      <c r="E40" s="1">
        <v>6</v>
      </c>
      <c r="F40" s="1">
        <v>3</v>
      </c>
      <c r="G40" s="1" t="s">
        <v>22</v>
      </c>
      <c r="H40" s="1">
        <v>8</v>
      </c>
      <c r="I40" s="1">
        <v>2</v>
      </c>
      <c r="J40" s="1" t="s">
        <v>21</v>
      </c>
      <c r="K40" s="1">
        <v>1</v>
      </c>
      <c r="L40" s="1" t="s">
        <v>23</v>
      </c>
      <c r="M40" s="1" t="s">
        <v>24</v>
      </c>
      <c r="N40" s="1" t="s">
        <v>21</v>
      </c>
      <c r="O40" s="1">
        <v>461.15999499999998</v>
      </c>
      <c r="P40" s="1">
        <v>464.34327500000001</v>
      </c>
      <c r="Q40" s="2">
        <f t="shared" si="0"/>
        <v>6.9027670103952209E-3</v>
      </c>
      <c r="R40" s="1" t="s">
        <v>25</v>
      </c>
      <c r="S40" s="4">
        <v>19.899999999999999</v>
      </c>
      <c r="T40" s="5">
        <v>2.3110001347959039E-4</v>
      </c>
    </row>
    <row r="41" spans="1:20">
      <c r="A41" s="1" t="s">
        <v>64</v>
      </c>
      <c r="B41" s="1">
        <v>16</v>
      </c>
      <c r="C41" s="1">
        <v>2</v>
      </c>
      <c r="D41" s="1" t="s">
        <v>21</v>
      </c>
      <c r="E41" s="1">
        <v>4</v>
      </c>
      <c r="F41" s="1">
        <v>0</v>
      </c>
      <c r="G41" s="1" t="s">
        <v>21</v>
      </c>
      <c r="H41" s="1">
        <v>6</v>
      </c>
      <c r="I41" s="1">
        <v>2</v>
      </c>
      <c r="J41" s="1" t="s">
        <v>21</v>
      </c>
      <c r="K41" s="1">
        <v>1</v>
      </c>
      <c r="L41" s="1" t="s">
        <v>23</v>
      </c>
      <c r="M41" s="1" t="s">
        <v>24</v>
      </c>
      <c r="N41" s="1" t="s">
        <v>22</v>
      </c>
      <c r="O41" s="1">
        <v>338.79999900000001</v>
      </c>
      <c r="P41" s="1">
        <v>333.50623100000001</v>
      </c>
      <c r="Q41" s="2">
        <f t="shared" si="0"/>
        <v>1.5625053174808303E-2</v>
      </c>
      <c r="R41" s="1" t="s">
        <v>25</v>
      </c>
      <c r="S41" s="4">
        <v>20.66</v>
      </c>
      <c r="T41" s="5">
        <v>2.2550002904608851E-4</v>
      </c>
    </row>
    <row r="42" spans="1:20">
      <c r="A42" s="1" t="s">
        <v>65</v>
      </c>
      <c r="B42" s="1">
        <v>12</v>
      </c>
      <c r="C42" s="1">
        <v>6</v>
      </c>
      <c r="D42" s="1" t="s">
        <v>22</v>
      </c>
      <c r="E42" s="1">
        <v>10</v>
      </c>
      <c r="F42" s="1">
        <v>4</v>
      </c>
      <c r="G42" s="1" t="s">
        <v>22</v>
      </c>
      <c r="H42" s="1">
        <v>12</v>
      </c>
      <c r="I42" s="1">
        <v>2</v>
      </c>
      <c r="J42" s="1" t="s">
        <v>22</v>
      </c>
      <c r="K42" s="1">
        <v>2</v>
      </c>
      <c r="L42" s="1" t="s">
        <v>23</v>
      </c>
      <c r="M42" s="1" t="s">
        <v>24</v>
      </c>
      <c r="N42" s="1" t="s">
        <v>22</v>
      </c>
      <c r="O42" s="1">
        <v>1255.239992</v>
      </c>
      <c r="P42" s="1">
        <v>1256.844642</v>
      </c>
      <c r="Q42" s="2">
        <f t="shared" si="0"/>
        <v>1.2783611183732843E-3</v>
      </c>
      <c r="R42" s="1" t="s">
        <v>25</v>
      </c>
      <c r="S42" s="4">
        <v>20.51</v>
      </c>
      <c r="T42" s="5">
        <v>2.3870001314207909E-4</v>
      </c>
    </row>
    <row r="43" spans="1:20">
      <c r="A43" s="1" t="s">
        <v>66</v>
      </c>
      <c r="B43" s="1">
        <v>12</v>
      </c>
      <c r="C43" s="1">
        <v>8</v>
      </c>
      <c r="D43" s="1" t="s">
        <v>21</v>
      </c>
      <c r="E43" s="1">
        <v>6</v>
      </c>
      <c r="F43" s="1">
        <v>1</v>
      </c>
      <c r="G43" s="1" t="s">
        <v>21</v>
      </c>
      <c r="H43" s="1">
        <v>9</v>
      </c>
      <c r="I43" s="1">
        <v>8</v>
      </c>
      <c r="J43" s="1" t="s">
        <v>21</v>
      </c>
      <c r="K43" s="1">
        <v>3</v>
      </c>
      <c r="L43" s="1" t="s">
        <v>23</v>
      </c>
      <c r="M43" s="1" t="s">
        <v>24</v>
      </c>
      <c r="N43" s="1" t="s">
        <v>22</v>
      </c>
      <c r="O43" s="1">
        <v>1048.879999</v>
      </c>
      <c r="P43" s="1">
        <v>1030.420873</v>
      </c>
      <c r="Q43" s="2">
        <f t="shared" si="0"/>
        <v>1.7598892168407123E-2</v>
      </c>
      <c r="R43" s="1" t="s">
        <v>25</v>
      </c>
      <c r="S43" s="4">
        <v>20.29</v>
      </c>
      <c r="T43" s="5">
        <v>2.394999610260129E-4</v>
      </c>
    </row>
    <row r="44" spans="1:20">
      <c r="A44" s="1" t="s">
        <v>67</v>
      </c>
      <c r="B44" s="1">
        <v>16</v>
      </c>
      <c r="C44" s="1">
        <v>4</v>
      </c>
      <c r="D44" s="1" t="s">
        <v>21</v>
      </c>
      <c r="E44" s="1">
        <v>8</v>
      </c>
      <c r="F44" s="1">
        <v>3</v>
      </c>
      <c r="G44" s="1" t="s">
        <v>21</v>
      </c>
      <c r="H44" s="1">
        <v>12</v>
      </c>
      <c r="I44" s="1">
        <v>3</v>
      </c>
      <c r="J44" s="1" t="s">
        <v>21</v>
      </c>
      <c r="K44" s="1">
        <v>1</v>
      </c>
      <c r="L44" s="1" t="s">
        <v>23</v>
      </c>
      <c r="M44" s="1" t="s">
        <v>24</v>
      </c>
      <c r="N44" s="1" t="s">
        <v>21</v>
      </c>
      <c r="O44" s="1">
        <v>1542.2399869999999</v>
      </c>
      <c r="P44" s="1">
        <v>1526.7965690000001</v>
      </c>
      <c r="Q44" s="2">
        <f t="shared" si="0"/>
        <v>1.0013628313477154E-2</v>
      </c>
      <c r="R44" s="1" t="s">
        <v>25</v>
      </c>
      <c r="S44" s="4">
        <v>21.57</v>
      </c>
      <c r="T44" s="5">
        <v>2.3960001999512309E-4</v>
      </c>
    </row>
    <row r="45" spans="1:20">
      <c r="A45" s="1" t="s">
        <v>68</v>
      </c>
      <c r="B45" s="1">
        <v>16</v>
      </c>
      <c r="C45" s="1">
        <v>1</v>
      </c>
      <c r="D45" s="1" t="s">
        <v>21</v>
      </c>
      <c r="E45" s="1">
        <v>4</v>
      </c>
      <c r="F45" s="1">
        <v>2</v>
      </c>
      <c r="G45" s="1" t="s">
        <v>21</v>
      </c>
      <c r="H45" s="1">
        <v>6</v>
      </c>
      <c r="I45" s="1">
        <v>3</v>
      </c>
      <c r="J45" s="1" t="s">
        <v>21</v>
      </c>
      <c r="K45" s="1">
        <v>4</v>
      </c>
      <c r="L45" s="1" t="s">
        <v>23</v>
      </c>
      <c r="M45" s="1" t="s">
        <v>24</v>
      </c>
      <c r="N45" s="1" t="s">
        <v>22</v>
      </c>
      <c r="O45" s="1">
        <v>439.04000200000002</v>
      </c>
      <c r="P45" s="1">
        <v>442.978115</v>
      </c>
      <c r="Q45" s="2">
        <f t="shared" si="0"/>
        <v>8.9698273097219665E-3</v>
      </c>
      <c r="R45" s="1" t="s">
        <v>25</v>
      </c>
      <c r="S45" s="4">
        <v>20.309999999999999</v>
      </c>
      <c r="T45" s="5">
        <v>2.242999617010355E-4</v>
      </c>
    </row>
    <row r="46" spans="1:20">
      <c r="A46" s="1" t="s">
        <v>69</v>
      </c>
      <c r="B46" s="1">
        <v>8</v>
      </c>
      <c r="C46" s="1">
        <v>1</v>
      </c>
      <c r="D46" s="1" t="s">
        <v>21</v>
      </c>
      <c r="E46" s="1">
        <v>8</v>
      </c>
      <c r="F46" s="1">
        <v>2</v>
      </c>
      <c r="G46" s="1" t="s">
        <v>21</v>
      </c>
      <c r="H46" s="1">
        <v>12</v>
      </c>
      <c r="I46" s="1">
        <v>4</v>
      </c>
      <c r="J46" s="1" t="s">
        <v>21</v>
      </c>
      <c r="K46" s="1">
        <v>4</v>
      </c>
      <c r="L46" s="1" t="s">
        <v>23</v>
      </c>
      <c r="M46" s="1" t="s">
        <v>24</v>
      </c>
      <c r="N46" s="1" t="s">
        <v>21</v>
      </c>
      <c r="O46" s="1">
        <v>1117.1999840000001</v>
      </c>
      <c r="P46" s="1">
        <v>1087.5185100000001</v>
      </c>
      <c r="Q46" s="2">
        <f t="shared" si="0"/>
        <v>2.6567735790443744E-2</v>
      </c>
      <c r="R46" s="1" t="s">
        <v>25</v>
      </c>
      <c r="S46" s="4">
        <v>20.73</v>
      </c>
      <c r="T46" s="5">
        <v>2.2119999630376699E-4</v>
      </c>
    </row>
    <row r="47" spans="1:20">
      <c r="A47" s="1" t="s">
        <v>70</v>
      </c>
      <c r="B47" s="1">
        <v>8</v>
      </c>
      <c r="C47" s="1">
        <v>2</v>
      </c>
      <c r="D47" s="1" t="s">
        <v>22</v>
      </c>
      <c r="E47" s="1">
        <v>14</v>
      </c>
      <c r="F47" s="1">
        <v>6</v>
      </c>
      <c r="G47" s="1" t="s">
        <v>22</v>
      </c>
      <c r="H47" s="1">
        <v>16</v>
      </c>
      <c r="I47" s="1">
        <v>6</v>
      </c>
      <c r="J47" s="1" t="s">
        <v>22</v>
      </c>
      <c r="K47" s="1">
        <v>0</v>
      </c>
      <c r="L47" s="1" t="s">
        <v>23</v>
      </c>
      <c r="M47" s="1" t="s">
        <v>24</v>
      </c>
      <c r="N47" s="1" t="s">
        <v>21</v>
      </c>
      <c r="O47" s="1">
        <v>961.519992</v>
      </c>
      <c r="P47" s="1">
        <v>954.72896400000002</v>
      </c>
      <c r="Q47" s="2">
        <f t="shared" si="0"/>
        <v>7.0628047846143828E-3</v>
      </c>
      <c r="R47" s="1" t="s">
        <v>25</v>
      </c>
      <c r="S47" s="4">
        <v>20.57</v>
      </c>
      <c r="T47" s="5">
        <v>2.3269996745511889E-4</v>
      </c>
    </row>
    <row r="48" spans="1:20">
      <c r="A48" s="1" t="s">
        <v>71</v>
      </c>
      <c r="B48" s="1">
        <v>9</v>
      </c>
      <c r="C48" s="1">
        <v>2</v>
      </c>
      <c r="D48" s="1" t="s">
        <v>22</v>
      </c>
      <c r="E48" s="1">
        <v>4</v>
      </c>
      <c r="F48" s="1">
        <v>0</v>
      </c>
      <c r="G48" s="1" t="s">
        <v>21</v>
      </c>
      <c r="H48" s="1">
        <v>5</v>
      </c>
      <c r="I48" s="1">
        <v>3</v>
      </c>
      <c r="J48" s="1" t="s">
        <v>21</v>
      </c>
      <c r="K48" s="1">
        <v>6</v>
      </c>
      <c r="L48" s="1" t="s">
        <v>23</v>
      </c>
      <c r="M48" s="1" t="s">
        <v>24</v>
      </c>
      <c r="N48" s="1" t="s">
        <v>21</v>
      </c>
      <c r="O48" s="1">
        <v>254.799994</v>
      </c>
      <c r="P48" s="1">
        <v>266.664672</v>
      </c>
      <c r="Q48" s="2">
        <f t="shared" si="0"/>
        <v>4.656467142616965E-2</v>
      </c>
      <c r="R48" s="1" t="s">
        <v>25</v>
      </c>
      <c r="S48" s="4">
        <v>20.079999999999998</v>
      </c>
      <c r="T48" s="5">
        <v>2.2020004689693451E-4</v>
      </c>
    </row>
    <row r="49" spans="1:20">
      <c r="A49" s="1" t="s">
        <v>72</v>
      </c>
      <c r="B49" s="1">
        <v>12</v>
      </c>
      <c r="C49" s="1">
        <v>1</v>
      </c>
      <c r="D49" s="1" t="s">
        <v>22</v>
      </c>
      <c r="E49" s="1">
        <v>8</v>
      </c>
      <c r="F49" s="1">
        <v>4</v>
      </c>
      <c r="G49" s="1" t="s">
        <v>21</v>
      </c>
      <c r="H49" s="1">
        <v>5</v>
      </c>
      <c r="I49" s="1">
        <v>1</v>
      </c>
      <c r="J49" s="1" t="s">
        <v>21</v>
      </c>
      <c r="K49" s="1">
        <v>2</v>
      </c>
      <c r="L49" s="1" t="s">
        <v>23</v>
      </c>
      <c r="M49" s="1" t="s">
        <v>24</v>
      </c>
      <c r="N49" s="1" t="s">
        <v>21</v>
      </c>
      <c r="O49" s="1">
        <v>1165.9199860000001</v>
      </c>
      <c r="P49" s="1">
        <v>1133.8087929999999</v>
      </c>
      <c r="Q49" s="2">
        <f t="shared" si="0"/>
        <v>2.7541506609013718E-2</v>
      </c>
      <c r="R49" s="1" t="s">
        <v>25</v>
      </c>
      <c r="S49" s="4">
        <v>20.69</v>
      </c>
      <c r="T49" s="5">
        <v>2.3310002870857721E-4</v>
      </c>
    </row>
    <row r="50" spans="1:20">
      <c r="A50" s="1" t="s">
        <v>73</v>
      </c>
      <c r="B50" s="1">
        <v>9</v>
      </c>
      <c r="C50" s="1">
        <v>3</v>
      </c>
      <c r="D50" s="1" t="s">
        <v>22</v>
      </c>
      <c r="E50" s="1">
        <v>4</v>
      </c>
      <c r="F50" s="1">
        <v>2</v>
      </c>
      <c r="G50" s="1" t="s">
        <v>21</v>
      </c>
      <c r="H50" s="1">
        <v>12</v>
      </c>
      <c r="I50" s="1">
        <v>0</v>
      </c>
      <c r="J50" s="1" t="s">
        <v>21</v>
      </c>
      <c r="K50" s="1">
        <v>3</v>
      </c>
      <c r="L50" s="1" t="s">
        <v>23</v>
      </c>
      <c r="M50" s="1" t="s">
        <v>24</v>
      </c>
      <c r="N50" s="1" t="s">
        <v>21</v>
      </c>
      <c r="O50" s="1">
        <v>622.71998900000006</v>
      </c>
      <c r="P50" s="1">
        <v>641.77281900000003</v>
      </c>
      <c r="Q50" s="2">
        <f t="shared" si="0"/>
        <v>3.0596143269137888E-2</v>
      </c>
      <c r="R50" s="1" t="s">
        <v>25</v>
      </c>
      <c r="S50" s="4">
        <v>21.19</v>
      </c>
      <c r="T50" s="5">
        <v>2.8430001111701131E-4</v>
      </c>
    </row>
    <row r="51" spans="1:20">
      <c r="A51" s="1" t="s">
        <v>74</v>
      </c>
      <c r="B51" s="1">
        <v>8</v>
      </c>
      <c r="C51" s="1">
        <v>4</v>
      </c>
      <c r="D51" s="1" t="s">
        <v>22</v>
      </c>
      <c r="E51" s="1">
        <v>6</v>
      </c>
      <c r="F51" s="1">
        <v>1</v>
      </c>
      <c r="G51" s="1" t="s">
        <v>22</v>
      </c>
      <c r="H51" s="1">
        <v>10</v>
      </c>
      <c r="I51" s="1">
        <v>8</v>
      </c>
      <c r="J51" s="1" t="s">
        <v>22</v>
      </c>
      <c r="K51" s="1">
        <v>6</v>
      </c>
      <c r="L51" s="1" t="s">
        <v>23</v>
      </c>
      <c r="M51" s="1" t="s">
        <v>24</v>
      </c>
      <c r="N51" s="1" t="s">
        <v>22</v>
      </c>
      <c r="O51" s="1">
        <v>434.28000300000002</v>
      </c>
      <c r="P51" s="1">
        <v>440.578779</v>
      </c>
      <c r="Q51" s="2">
        <f t="shared" si="0"/>
        <v>1.450395126758801E-2</v>
      </c>
      <c r="R51" s="1" t="s">
        <v>25</v>
      </c>
      <c r="S51" s="4">
        <v>19.59</v>
      </c>
      <c r="T51" s="5">
        <v>2.2430001990869641E-4</v>
      </c>
    </row>
    <row r="52" spans="1:20">
      <c r="A52" s="1" t="s">
        <v>75</v>
      </c>
      <c r="B52" s="1">
        <v>10</v>
      </c>
      <c r="C52" s="1">
        <v>6</v>
      </c>
      <c r="D52" s="1" t="s">
        <v>21</v>
      </c>
      <c r="E52" s="1">
        <v>12</v>
      </c>
      <c r="F52" s="1">
        <v>2</v>
      </c>
      <c r="G52" s="1" t="s">
        <v>21</v>
      </c>
      <c r="H52" s="1">
        <v>12</v>
      </c>
      <c r="I52" s="1">
        <v>4</v>
      </c>
      <c r="J52" s="1" t="s">
        <v>21</v>
      </c>
      <c r="K52" s="1">
        <v>4</v>
      </c>
      <c r="L52" s="1" t="s">
        <v>23</v>
      </c>
      <c r="M52" s="1" t="s">
        <v>24</v>
      </c>
      <c r="N52" s="1" t="s">
        <v>22</v>
      </c>
      <c r="O52" s="1">
        <v>1741.0399970000001</v>
      </c>
      <c r="P52" s="1">
        <v>1705.0703410000001</v>
      </c>
      <c r="Q52" s="2">
        <f t="shared" si="0"/>
        <v>2.0659867700902671E-2</v>
      </c>
      <c r="R52" s="1" t="s">
        <v>25</v>
      </c>
      <c r="S52" s="4">
        <v>20.66</v>
      </c>
      <c r="T52" s="5">
        <v>2.314999583177269E-4</v>
      </c>
    </row>
    <row r="53" spans="1:20">
      <c r="A53" s="1" t="s">
        <v>76</v>
      </c>
      <c r="B53" s="1">
        <v>10</v>
      </c>
      <c r="C53" s="1">
        <v>4</v>
      </c>
      <c r="D53" s="1" t="s">
        <v>22</v>
      </c>
      <c r="E53" s="1">
        <v>9</v>
      </c>
      <c r="F53" s="1">
        <v>0</v>
      </c>
      <c r="G53" s="1" t="s">
        <v>22</v>
      </c>
      <c r="H53" s="1">
        <v>12</v>
      </c>
      <c r="I53" s="1">
        <v>1</v>
      </c>
      <c r="J53" s="1" t="s">
        <v>22</v>
      </c>
      <c r="K53" s="1">
        <v>1</v>
      </c>
      <c r="L53" s="1" t="s">
        <v>23</v>
      </c>
      <c r="M53" s="1" t="s">
        <v>24</v>
      </c>
      <c r="N53" s="1" t="s">
        <v>22</v>
      </c>
      <c r="O53" s="1">
        <v>808.35999400000003</v>
      </c>
      <c r="P53" s="1">
        <v>825.46747600000003</v>
      </c>
      <c r="Q53" s="2">
        <f t="shared" si="0"/>
        <v>2.1163197247487737E-2</v>
      </c>
      <c r="R53" s="1" t="s">
        <v>25</v>
      </c>
      <c r="S53" s="4">
        <v>20.6</v>
      </c>
      <c r="T53" s="5">
        <v>2.2510002600029111E-4</v>
      </c>
    </row>
    <row r="54" spans="1:20">
      <c r="A54" s="1" t="s">
        <v>77</v>
      </c>
      <c r="B54" s="1">
        <v>14</v>
      </c>
      <c r="C54" s="1">
        <v>2</v>
      </c>
      <c r="D54" s="1" t="s">
        <v>21</v>
      </c>
      <c r="E54" s="1">
        <v>8</v>
      </c>
      <c r="F54" s="1">
        <v>1</v>
      </c>
      <c r="G54" s="1" t="s">
        <v>22</v>
      </c>
      <c r="H54" s="1">
        <v>8</v>
      </c>
      <c r="I54" s="1">
        <v>6</v>
      </c>
      <c r="J54" s="1" t="s">
        <v>21</v>
      </c>
      <c r="K54" s="1">
        <v>4</v>
      </c>
      <c r="L54" s="1" t="s">
        <v>23</v>
      </c>
      <c r="M54" s="1" t="s">
        <v>24</v>
      </c>
      <c r="N54" s="1" t="s">
        <v>22</v>
      </c>
      <c r="O54" s="1">
        <v>1231.4399940000001</v>
      </c>
      <c r="P54" s="1">
        <v>1364.580426</v>
      </c>
      <c r="Q54" s="2">
        <f t="shared" si="0"/>
        <v>0.10811767739289448</v>
      </c>
      <c r="R54" s="1" t="s">
        <v>25</v>
      </c>
      <c r="S54" s="4">
        <v>20.96</v>
      </c>
      <c r="T54" s="5">
        <v>2.314000157639384E-4</v>
      </c>
    </row>
    <row r="55" spans="1:20">
      <c r="A55" s="1" t="s">
        <v>78</v>
      </c>
      <c r="B55" s="1">
        <v>6</v>
      </c>
      <c r="C55" s="1">
        <v>2</v>
      </c>
      <c r="D55" s="1" t="s">
        <v>21</v>
      </c>
      <c r="E55" s="1">
        <v>8</v>
      </c>
      <c r="F55" s="1">
        <v>1</v>
      </c>
      <c r="G55" s="1" t="s">
        <v>21</v>
      </c>
      <c r="H55" s="1">
        <v>10</v>
      </c>
      <c r="I55" s="1">
        <v>8</v>
      </c>
      <c r="J55" s="1" t="s">
        <v>21</v>
      </c>
      <c r="K55" s="1">
        <v>0</v>
      </c>
      <c r="L55" s="1" t="s">
        <v>23</v>
      </c>
      <c r="M55" s="1" t="s">
        <v>24</v>
      </c>
      <c r="N55" s="1" t="s">
        <v>21</v>
      </c>
      <c r="O55" s="1">
        <v>197.11999800000001</v>
      </c>
      <c r="P55" s="1">
        <v>218.153356</v>
      </c>
      <c r="Q55" s="2">
        <f t="shared" si="0"/>
        <v>0.10670331885859695</v>
      </c>
      <c r="R55" s="1" t="s">
        <v>25</v>
      </c>
      <c r="S55" s="4">
        <v>21.34</v>
      </c>
      <c r="T55" s="5">
        <v>2.1480000577867031E-4</v>
      </c>
    </row>
    <row r="56" spans="1:20">
      <c r="A56" s="1" t="s">
        <v>79</v>
      </c>
      <c r="B56" s="1">
        <v>9</v>
      </c>
      <c r="C56" s="1">
        <v>8</v>
      </c>
      <c r="D56" s="1" t="s">
        <v>21</v>
      </c>
      <c r="E56" s="1">
        <v>4</v>
      </c>
      <c r="F56" s="1">
        <v>1</v>
      </c>
      <c r="G56" s="1" t="s">
        <v>22</v>
      </c>
      <c r="H56" s="1">
        <v>5</v>
      </c>
      <c r="I56" s="1">
        <v>0</v>
      </c>
      <c r="J56" s="1" t="s">
        <v>21</v>
      </c>
      <c r="K56" s="1">
        <v>6</v>
      </c>
      <c r="L56" s="1" t="s">
        <v>23</v>
      </c>
      <c r="M56" s="1" t="s">
        <v>24</v>
      </c>
      <c r="N56" s="1" t="s">
        <v>21</v>
      </c>
      <c r="O56" s="1">
        <v>647.91998899999999</v>
      </c>
      <c r="P56" s="1">
        <v>680.79439500000001</v>
      </c>
      <c r="Q56" s="2">
        <f t="shared" si="0"/>
        <v>5.0738372882643108E-2</v>
      </c>
      <c r="R56" s="1" t="s">
        <v>25</v>
      </c>
      <c r="S56" s="4">
        <v>20.23</v>
      </c>
      <c r="T56" s="5">
        <v>2.2020004689693451E-4</v>
      </c>
    </row>
    <row r="57" spans="1:20">
      <c r="A57" s="1" t="s">
        <v>80</v>
      </c>
      <c r="B57" s="1">
        <v>16</v>
      </c>
      <c r="C57" s="1">
        <v>6</v>
      </c>
      <c r="D57" s="1" t="s">
        <v>22</v>
      </c>
      <c r="E57" s="1">
        <v>10</v>
      </c>
      <c r="F57" s="1">
        <v>2</v>
      </c>
      <c r="G57" s="1" t="s">
        <v>21</v>
      </c>
      <c r="H57" s="1">
        <v>16</v>
      </c>
      <c r="I57" s="1">
        <v>1</v>
      </c>
      <c r="J57" s="1" t="s">
        <v>21</v>
      </c>
      <c r="K57" s="1">
        <v>2</v>
      </c>
      <c r="L57" s="1" t="s">
        <v>23</v>
      </c>
      <c r="M57" s="1" t="s">
        <v>24</v>
      </c>
      <c r="N57" s="1" t="s">
        <v>21</v>
      </c>
      <c r="O57" s="1">
        <v>2009.279978</v>
      </c>
      <c r="P57" s="1">
        <v>1958.6428330000001</v>
      </c>
      <c r="Q57" s="2">
        <f t="shared" si="0"/>
        <v>2.5201637180699524E-2</v>
      </c>
      <c r="R57" s="1" t="s">
        <v>25</v>
      </c>
      <c r="S57" s="4">
        <v>21.59</v>
      </c>
      <c r="T57" s="5">
        <v>2.3509998572990301E-4</v>
      </c>
    </row>
    <row r="58" spans="1:20">
      <c r="A58" s="1" t="s">
        <v>81</v>
      </c>
      <c r="B58" s="1">
        <v>8</v>
      </c>
      <c r="C58" s="1">
        <v>1</v>
      </c>
      <c r="D58" s="1" t="s">
        <v>22</v>
      </c>
      <c r="E58" s="1">
        <v>10</v>
      </c>
      <c r="F58" s="1">
        <v>3</v>
      </c>
      <c r="G58" s="1" t="s">
        <v>22</v>
      </c>
      <c r="H58" s="1">
        <v>12</v>
      </c>
      <c r="I58" s="1">
        <v>1</v>
      </c>
      <c r="J58" s="1" t="s">
        <v>22</v>
      </c>
      <c r="K58" s="1">
        <v>2</v>
      </c>
      <c r="L58" s="1" t="s">
        <v>23</v>
      </c>
      <c r="M58" s="1" t="s">
        <v>24</v>
      </c>
      <c r="N58" s="1" t="s">
        <v>21</v>
      </c>
      <c r="O58" s="1">
        <v>883.95998799999995</v>
      </c>
      <c r="P58" s="1">
        <v>859.68748600000004</v>
      </c>
      <c r="Q58" s="2">
        <f t="shared" si="0"/>
        <v>2.7458824301445552E-2</v>
      </c>
      <c r="R58" s="1" t="s">
        <v>25</v>
      </c>
      <c r="S58" s="4">
        <v>20.260000000000002</v>
      </c>
      <c r="T58" s="5">
        <v>2.2609997540712359E-4</v>
      </c>
    </row>
    <row r="59" spans="1:20">
      <c r="A59" s="1" t="s">
        <v>82</v>
      </c>
      <c r="B59" s="1">
        <v>10</v>
      </c>
      <c r="C59" s="1">
        <v>2</v>
      </c>
      <c r="D59" s="1" t="s">
        <v>22</v>
      </c>
      <c r="E59" s="1">
        <v>12</v>
      </c>
      <c r="F59" s="1">
        <v>2</v>
      </c>
      <c r="G59" s="1" t="s">
        <v>21</v>
      </c>
      <c r="H59" s="1">
        <v>16</v>
      </c>
      <c r="I59" s="1">
        <v>2</v>
      </c>
      <c r="J59" s="1" t="s">
        <v>21</v>
      </c>
      <c r="K59" s="1">
        <v>3</v>
      </c>
      <c r="L59" s="1" t="s">
        <v>23</v>
      </c>
      <c r="M59" s="1" t="s">
        <v>24</v>
      </c>
      <c r="N59" s="1" t="s">
        <v>21</v>
      </c>
      <c r="O59" s="1">
        <v>1720.039978</v>
      </c>
      <c r="P59" s="1">
        <v>1661.481264</v>
      </c>
      <c r="Q59" s="2">
        <f t="shared" si="0"/>
        <v>3.4044972645397437E-2</v>
      </c>
      <c r="R59" s="1" t="s">
        <v>25</v>
      </c>
      <c r="S59" s="4">
        <v>20.86</v>
      </c>
      <c r="T59" s="5">
        <v>2.4089997168630359E-4</v>
      </c>
    </row>
    <row r="60" spans="1:20">
      <c r="A60" s="1" t="s">
        <v>83</v>
      </c>
      <c r="B60" s="1">
        <v>9</v>
      </c>
      <c r="C60" s="1">
        <v>6</v>
      </c>
      <c r="D60" s="1" t="s">
        <v>22</v>
      </c>
      <c r="E60" s="1">
        <v>12</v>
      </c>
      <c r="F60" s="1">
        <v>2</v>
      </c>
      <c r="G60" s="1" t="s">
        <v>22</v>
      </c>
      <c r="H60" s="1">
        <v>5</v>
      </c>
      <c r="I60" s="1">
        <v>3</v>
      </c>
      <c r="J60" s="1" t="s">
        <v>22</v>
      </c>
      <c r="K60" s="1">
        <v>6</v>
      </c>
      <c r="L60" s="1" t="s">
        <v>23</v>
      </c>
      <c r="M60" s="1" t="s">
        <v>24</v>
      </c>
      <c r="N60" s="1" t="s">
        <v>21</v>
      </c>
      <c r="O60" s="1">
        <v>591.35999000000004</v>
      </c>
      <c r="P60" s="1">
        <v>623.95801400000005</v>
      </c>
      <c r="Q60" s="2">
        <f t="shared" si="0"/>
        <v>5.5123823984101476E-2</v>
      </c>
      <c r="R60" s="1" t="s">
        <v>25</v>
      </c>
      <c r="S60" s="4">
        <v>20.85</v>
      </c>
      <c r="T60" s="5">
        <v>2.2820004960522061E-4</v>
      </c>
    </row>
    <row r="61" spans="1:20">
      <c r="A61" s="1" t="s">
        <v>84</v>
      </c>
      <c r="B61" s="1">
        <v>16</v>
      </c>
      <c r="C61" s="1">
        <v>6</v>
      </c>
      <c r="D61" s="1" t="s">
        <v>21</v>
      </c>
      <c r="E61" s="1">
        <v>12</v>
      </c>
      <c r="F61" s="1">
        <v>2</v>
      </c>
      <c r="G61" s="1" t="s">
        <v>21</v>
      </c>
      <c r="H61" s="1">
        <v>9</v>
      </c>
      <c r="I61" s="1">
        <v>2</v>
      </c>
      <c r="J61" s="1" t="s">
        <v>21</v>
      </c>
      <c r="K61" s="1">
        <v>1</v>
      </c>
      <c r="L61" s="1" t="s">
        <v>23</v>
      </c>
      <c r="M61" s="1" t="s">
        <v>24</v>
      </c>
      <c r="N61" s="1" t="s">
        <v>22</v>
      </c>
      <c r="O61" s="1">
        <v>2166.3599840000002</v>
      </c>
      <c r="P61" s="1">
        <v>2167.1887620000002</v>
      </c>
      <c r="Q61" s="2">
        <f t="shared" si="0"/>
        <v>3.8256707385712891E-4</v>
      </c>
      <c r="R61" s="1" t="s">
        <v>25</v>
      </c>
      <c r="S61" s="4">
        <v>22.42</v>
      </c>
      <c r="T61" s="5">
        <v>3.003000165335834E-4</v>
      </c>
    </row>
    <row r="62" spans="1:20">
      <c r="A62" s="1" t="s">
        <v>85</v>
      </c>
      <c r="B62" s="1">
        <v>9</v>
      </c>
      <c r="C62" s="1">
        <v>1</v>
      </c>
      <c r="D62" s="1" t="s">
        <v>21</v>
      </c>
      <c r="E62" s="1">
        <v>4</v>
      </c>
      <c r="F62" s="1">
        <v>1</v>
      </c>
      <c r="G62" s="1" t="s">
        <v>22</v>
      </c>
      <c r="H62" s="1">
        <v>8</v>
      </c>
      <c r="I62" s="1">
        <v>1</v>
      </c>
      <c r="J62" s="1" t="s">
        <v>21</v>
      </c>
      <c r="K62" s="1">
        <v>6</v>
      </c>
      <c r="L62" s="1" t="s">
        <v>23</v>
      </c>
      <c r="M62" s="1" t="s">
        <v>24</v>
      </c>
      <c r="N62" s="1" t="s">
        <v>21</v>
      </c>
      <c r="O62" s="1">
        <v>771.95998599999996</v>
      </c>
      <c r="P62" s="1">
        <v>773.91559199999995</v>
      </c>
      <c r="Q62" s="2">
        <f t="shared" si="0"/>
        <v>2.5332996987747873E-3</v>
      </c>
      <c r="R62" s="1" t="s">
        <v>25</v>
      </c>
      <c r="S62" s="4">
        <v>20.49</v>
      </c>
      <c r="T62" s="5">
        <v>2.203999902121723E-4</v>
      </c>
    </row>
    <row r="63" spans="1:20">
      <c r="A63" s="1" t="s">
        <v>86</v>
      </c>
      <c r="B63" s="1">
        <v>10</v>
      </c>
      <c r="C63" s="1">
        <v>2</v>
      </c>
      <c r="D63" s="1" t="s">
        <v>21</v>
      </c>
      <c r="E63" s="1">
        <v>9</v>
      </c>
      <c r="F63" s="1">
        <v>4</v>
      </c>
      <c r="G63" s="1" t="s">
        <v>21</v>
      </c>
      <c r="H63" s="1">
        <v>12</v>
      </c>
      <c r="I63" s="1">
        <v>4</v>
      </c>
      <c r="J63" s="1" t="s">
        <v>21</v>
      </c>
      <c r="K63" s="1">
        <v>6</v>
      </c>
      <c r="L63" s="1" t="s">
        <v>23</v>
      </c>
      <c r="M63" s="1" t="s">
        <v>24</v>
      </c>
      <c r="N63" s="1" t="s">
        <v>21</v>
      </c>
      <c r="O63" s="1">
        <v>1618.3999759999999</v>
      </c>
      <c r="P63" s="1">
        <v>1585.602384</v>
      </c>
      <c r="Q63" s="2">
        <f t="shared" si="0"/>
        <v>2.0265442712784555E-2</v>
      </c>
      <c r="R63" s="1" t="s">
        <v>25</v>
      </c>
      <c r="S63" s="4">
        <v>21.05</v>
      </c>
      <c r="T63" s="5">
        <v>2.265000366605818E-4</v>
      </c>
    </row>
    <row r="64" spans="1:20">
      <c r="A64" s="1" t="s">
        <v>87</v>
      </c>
      <c r="B64" s="1">
        <v>10</v>
      </c>
      <c r="C64" s="1">
        <v>3</v>
      </c>
      <c r="D64" s="1" t="s">
        <v>21</v>
      </c>
      <c r="E64" s="1">
        <v>9</v>
      </c>
      <c r="F64" s="1">
        <v>4</v>
      </c>
      <c r="G64" s="1" t="s">
        <v>22</v>
      </c>
      <c r="H64" s="1">
        <v>6</v>
      </c>
      <c r="I64" s="1">
        <v>0</v>
      </c>
      <c r="J64" s="1" t="s">
        <v>21</v>
      </c>
      <c r="K64" s="1">
        <v>4</v>
      </c>
      <c r="L64" s="1" t="s">
        <v>23</v>
      </c>
      <c r="M64" s="1" t="s">
        <v>24</v>
      </c>
      <c r="N64" s="1" t="s">
        <v>21</v>
      </c>
      <c r="O64" s="1">
        <v>1221.9199840000001</v>
      </c>
      <c r="P64" s="1">
        <v>1207.0367679999999</v>
      </c>
      <c r="Q64" s="2">
        <f t="shared" si="0"/>
        <v>1.2180188715204918E-2</v>
      </c>
      <c r="R64" s="1" t="s">
        <v>25</v>
      </c>
      <c r="S64" s="4">
        <v>20.77</v>
      </c>
      <c r="T64" s="5">
        <v>2.390999579802155E-4</v>
      </c>
    </row>
    <row r="65" spans="1:20">
      <c r="A65" s="1" t="s">
        <v>88</v>
      </c>
      <c r="B65" s="1">
        <v>14</v>
      </c>
      <c r="C65" s="1">
        <v>8</v>
      </c>
      <c r="D65" s="1" t="s">
        <v>22</v>
      </c>
      <c r="E65" s="1">
        <v>14</v>
      </c>
      <c r="F65" s="1">
        <v>6</v>
      </c>
      <c r="G65" s="1" t="s">
        <v>22</v>
      </c>
      <c r="H65" s="1">
        <v>6</v>
      </c>
      <c r="I65" s="1">
        <v>3</v>
      </c>
      <c r="J65" s="1" t="s">
        <v>22</v>
      </c>
      <c r="K65" s="1">
        <v>6</v>
      </c>
      <c r="L65" s="1" t="s">
        <v>23</v>
      </c>
      <c r="M65" s="1" t="s">
        <v>24</v>
      </c>
      <c r="N65" s="1" t="s">
        <v>22</v>
      </c>
      <c r="O65" s="1">
        <v>1372.2799930000001</v>
      </c>
      <c r="P65" s="1">
        <v>1464.1238390000001</v>
      </c>
      <c r="Q65" s="2">
        <f t="shared" si="0"/>
        <v>6.6927920299425347E-2</v>
      </c>
      <c r="R65" s="1" t="s">
        <v>25</v>
      </c>
      <c r="S65" s="4">
        <v>20.52</v>
      </c>
      <c r="T65" s="5">
        <v>2.3780000628903511E-4</v>
      </c>
    </row>
    <row r="66" spans="1:20">
      <c r="A66" s="1" t="s">
        <v>89</v>
      </c>
      <c r="B66" s="1">
        <v>6</v>
      </c>
      <c r="C66" s="1">
        <v>4</v>
      </c>
      <c r="D66" s="1" t="s">
        <v>22</v>
      </c>
      <c r="E66" s="1">
        <v>9</v>
      </c>
      <c r="F66" s="1">
        <v>4</v>
      </c>
      <c r="G66" s="1" t="s">
        <v>22</v>
      </c>
      <c r="H66" s="1">
        <v>16</v>
      </c>
      <c r="I66" s="1">
        <v>2</v>
      </c>
      <c r="J66" s="1" t="s">
        <v>22</v>
      </c>
      <c r="K66" s="1">
        <v>4</v>
      </c>
      <c r="L66" s="1" t="s">
        <v>23</v>
      </c>
      <c r="M66" s="1" t="s">
        <v>24</v>
      </c>
      <c r="N66" s="1" t="s">
        <v>21</v>
      </c>
      <c r="O66" s="1">
        <v>753.47998700000005</v>
      </c>
      <c r="P66" s="1">
        <v>834.061283</v>
      </c>
      <c r="Q66" s="2">
        <f t="shared" ref="Q66:Q129" si="1">ABS(P66-O66)/O66</f>
        <v>0.10694550272109608</v>
      </c>
      <c r="R66" s="1" t="s">
        <v>25</v>
      </c>
      <c r="S66" s="4">
        <v>20.56</v>
      </c>
      <c r="T66" s="5">
        <v>2.2879999596625569E-4</v>
      </c>
    </row>
    <row r="67" spans="1:20">
      <c r="A67" s="1" t="s">
        <v>90</v>
      </c>
      <c r="B67" s="1">
        <v>8</v>
      </c>
      <c r="C67" s="1">
        <v>4</v>
      </c>
      <c r="D67" s="1" t="s">
        <v>21</v>
      </c>
      <c r="E67" s="1">
        <v>9</v>
      </c>
      <c r="F67" s="1">
        <v>1</v>
      </c>
      <c r="G67" s="1" t="s">
        <v>21</v>
      </c>
      <c r="H67" s="1">
        <v>6</v>
      </c>
      <c r="I67" s="1">
        <v>0</v>
      </c>
      <c r="J67" s="1" t="s">
        <v>21</v>
      </c>
      <c r="K67" s="1">
        <v>3</v>
      </c>
      <c r="L67" s="1" t="s">
        <v>23</v>
      </c>
      <c r="M67" s="1" t="s">
        <v>24</v>
      </c>
      <c r="N67" s="1" t="s">
        <v>21</v>
      </c>
      <c r="O67" s="1">
        <v>1049.159987</v>
      </c>
      <c r="P67" s="1">
        <v>1020.876749</v>
      </c>
      <c r="Q67" s="2">
        <f t="shared" si="1"/>
        <v>2.6957983863713612E-2</v>
      </c>
      <c r="R67" s="1" t="s">
        <v>25</v>
      </c>
      <c r="S67" s="4">
        <v>20.38</v>
      </c>
      <c r="T67" s="5">
        <v>2.2879999596625569E-4</v>
      </c>
    </row>
    <row r="68" spans="1:20">
      <c r="A68" s="1" t="s">
        <v>91</v>
      </c>
      <c r="B68" s="1">
        <v>16</v>
      </c>
      <c r="C68" s="1">
        <v>3</v>
      </c>
      <c r="D68" s="1" t="s">
        <v>21</v>
      </c>
      <c r="E68" s="1">
        <v>4</v>
      </c>
      <c r="F68" s="1">
        <v>1</v>
      </c>
      <c r="G68" s="1" t="s">
        <v>22</v>
      </c>
      <c r="H68" s="1">
        <v>12</v>
      </c>
      <c r="I68" s="1">
        <v>6</v>
      </c>
      <c r="J68" s="1" t="s">
        <v>21</v>
      </c>
      <c r="K68" s="1">
        <v>6</v>
      </c>
      <c r="L68" s="1" t="s">
        <v>23</v>
      </c>
      <c r="M68" s="1" t="s">
        <v>24</v>
      </c>
      <c r="N68" s="1" t="s">
        <v>21</v>
      </c>
      <c r="O68" s="1">
        <v>1197.2799809999999</v>
      </c>
      <c r="P68" s="1">
        <v>1176.4088369999999</v>
      </c>
      <c r="Q68" s="2">
        <f t="shared" si="1"/>
        <v>1.7432133111060479E-2</v>
      </c>
      <c r="R68" s="1" t="s">
        <v>25</v>
      </c>
      <c r="S68" s="4">
        <v>20.54</v>
      </c>
      <c r="T68" s="5">
        <v>2.328999689780176E-4</v>
      </c>
    </row>
    <row r="69" spans="1:20">
      <c r="A69" s="1" t="s">
        <v>92</v>
      </c>
      <c r="B69" s="1">
        <v>14</v>
      </c>
      <c r="C69" s="1">
        <v>1</v>
      </c>
      <c r="D69" s="1" t="s">
        <v>21</v>
      </c>
      <c r="E69" s="1">
        <v>5</v>
      </c>
      <c r="F69" s="1">
        <v>0</v>
      </c>
      <c r="G69" s="1" t="s">
        <v>21</v>
      </c>
      <c r="H69" s="1">
        <v>9</v>
      </c>
      <c r="I69" s="1">
        <v>1</v>
      </c>
      <c r="J69" s="1" t="s">
        <v>21</v>
      </c>
      <c r="K69" s="1">
        <v>2</v>
      </c>
      <c r="L69" s="1" t="s">
        <v>23</v>
      </c>
      <c r="M69" s="1" t="s">
        <v>24</v>
      </c>
      <c r="N69" s="1" t="s">
        <v>21</v>
      </c>
      <c r="O69" s="1">
        <v>1025.3599879999999</v>
      </c>
      <c r="P69" s="1">
        <v>971.84918100000004</v>
      </c>
      <c r="Q69" s="2">
        <f t="shared" si="1"/>
        <v>5.218733676586558E-2</v>
      </c>
      <c r="R69" s="1" t="s">
        <v>25</v>
      </c>
      <c r="S69" s="4">
        <v>20.37</v>
      </c>
      <c r="T69" s="5">
        <v>2.2020004689693451E-4</v>
      </c>
    </row>
    <row r="70" spans="1:20">
      <c r="A70" s="1" t="s">
        <v>93</v>
      </c>
      <c r="B70" s="1">
        <v>6</v>
      </c>
      <c r="C70" s="1">
        <v>2</v>
      </c>
      <c r="D70" s="1" t="s">
        <v>22</v>
      </c>
      <c r="E70" s="1">
        <v>6</v>
      </c>
      <c r="F70" s="1">
        <v>2</v>
      </c>
      <c r="G70" s="1" t="s">
        <v>22</v>
      </c>
      <c r="H70" s="1">
        <v>5</v>
      </c>
      <c r="I70" s="1">
        <v>3</v>
      </c>
      <c r="J70" s="1" t="s">
        <v>22</v>
      </c>
      <c r="K70" s="1">
        <v>1</v>
      </c>
      <c r="L70" s="1" t="s">
        <v>23</v>
      </c>
      <c r="M70" s="1" t="s">
        <v>24</v>
      </c>
      <c r="N70" s="1" t="s">
        <v>22</v>
      </c>
      <c r="O70" s="1">
        <v>159.879999</v>
      </c>
      <c r="P70" s="1">
        <v>162.38740799999999</v>
      </c>
      <c r="Q70" s="2">
        <f t="shared" si="1"/>
        <v>1.568306864950628E-2</v>
      </c>
      <c r="R70" s="1" t="s">
        <v>25</v>
      </c>
      <c r="S70" s="4">
        <v>20.100000000000001</v>
      </c>
      <c r="T70" s="5">
        <v>2.1670002024620769E-4</v>
      </c>
    </row>
    <row r="71" spans="1:20">
      <c r="A71" s="1" t="s">
        <v>94</v>
      </c>
      <c r="B71" s="1">
        <v>6</v>
      </c>
      <c r="C71" s="1">
        <v>3</v>
      </c>
      <c r="D71" s="1" t="s">
        <v>22</v>
      </c>
      <c r="E71" s="1">
        <v>12</v>
      </c>
      <c r="F71" s="1">
        <v>2</v>
      </c>
      <c r="G71" s="1" t="s">
        <v>22</v>
      </c>
      <c r="H71" s="1">
        <v>9</v>
      </c>
      <c r="I71" s="1">
        <v>4</v>
      </c>
      <c r="J71" s="1" t="s">
        <v>22</v>
      </c>
      <c r="K71" s="1">
        <v>4</v>
      </c>
      <c r="L71" s="1" t="s">
        <v>23</v>
      </c>
      <c r="M71" s="1" t="s">
        <v>24</v>
      </c>
      <c r="N71" s="1" t="s">
        <v>22</v>
      </c>
      <c r="O71" s="1">
        <v>569.80000099999995</v>
      </c>
      <c r="P71" s="1">
        <v>575.74739799999998</v>
      </c>
      <c r="Q71" s="2">
        <f t="shared" si="1"/>
        <v>1.0437692154374047E-2</v>
      </c>
      <c r="R71" s="1" t="s">
        <v>25</v>
      </c>
      <c r="S71" s="4">
        <v>20.91</v>
      </c>
      <c r="T71" s="5">
        <v>2.7690001297742128E-4</v>
      </c>
    </row>
    <row r="72" spans="1:20">
      <c r="A72" s="1" t="s">
        <v>95</v>
      </c>
      <c r="B72" s="1">
        <v>14</v>
      </c>
      <c r="C72" s="1">
        <v>6</v>
      </c>
      <c r="D72" s="1" t="s">
        <v>22</v>
      </c>
      <c r="E72" s="1">
        <v>8</v>
      </c>
      <c r="F72" s="1">
        <v>1</v>
      </c>
      <c r="G72" s="1" t="s">
        <v>21</v>
      </c>
      <c r="H72" s="1">
        <v>5</v>
      </c>
      <c r="I72" s="1">
        <v>4</v>
      </c>
      <c r="J72" s="1" t="s">
        <v>21</v>
      </c>
      <c r="K72" s="1">
        <v>6</v>
      </c>
      <c r="L72" s="1" t="s">
        <v>23</v>
      </c>
      <c r="M72" s="1" t="s">
        <v>24</v>
      </c>
      <c r="N72" s="1" t="s">
        <v>21</v>
      </c>
      <c r="O72" s="1">
        <v>1461.5999810000001</v>
      </c>
      <c r="P72" s="1">
        <v>1433.6823159999999</v>
      </c>
      <c r="Q72" s="2">
        <f t="shared" si="1"/>
        <v>1.9100756269098615E-2</v>
      </c>
      <c r="R72" s="1" t="s">
        <v>25</v>
      </c>
      <c r="S72" s="4">
        <v>20.6</v>
      </c>
      <c r="T72" s="5">
        <v>2.606999478302896E-4</v>
      </c>
    </row>
    <row r="73" spans="1:20">
      <c r="A73" s="1" t="s">
        <v>96</v>
      </c>
      <c r="B73" s="1">
        <v>14</v>
      </c>
      <c r="C73" s="1">
        <v>4</v>
      </c>
      <c r="D73" s="1" t="s">
        <v>22</v>
      </c>
      <c r="E73" s="1">
        <v>10</v>
      </c>
      <c r="F73" s="1">
        <v>1</v>
      </c>
      <c r="G73" s="1" t="s">
        <v>21</v>
      </c>
      <c r="H73" s="1">
        <v>8</v>
      </c>
      <c r="I73" s="1">
        <v>1</v>
      </c>
      <c r="J73" s="1" t="s">
        <v>21</v>
      </c>
      <c r="K73" s="1">
        <v>3</v>
      </c>
      <c r="L73" s="1" t="s">
        <v>23</v>
      </c>
      <c r="M73" s="1" t="s">
        <v>24</v>
      </c>
      <c r="N73" s="1" t="s">
        <v>22</v>
      </c>
      <c r="O73" s="1">
        <v>1706.319992</v>
      </c>
      <c r="P73" s="1">
        <v>1667.1939030000001</v>
      </c>
      <c r="Q73" s="2">
        <f t="shared" si="1"/>
        <v>2.2930100557598029E-2</v>
      </c>
      <c r="R73" s="1" t="s">
        <v>25</v>
      </c>
      <c r="S73" s="4">
        <v>20.83</v>
      </c>
      <c r="T73" s="5">
        <v>2.8829998336732388E-4</v>
      </c>
    </row>
    <row r="74" spans="1:20">
      <c r="A74" s="1" t="s">
        <v>97</v>
      </c>
      <c r="B74" s="1">
        <v>14</v>
      </c>
      <c r="C74" s="1">
        <v>3</v>
      </c>
      <c r="D74" s="1" t="s">
        <v>22</v>
      </c>
      <c r="E74" s="1">
        <v>10</v>
      </c>
      <c r="F74" s="1">
        <v>1</v>
      </c>
      <c r="G74" s="1" t="s">
        <v>21</v>
      </c>
      <c r="H74" s="1">
        <v>16</v>
      </c>
      <c r="I74" s="1">
        <v>0</v>
      </c>
      <c r="J74" s="1" t="s">
        <v>21</v>
      </c>
      <c r="K74" s="1">
        <v>3</v>
      </c>
      <c r="L74" s="1" t="s">
        <v>23</v>
      </c>
      <c r="M74" s="1" t="s">
        <v>24</v>
      </c>
      <c r="N74" s="1" t="s">
        <v>21</v>
      </c>
      <c r="O74" s="1">
        <v>1908.7599760000001</v>
      </c>
      <c r="P74" s="1">
        <v>1857.5447959999999</v>
      </c>
      <c r="Q74" s="2">
        <f t="shared" si="1"/>
        <v>2.6831650204300044E-2</v>
      </c>
      <c r="R74" s="1" t="s">
        <v>25</v>
      </c>
      <c r="S74" s="4">
        <v>21.12</v>
      </c>
      <c r="T74" s="5">
        <v>2.8819998260587448E-4</v>
      </c>
    </row>
    <row r="75" spans="1:20">
      <c r="A75" s="1" t="s">
        <v>98</v>
      </c>
      <c r="B75" s="1">
        <v>9</v>
      </c>
      <c r="C75" s="1">
        <v>4</v>
      </c>
      <c r="D75" s="1" t="s">
        <v>22</v>
      </c>
      <c r="E75" s="1">
        <v>5</v>
      </c>
      <c r="F75" s="1">
        <v>3</v>
      </c>
      <c r="G75" s="1" t="s">
        <v>22</v>
      </c>
      <c r="H75" s="1">
        <v>5</v>
      </c>
      <c r="I75" s="1">
        <v>4</v>
      </c>
      <c r="J75" s="1" t="s">
        <v>22</v>
      </c>
      <c r="K75" s="1">
        <v>2</v>
      </c>
      <c r="L75" s="1" t="s">
        <v>23</v>
      </c>
      <c r="M75" s="1" t="s">
        <v>24</v>
      </c>
      <c r="N75" s="1" t="s">
        <v>21</v>
      </c>
      <c r="O75" s="1">
        <v>265.15999599999998</v>
      </c>
      <c r="P75" s="1">
        <v>287.57090599999998</v>
      </c>
      <c r="Q75" s="2">
        <f t="shared" si="1"/>
        <v>8.4518442970560326E-2</v>
      </c>
      <c r="R75" s="1" t="s">
        <v>25</v>
      </c>
      <c r="S75" s="4">
        <v>20.11</v>
      </c>
      <c r="T75" s="5">
        <v>2.5260000256821508E-4</v>
      </c>
    </row>
    <row r="76" spans="1:20">
      <c r="A76" s="1" t="s">
        <v>99</v>
      </c>
      <c r="B76" s="1">
        <v>8</v>
      </c>
      <c r="C76" s="1">
        <v>6</v>
      </c>
      <c r="D76" s="1" t="s">
        <v>22</v>
      </c>
      <c r="E76" s="1">
        <v>12</v>
      </c>
      <c r="F76" s="1">
        <v>2</v>
      </c>
      <c r="G76" s="1" t="s">
        <v>22</v>
      </c>
      <c r="H76" s="1">
        <v>9</v>
      </c>
      <c r="I76" s="1">
        <v>3</v>
      </c>
      <c r="J76" s="1" t="s">
        <v>22</v>
      </c>
      <c r="K76" s="1">
        <v>0</v>
      </c>
      <c r="L76" s="1" t="s">
        <v>23</v>
      </c>
      <c r="M76" s="1" t="s">
        <v>24</v>
      </c>
      <c r="N76" s="1" t="s">
        <v>21</v>
      </c>
      <c r="O76" s="1">
        <v>661.35999400000003</v>
      </c>
      <c r="P76" s="1">
        <v>690.65995199999998</v>
      </c>
      <c r="Q76" s="2">
        <f t="shared" si="1"/>
        <v>4.4302585983149061E-2</v>
      </c>
      <c r="R76" s="1" t="s">
        <v>25</v>
      </c>
      <c r="S76" s="4">
        <v>20.309999999999999</v>
      </c>
      <c r="T76" s="5">
        <v>2.5839998852461582E-4</v>
      </c>
    </row>
    <row r="77" spans="1:20">
      <c r="A77" s="1" t="s">
        <v>100</v>
      </c>
      <c r="B77" s="1">
        <v>16</v>
      </c>
      <c r="C77" s="1">
        <v>8</v>
      </c>
      <c r="D77" s="1" t="s">
        <v>21</v>
      </c>
      <c r="E77" s="1">
        <v>9</v>
      </c>
      <c r="F77" s="1">
        <v>4</v>
      </c>
      <c r="G77" s="1" t="s">
        <v>22</v>
      </c>
      <c r="H77" s="1">
        <v>6</v>
      </c>
      <c r="I77" s="1">
        <v>2</v>
      </c>
      <c r="J77" s="1" t="s">
        <v>21</v>
      </c>
      <c r="K77" s="1">
        <v>1</v>
      </c>
      <c r="L77" s="1" t="s">
        <v>23</v>
      </c>
      <c r="M77" s="1" t="s">
        <v>24</v>
      </c>
      <c r="N77" s="1" t="s">
        <v>22</v>
      </c>
      <c r="O77" s="1">
        <v>1574.1599880000001</v>
      </c>
      <c r="P77" s="1">
        <v>1574.202614</v>
      </c>
      <c r="Q77" s="2">
        <f t="shared" si="1"/>
        <v>2.7078569093910574E-5</v>
      </c>
      <c r="R77" s="1" t="s">
        <v>25</v>
      </c>
      <c r="S77" s="4">
        <v>20.89</v>
      </c>
      <c r="T77" s="5">
        <v>2.4989998200908298E-4</v>
      </c>
    </row>
    <row r="78" spans="1:20">
      <c r="A78" s="1" t="s">
        <v>101</v>
      </c>
      <c r="B78" s="1">
        <v>10</v>
      </c>
      <c r="C78" s="1">
        <v>3</v>
      </c>
      <c r="D78" s="1" t="s">
        <v>22</v>
      </c>
      <c r="E78" s="1">
        <v>10</v>
      </c>
      <c r="F78" s="1">
        <v>4</v>
      </c>
      <c r="G78" s="1" t="s">
        <v>21</v>
      </c>
      <c r="H78" s="1">
        <v>8</v>
      </c>
      <c r="I78" s="1">
        <v>3</v>
      </c>
      <c r="J78" s="1" t="s">
        <v>21</v>
      </c>
      <c r="K78" s="1">
        <v>6</v>
      </c>
      <c r="L78" s="1" t="s">
        <v>23</v>
      </c>
      <c r="M78" s="1" t="s">
        <v>24</v>
      </c>
      <c r="N78" s="1" t="s">
        <v>21</v>
      </c>
      <c r="O78" s="1">
        <v>1484.2799789999999</v>
      </c>
      <c r="P78" s="1">
        <v>1465.9232810000001</v>
      </c>
      <c r="Q78" s="2">
        <f t="shared" si="1"/>
        <v>1.2367409289160684E-2</v>
      </c>
      <c r="R78" s="1" t="s">
        <v>25</v>
      </c>
      <c r="S78" s="4">
        <v>20.9</v>
      </c>
      <c r="T78" s="5">
        <v>2.6499998057261109E-4</v>
      </c>
    </row>
    <row r="79" spans="1:20">
      <c r="A79" s="1" t="s">
        <v>102</v>
      </c>
      <c r="B79" s="1">
        <v>8</v>
      </c>
      <c r="C79" s="1">
        <v>2</v>
      </c>
      <c r="D79" s="1" t="s">
        <v>21</v>
      </c>
      <c r="E79" s="1">
        <v>9</v>
      </c>
      <c r="F79" s="1">
        <v>2</v>
      </c>
      <c r="G79" s="1" t="s">
        <v>22</v>
      </c>
      <c r="H79" s="1">
        <v>6</v>
      </c>
      <c r="I79" s="1">
        <v>4</v>
      </c>
      <c r="J79" s="1" t="s">
        <v>21</v>
      </c>
      <c r="K79" s="1">
        <v>1</v>
      </c>
      <c r="L79" s="1" t="s">
        <v>23</v>
      </c>
      <c r="M79" s="1" t="s">
        <v>24</v>
      </c>
      <c r="N79" s="1" t="s">
        <v>21</v>
      </c>
      <c r="O79" s="1">
        <v>748.15999299999999</v>
      </c>
      <c r="P79" s="1">
        <v>788.056872</v>
      </c>
      <c r="Q79" s="2">
        <f t="shared" si="1"/>
        <v>5.3326667254713807E-2</v>
      </c>
      <c r="R79" s="1" t="s">
        <v>25</v>
      </c>
      <c r="S79" s="4">
        <v>20.239999999999998</v>
      </c>
      <c r="T79" s="5">
        <v>2.6110000908374792E-4</v>
      </c>
    </row>
    <row r="80" spans="1:20">
      <c r="A80" s="1" t="s">
        <v>103</v>
      </c>
      <c r="B80" s="1">
        <v>6</v>
      </c>
      <c r="C80" s="1">
        <v>4</v>
      </c>
      <c r="D80" s="1" t="s">
        <v>21</v>
      </c>
      <c r="E80" s="1">
        <v>9</v>
      </c>
      <c r="F80" s="1">
        <v>2</v>
      </c>
      <c r="G80" s="1" t="s">
        <v>21</v>
      </c>
      <c r="H80" s="1">
        <v>9</v>
      </c>
      <c r="I80" s="1">
        <v>0</v>
      </c>
      <c r="J80" s="1" t="s">
        <v>21</v>
      </c>
      <c r="K80" s="1">
        <v>3</v>
      </c>
      <c r="L80" s="1" t="s">
        <v>23</v>
      </c>
      <c r="M80" s="1" t="s">
        <v>24</v>
      </c>
      <c r="N80" s="1" t="s">
        <v>21</v>
      </c>
      <c r="O80" s="1">
        <v>911.11998800000003</v>
      </c>
      <c r="P80" s="1">
        <v>878.80268699999999</v>
      </c>
      <c r="Q80" s="2">
        <f t="shared" si="1"/>
        <v>3.546986283435595E-2</v>
      </c>
      <c r="R80" s="1" t="s">
        <v>25</v>
      </c>
      <c r="S80" s="4">
        <v>20.329999999999998</v>
      </c>
      <c r="T80" s="5">
        <v>2.5879999157041311E-4</v>
      </c>
    </row>
    <row r="81" spans="1:20">
      <c r="A81" s="1" t="s">
        <v>104</v>
      </c>
      <c r="B81" s="1">
        <v>9</v>
      </c>
      <c r="C81" s="1">
        <v>3</v>
      </c>
      <c r="D81" s="1" t="s">
        <v>21</v>
      </c>
      <c r="E81" s="1">
        <v>12</v>
      </c>
      <c r="F81" s="1">
        <v>6</v>
      </c>
      <c r="G81" s="1" t="s">
        <v>22</v>
      </c>
      <c r="H81" s="1">
        <v>10</v>
      </c>
      <c r="I81" s="1">
        <v>0</v>
      </c>
      <c r="J81" s="1" t="s">
        <v>21</v>
      </c>
      <c r="K81" s="1">
        <v>2</v>
      </c>
      <c r="L81" s="1" t="s">
        <v>23</v>
      </c>
      <c r="M81" s="1" t="s">
        <v>24</v>
      </c>
      <c r="N81" s="1" t="s">
        <v>22</v>
      </c>
      <c r="O81" s="1">
        <v>1360.799994</v>
      </c>
      <c r="P81" s="1">
        <v>1330.415645</v>
      </c>
      <c r="Q81" s="2">
        <f t="shared" si="1"/>
        <v>2.2328298893275811E-2</v>
      </c>
      <c r="R81" s="1" t="s">
        <v>25</v>
      </c>
      <c r="S81" s="4">
        <v>20.59</v>
      </c>
      <c r="T81" s="5">
        <v>2.4339999072253699E-4</v>
      </c>
    </row>
    <row r="82" spans="1:20">
      <c r="A82" s="1" t="s">
        <v>105</v>
      </c>
      <c r="B82" s="1">
        <v>12</v>
      </c>
      <c r="C82" s="1">
        <v>2</v>
      </c>
      <c r="D82" s="1" t="s">
        <v>22</v>
      </c>
      <c r="E82" s="1">
        <v>14</v>
      </c>
      <c r="F82" s="1">
        <v>4</v>
      </c>
      <c r="G82" s="1" t="s">
        <v>22</v>
      </c>
      <c r="H82" s="1">
        <v>9</v>
      </c>
      <c r="I82" s="1">
        <v>8</v>
      </c>
      <c r="J82" s="1" t="s">
        <v>22</v>
      </c>
      <c r="K82" s="1">
        <v>3</v>
      </c>
      <c r="L82" s="1" t="s">
        <v>23</v>
      </c>
      <c r="M82" s="1" t="s">
        <v>24</v>
      </c>
      <c r="N82" s="1" t="s">
        <v>22</v>
      </c>
      <c r="O82" s="1">
        <v>322.56</v>
      </c>
      <c r="P82" s="1">
        <v>318.07311499999997</v>
      </c>
      <c r="Q82" s="2">
        <f t="shared" si="1"/>
        <v>1.3910233754960408E-2</v>
      </c>
      <c r="R82" s="1" t="s">
        <v>25</v>
      </c>
      <c r="S82" s="4">
        <v>20.84</v>
      </c>
      <c r="T82" s="5">
        <v>2.3210002109408381E-4</v>
      </c>
    </row>
    <row r="83" spans="1:20">
      <c r="A83" s="1" t="s">
        <v>106</v>
      </c>
      <c r="B83" s="1">
        <v>12</v>
      </c>
      <c r="C83" s="1">
        <v>8</v>
      </c>
      <c r="D83" s="1" t="s">
        <v>22</v>
      </c>
      <c r="E83" s="1">
        <v>8</v>
      </c>
      <c r="F83" s="1">
        <v>4</v>
      </c>
      <c r="G83" s="1" t="s">
        <v>21</v>
      </c>
      <c r="H83" s="1">
        <v>6</v>
      </c>
      <c r="I83" s="1">
        <v>4</v>
      </c>
      <c r="J83" s="1" t="s">
        <v>21</v>
      </c>
      <c r="K83" s="1">
        <v>0</v>
      </c>
      <c r="L83" s="1" t="s">
        <v>23</v>
      </c>
      <c r="M83" s="1" t="s">
        <v>24</v>
      </c>
      <c r="N83" s="1" t="s">
        <v>21</v>
      </c>
      <c r="O83" s="1">
        <v>1015.559991</v>
      </c>
      <c r="P83" s="1">
        <v>1003.2987890000001</v>
      </c>
      <c r="Q83" s="2">
        <f t="shared" si="1"/>
        <v>1.2073340923884341E-2</v>
      </c>
      <c r="R83" s="1" t="s">
        <v>25</v>
      </c>
      <c r="S83" s="4">
        <v>21.75</v>
      </c>
      <c r="T83" s="5">
        <v>2.345999819226563E-4</v>
      </c>
    </row>
    <row r="84" spans="1:20">
      <c r="A84" s="1" t="s">
        <v>107</v>
      </c>
      <c r="B84" s="1">
        <v>12</v>
      </c>
      <c r="C84" s="1">
        <v>4</v>
      </c>
      <c r="D84" s="1" t="s">
        <v>22</v>
      </c>
      <c r="E84" s="1">
        <v>8</v>
      </c>
      <c r="F84" s="1">
        <v>2</v>
      </c>
      <c r="G84" s="1" t="s">
        <v>22</v>
      </c>
      <c r="H84" s="1">
        <v>9</v>
      </c>
      <c r="I84" s="1">
        <v>4</v>
      </c>
      <c r="J84" s="1" t="s">
        <v>22</v>
      </c>
      <c r="K84" s="1">
        <v>0</v>
      </c>
      <c r="L84" s="1" t="s">
        <v>23</v>
      </c>
      <c r="M84" s="1" t="s">
        <v>24</v>
      </c>
      <c r="N84" s="1" t="s">
        <v>22</v>
      </c>
      <c r="O84" s="1">
        <v>485.79999500000002</v>
      </c>
      <c r="P84" s="1">
        <v>477.96879000000001</v>
      </c>
      <c r="Q84" s="2">
        <f t="shared" si="1"/>
        <v>1.6120224538083847E-2</v>
      </c>
      <c r="R84" s="1" t="s">
        <v>25</v>
      </c>
      <c r="S84" s="4">
        <v>20.63</v>
      </c>
      <c r="T84" s="5">
        <v>2.3539998801425099E-4</v>
      </c>
    </row>
    <row r="85" spans="1:20">
      <c r="A85" s="1" t="s">
        <v>108</v>
      </c>
      <c r="B85" s="1">
        <v>10</v>
      </c>
      <c r="C85" s="1">
        <v>4</v>
      </c>
      <c r="D85" s="1" t="s">
        <v>21</v>
      </c>
      <c r="E85" s="1">
        <v>14</v>
      </c>
      <c r="F85" s="1">
        <v>4</v>
      </c>
      <c r="G85" s="1" t="s">
        <v>21</v>
      </c>
      <c r="H85" s="1">
        <v>5</v>
      </c>
      <c r="I85" s="1">
        <v>4</v>
      </c>
      <c r="J85" s="1" t="s">
        <v>21</v>
      </c>
      <c r="K85" s="1">
        <v>3</v>
      </c>
      <c r="L85" s="1" t="s">
        <v>23</v>
      </c>
      <c r="M85" s="1" t="s">
        <v>24</v>
      </c>
      <c r="N85" s="1" t="s">
        <v>21</v>
      </c>
      <c r="O85" s="1">
        <v>1785.83998</v>
      </c>
      <c r="P85" s="1">
        <v>1746.352054</v>
      </c>
      <c r="Q85" s="2">
        <f t="shared" si="1"/>
        <v>2.2111682145227827E-2</v>
      </c>
      <c r="R85" s="1" t="s">
        <v>25</v>
      </c>
      <c r="S85" s="4">
        <v>21.36</v>
      </c>
      <c r="T85" s="5">
        <v>2.4379999376833439E-4</v>
      </c>
    </row>
    <row r="86" spans="1:20">
      <c r="A86" s="1" t="s">
        <v>109</v>
      </c>
      <c r="B86" s="1">
        <v>12</v>
      </c>
      <c r="C86" s="1">
        <v>1</v>
      </c>
      <c r="D86" s="1" t="s">
        <v>21</v>
      </c>
      <c r="E86" s="1">
        <v>4</v>
      </c>
      <c r="F86" s="1">
        <v>2</v>
      </c>
      <c r="G86" s="1" t="s">
        <v>22</v>
      </c>
      <c r="H86" s="1">
        <v>9</v>
      </c>
      <c r="I86" s="1">
        <v>6</v>
      </c>
      <c r="J86" s="1" t="s">
        <v>21</v>
      </c>
      <c r="K86" s="1">
        <v>2</v>
      </c>
      <c r="L86" s="1" t="s">
        <v>23</v>
      </c>
      <c r="M86" s="1" t="s">
        <v>24</v>
      </c>
      <c r="N86" s="1" t="s">
        <v>22</v>
      </c>
      <c r="O86" s="1">
        <v>322.83999999999997</v>
      </c>
      <c r="P86" s="1">
        <v>309.05594200000002</v>
      </c>
      <c r="Q86" s="2">
        <f t="shared" si="1"/>
        <v>4.269625201338112E-2</v>
      </c>
      <c r="R86" s="1" t="s">
        <v>25</v>
      </c>
      <c r="S86" s="4">
        <v>19.940000000000001</v>
      </c>
      <c r="T86" s="5">
        <v>2.2170000011101371E-4</v>
      </c>
    </row>
    <row r="87" spans="1:20">
      <c r="A87" s="1" t="s">
        <v>110</v>
      </c>
      <c r="B87" s="1">
        <v>10</v>
      </c>
      <c r="C87" s="1">
        <v>6</v>
      </c>
      <c r="D87" s="1" t="s">
        <v>22</v>
      </c>
      <c r="E87" s="1">
        <v>8</v>
      </c>
      <c r="F87" s="1">
        <v>0</v>
      </c>
      <c r="G87" s="1" t="s">
        <v>21</v>
      </c>
      <c r="H87" s="1">
        <v>8</v>
      </c>
      <c r="I87" s="1">
        <v>0</v>
      </c>
      <c r="J87" s="1" t="s">
        <v>21</v>
      </c>
      <c r="K87" s="1">
        <v>2</v>
      </c>
      <c r="L87" s="1" t="s">
        <v>23</v>
      </c>
      <c r="M87" s="1" t="s">
        <v>24</v>
      </c>
      <c r="N87" s="1" t="s">
        <v>21</v>
      </c>
      <c r="O87" s="1">
        <v>1042.9999869999999</v>
      </c>
      <c r="P87" s="1">
        <v>1019.380089</v>
      </c>
      <c r="Q87" s="2">
        <f t="shared" si="1"/>
        <v>2.2646115334994651E-2</v>
      </c>
      <c r="R87" s="1" t="s">
        <v>25</v>
      </c>
      <c r="S87" s="4">
        <v>20.45</v>
      </c>
      <c r="T87" s="5">
        <v>2.327999682165682E-4</v>
      </c>
    </row>
    <row r="88" spans="1:20">
      <c r="A88" s="1" t="s">
        <v>111</v>
      </c>
      <c r="B88" s="1">
        <v>12</v>
      </c>
      <c r="C88" s="1">
        <v>3</v>
      </c>
      <c r="D88" s="1" t="s">
        <v>21</v>
      </c>
      <c r="E88" s="1">
        <v>12</v>
      </c>
      <c r="F88" s="1">
        <v>1</v>
      </c>
      <c r="G88" s="1" t="s">
        <v>21</v>
      </c>
      <c r="H88" s="1">
        <v>16</v>
      </c>
      <c r="I88" s="1">
        <v>8</v>
      </c>
      <c r="J88" s="1" t="s">
        <v>21</v>
      </c>
      <c r="K88" s="1">
        <v>3</v>
      </c>
      <c r="L88" s="1" t="s">
        <v>23</v>
      </c>
      <c r="M88" s="1" t="s">
        <v>24</v>
      </c>
      <c r="N88" s="1" t="s">
        <v>22</v>
      </c>
      <c r="O88" s="1">
        <v>1930.8799919999999</v>
      </c>
      <c r="P88" s="1">
        <v>1877.701669</v>
      </c>
      <c r="Q88" s="2">
        <f t="shared" si="1"/>
        <v>2.7540977803036795E-2</v>
      </c>
      <c r="R88" s="1" t="s">
        <v>25</v>
      </c>
      <c r="S88" s="4">
        <v>21.15</v>
      </c>
      <c r="T88" s="5">
        <v>2.373000024817884E-4</v>
      </c>
    </row>
    <row r="89" spans="1:20">
      <c r="A89" s="1" t="s">
        <v>112</v>
      </c>
      <c r="B89" s="1">
        <v>14</v>
      </c>
      <c r="C89" s="1">
        <v>8</v>
      </c>
      <c r="D89" s="1" t="s">
        <v>21</v>
      </c>
      <c r="E89" s="1">
        <v>5</v>
      </c>
      <c r="F89" s="1">
        <v>1</v>
      </c>
      <c r="G89" s="1" t="s">
        <v>21</v>
      </c>
      <c r="H89" s="1">
        <v>8</v>
      </c>
      <c r="I89" s="1">
        <v>2</v>
      </c>
      <c r="J89" s="1" t="s">
        <v>21</v>
      </c>
      <c r="K89" s="1">
        <v>2</v>
      </c>
      <c r="L89" s="1" t="s">
        <v>23</v>
      </c>
      <c r="M89" s="1" t="s">
        <v>24</v>
      </c>
      <c r="N89" s="1" t="s">
        <v>21</v>
      </c>
      <c r="O89" s="1">
        <v>1018.639988</v>
      </c>
      <c r="P89" s="1">
        <v>989.89499999999998</v>
      </c>
      <c r="Q89" s="2">
        <f t="shared" si="1"/>
        <v>2.8218986431543892E-2</v>
      </c>
      <c r="R89" s="1" t="s">
        <v>25</v>
      </c>
      <c r="S89" s="4">
        <v>20.56</v>
      </c>
      <c r="T89" s="5">
        <v>2.3760000476613641E-4</v>
      </c>
    </row>
    <row r="90" spans="1:20">
      <c r="A90" s="1" t="s">
        <v>113</v>
      </c>
      <c r="B90" s="1">
        <v>9</v>
      </c>
      <c r="C90" s="1">
        <v>2</v>
      </c>
      <c r="D90" s="1" t="s">
        <v>21</v>
      </c>
      <c r="E90" s="1">
        <v>14</v>
      </c>
      <c r="F90" s="1">
        <v>3</v>
      </c>
      <c r="G90" s="1" t="s">
        <v>22</v>
      </c>
      <c r="H90" s="1">
        <v>5</v>
      </c>
      <c r="I90" s="1">
        <v>2</v>
      </c>
      <c r="J90" s="1" t="s">
        <v>21</v>
      </c>
      <c r="K90" s="1">
        <v>1</v>
      </c>
      <c r="L90" s="1" t="s">
        <v>23</v>
      </c>
      <c r="M90" s="1" t="s">
        <v>24</v>
      </c>
      <c r="N90" s="1" t="s">
        <v>22</v>
      </c>
      <c r="O90" s="1">
        <v>1333.919989</v>
      </c>
      <c r="P90" s="1">
        <v>1307.860205</v>
      </c>
      <c r="Q90" s="2">
        <f t="shared" si="1"/>
        <v>1.9536242214599601E-2</v>
      </c>
      <c r="R90" s="1" t="s">
        <v>25</v>
      </c>
      <c r="S90" s="4">
        <v>20.58</v>
      </c>
      <c r="T90" s="5">
        <v>2.3899995721876621E-4</v>
      </c>
    </row>
    <row r="91" spans="1:20">
      <c r="A91" s="1" t="s">
        <v>114</v>
      </c>
      <c r="B91" s="1">
        <v>9</v>
      </c>
      <c r="C91" s="1">
        <v>6</v>
      </c>
      <c r="D91" s="1" t="s">
        <v>21</v>
      </c>
      <c r="E91" s="1">
        <v>4</v>
      </c>
      <c r="F91" s="1">
        <v>3</v>
      </c>
      <c r="G91" s="1" t="s">
        <v>22</v>
      </c>
      <c r="H91" s="1">
        <v>8</v>
      </c>
      <c r="I91" s="1">
        <v>1</v>
      </c>
      <c r="J91" s="1" t="s">
        <v>21</v>
      </c>
      <c r="K91" s="1">
        <v>4</v>
      </c>
      <c r="L91" s="1" t="s">
        <v>23</v>
      </c>
      <c r="M91" s="1" t="s">
        <v>24</v>
      </c>
      <c r="N91" s="1" t="s">
        <v>21</v>
      </c>
      <c r="O91" s="1">
        <v>650.15998999999999</v>
      </c>
      <c r="P91" s="1">
        <v>677.00055199999997</v>
      </c>
      <c r="Q91" s="2">
        <f t="shared" si="1"/>
        <v>4.1283010970884222E-2</v>
      </c>
      <c r="R91" s="1" t="s">
        <v>25</v>
      </c>
      <c r="S91" s="4">
        <v>20.3</v>
      </c>
      <c r="T91" s="5">
        <v>2.2700004046782851E-4</v>
      </c>
    </row>
    <row r="92" spans="1:20">
      <c r="A92" s="1" t="s">
        <v>115</v>
      </c>
      <c r="B92" s="1">
        <v>9</v>
      </c>
      <c r="C92" s="1">
        <v>8</v>
      </c>
      <c r="D92" s="1" t="s">
        <v>22</v>
      </c>
      <c r="E92" s="1">
        <v>12</v>
      </c>
      <c r="F92" s="1">
        <v>3</v>
      </c>
      <c r="G92" s="1" t="s">
        <v>22</v>
      </c>
      <c r="H92" s="1">
        <v>16</v>
      </c>
      <c r="I92" s="1">
        <v>1</v>
      </c>
      <c r="J92" s="1" t="s">
        <v>22</v>
      </c>
      <c r="K92" s="1">
        <v>3</v>
      </c>
      <c r="L92" s="1" t="s">
        <v>23</v>
      </c>
      <c r="M92" s="1" t="s">
        <v>24</v>
      </c>
      <c r="N92" s="1" t="s">
        <v>22</v>
      </c>
      <c r="O92" s="1">
        <v>1208.1999940000001</v>
      </c>
      <c r="P92" s="1">
        <v>1240.4604139999999</v>
      </c>
      <c r="Q92" s="2">
        <f t="shared" si="1"/>
        <v>2.6701225095354403E-2</v>
      </c>
      <c r="R92" s="1" t="s">
        <v>25</v>
      </c>
      <c r="S92" s="4">
        <v>20.77</v>
      </c>
      <c r="T92" s="5">
        <v>2.3700000019744041E-4</v>
      </c>
    </row>
    <row r="93" spans="1:20">
      <c r="A93" s="1" t="s">
        <v>116</v>
      </c>
      <c r="B93" s="1">
        <v>12</v>
      </c>
      <c r="C93" s="1">
        <v>2</v>
      </c>
      <c r="D93" s="1" t="s">
        <v>21</v>
      </c>
      <c r="E93" s="1">
        <v>8</v>
      </c>
      <c r="F93" s="1">
        <v>6</v>
      </c>
      <c r="G93" s="1" t="s">
        <v>22</v>
      </c>
      <c r="H93" s="1">
        <v>12</v>
      </c>
      <c r="I93" s="1">
        <v>6</v>
      </c>
      <c r="J93" s="1" t="s">
        <v>21</v>
      </c>
      <c r="K93" s="1">
        <v>2</v>
      </c>
      <c r="L93" s="1" t="s">
        <v>23</v>
      </c>
      <c r="M93" s="1" t="s">
        <v>24</v>
      </c>
      <c r="N93" s="1" t="s">
        <v>22</v>
      </c>
      <c r="O93" s="1">
        <v>1268.959996</v>
      </c>
      <c r="P93" s="1">
        <v>1220.5342559999999</v>
      </c>
      <c r="Q93" s="2">
        <f t="shared" si="1"/>
        <v>3.8161754627921408E-2</v>
      </c>
      <c r="R93" s="1" t="s">
        <v>25</v>
      </c>
      <c r="S93" s="4">
        <v>20.71</v>
      </c>
      <c r="T93" s="5">
        <v>2.3420003708451989E-4</v>
      </c>
    </row>
    <row r="94" spans="1:20">
      <c r="A94" s="1" t="s">
        <v>117</v>
      </c>
      <c r="B94" s="1">
        <v>14</v>
      </c>
      <c r="C94" s="1">
        <v>3</v>
      </c>
      <c r="D94" s="1" t="s">
        <v>21</v>
      </c>
      <c r="E94" s="1">
        <v>9</v>
      </c>
      <c r="F94" s="1">
        <v>2</v>
      </c>
      <c r="G94" s="1" t="s">
        <v>21</v>
      </c>
      <c r="H94" s="1">
        <v>10</v>
      </c>
      <c r="I94" s="1">
        <v>8</v>
      </c>
      <c r="J94" s="1" t="s">
        <v>21</v>
      </c>
      <c r="K94" s="1">
        <v>4</v>
      </c>
      <c r="L94" s="1" t="s">
        <v>23</v>
      </c>
      <c r="M94" s="1" t="s">
        <v>24</v>
      </c>
      <c r="N94" s="1" t="s">
        <v>21</v>
      </c>
      <c r="O94" s="1">
        <v>1721.439979</v>
      </c>
      <c r="P94" s="1">
        <v>1661.20678</v>
      </c>
      <c r="Q94" s="2">
        <f t="shared" si="1"/>
        <v>3.4990008211026921E-2</v>
      </c>
      <c r="R94" s="1" t="s">
        <v>25</v>
      </c>
      <c r="S94" s="4">
        <v>21.43</v>
      </c>
      <c r="T94" s="5">
        <v>2.3589999182149771E-4</v>
      </c>
    </row>
    <row r="95" spans="1:20">
      <c r="A95" s="1" t="s">
        <v>118</v>
      </c>
      <c r="B95" s="1">
        <v>6</v>
      </c>
      <c r="C95" s="1">
        <v>3</v>
      </c>
      <c r="D95" s="1" t="s">
        <v>21</v>
      </c>
      <c r="E95" s="1">
        <v>10</v>
      </c>
      <c r="F95" s="1">
        <v>1</v>
      </c>
      <c r="G95" s="1" t="s">
        <v>21</v>
      </c>
      <c r="H95" s="1">
        <v>9</v>
      </c>
      <c r="I95" s="1">
        <v>1</v>
      </c>
      <c r="J95" s="1" t="s">
        <v>21</v>
      </c>
      <c r="K95" s="1">
        <v>2</v>
      </c>
      <c r="L95" s="1" t="s">
        <v>23</v>
      </c>
      <c r="M95" s="1" t="s">
        <v>24</v>
      </c>
      <c r="N95" s="1" t="s">
        <v>21</v>
      </c>
      <c r="O95" s="1">
        <v>915.31998899999996</v>
      </c>
      <c r="P95" s="1">
        <v>868.79639999999995</v>
      </c>
      <c r="Q95" s="2">
        <f t="shared" si="1"/>
        <v>5.0827677270358418E-2</v>
      </c>
      <c r="R95" s="1" t="s">
        <v>25</v>
      </c>
      <c r="S95" s="4">
        <v>20.190000000000001</v>
      </c>
      <c r="T95" s="5">
        <v>2.27999989874661E-4</v>
      </c>
    </row>
    <row r="96" spans="1:20">
      <c r="A96" s="1" t="s">
        <v>119</v>
      </c>
      <c r="B96" s="1">
        <v>10</v>
      </c>
      <c r="C96" s="1">
        <v>8</v>
      </c>
      <c r="D96" s="1" t="s">
        <v>22</v>
      </c>
      <c r="E96" s="1">
        <v>12</v>
      </c>
      <c r="F96" s="1">
        <v>6</v>
      </c>
      <c r="G96" s="1" t="s">
        <v>21</v>
      </c>
      <c r="H96" s="1">
        <v>8</v>
      </c>
      <c r="I96" s="1">
        <v>6</v>
      </c>
      <c r="J96" s="1" t="s">
        <v>21</v>
      </c>
      <c r="K96" s="1">
        <v>3</v>
      </c>
      <c r="L96" s="1" t="s">
        <v>23</v>
      </c>
      <c r="M96" s="1" t="s">
        <v>24</v>
      </c>
      <c r="N96" s="1" t="s">
        <v>22</v>
      </c>
      <c r="O96" s="1">
        <v>1522.9199940000001</v>
      </c>
      <c r="P96" s="1">
        <v>1498.8523399999999</v>
      </c>
      <c r="Q96" s="2">
        <f t="shared" si="1"/>
        <v>1.5803623364866123E-2</v>
      </c>
      <c r="R96" s="1" t="s">
        <v>25</v>
      </c>
      <c r="S96" s="4">
        <v>20.65</v>
      </c>
      <c r="T96" s="5">
        <v>2.3789994884282351E-4</v>
      </c>
    </row>
    <row r="97" spans="1:20">
      <c r="A97" s="1" t="s">
        <v>120</v>
      </c>
      <c r="B97" s="1">
        <v>14</v>
      </c>
      <c r="C97" s="1">
        <v>1</v>
      </c>
      <c r="D97" s="1" t="s">
        <v>22</v>
      </c>
      <c r="E97" s="1">
        <v>10</v>
      </c>
      <c r="F97" s="1">
        <v>4</v>
      </c>
      <c r="G97" s="1" t="s">
        <v>22</v>
      </c>
      <c r="H97" s="1">
        <v>6</v>
      </c>
      <c r="I97" s="1">
        <v>4</v>
      </c>
      <c r="J97" s="1" t="s">
        <v>22</v>
      </c>
      <c r="K97" s="1">
        <v>2</v>
      </c>
      <c r="L97" s="1" t="s">
        <v>23</v>
      </c>
      <c r="M97" s="1" t="s">
        <v>24</v>
      </c>
      <c r="N97" s="1" t="s">
        <v>22</v>
      </c>
      <c r="O97" s="1">
        <v>273.559999</v>
      </c>
      <c r="P97" s="1">
        <v>262.23116099999999</v>
      </c>
      <c r="Q97" s="2">
        <f t="shared" si="1"/>
        <v>4.1412626266313222E-2</v>
      </c>
      <c r="R97" s="1" t="s">
        <v>25</v>
      </c>
      <c r="S97" s="4">
        <v>20.04</v>
      </c>
      <c r="T97" s="5">
        <v>2.2729998454451561E-4</v>
      </c>
    </row>
    <row r="98" spans="1:20">
      <c r="A98" s="1" t="s">
        <v>121</v>
      </c>
      <c r="B98" s="1">
        <v>16</v>
      </c>
      <c r="C98" s="1">
        <v>4</v>
      </c>
      <c r="D98" s="1" t="s">
        <v>22</v>
      </c>
      <c r="E98" s="1">
        <v>14</v>
      </c>
      <c r="F98" s="1">
        <v>2</v>
      </c>
      <c r="G98" s="1" t="s">
        <v>22</v>
      </c>
      <c r="H98" s="1">
        <v>16</v>
      </c>
      <c r="I98" s="1">
        <v>0</v>
      </c>
      <c r="J98" s="1" t="s">
        <v>22</v>
      </c>
      <c r="K98" s="1">
        <v>6</v>
      </c>
      <c r="L98" s="1" t="s">
        <v>23</v>
      </c>
      <c r="M98" s="1" t="s">
        <v>24</v>
      </c>
      <c r="N98" s="1" t="s">
        <v>22</v>
      </c>
      <c r="O98" s="1">
        <v>2333.239994</v>
      </c>
      <c r="P98" s="1">
        <v>2423.016255</v>
      </c>
      <c r="Q98" s="2">
        <f t="shared" si="1"/>
        <v>3.8477079610696907E-2</v>
      </c>
      <c r="R98" s="1" t="s">
        <v>25</v>
      </c>
      <c r="S98" s="4">
        <v>21.39</v>
      </c>
      <c r="T98" s="5">
        <v>2.4100003065541389E-4</v>
      </c>
    </row>
    <row r="99" spans="1:20">
      <c r="A99" s="1" t="s">
        <v>122</v>
      </c>
      <c r="B99" s="1">
        <v>16</v>
      </c>
      <c r="C99" s="1">
        <v>2</v>
      </c>
      <c r="D99" s="1" t="s">
        <v>22</v>
      </c>
      <c r="E99" s="1">
        <v>9</v>
      </c>
      <c r="F99" s="1">
        <v>6</v>
      </c>
      <c r="G99" s="1" t="s">
        <v>21</v>
      </c>
      <c r="H99" s="1">
        <v>8</v>
      </c>
      <c r="I99" s="1">
        <v>3</v>
      </c>
      <c r="J99" s="1" t="s">
        <v>21</v>
      </c>
      <c r="K99" s="1">
        <v>0</v>
      </c>
      <c r="L99" s="1" t="s">
        <v>23</v>
      </c>
      <c r="M99" s="1" t="s">
        <v>24</v>
      </c>
      <c r="N99" s="1" t="s">
        <v>21</v>
      </c>
      <c r="O99" s="1">
        <v>1516.7599869999999</v>
      </c>
      <c r="P99" s="1">
        <v>1470.4939220000001</v>
      </c>
      <c r="Q99" s="2">
        <f t="shared" si="1"/>
        <v>3.050322094236509E-2</v>
      </c>
      <c r="R99" s="1" t="s">
        <v>25</v>
      </c>
      <c r="S99" s="4">
        <v>21.8</v>
      </c>
      <c r="T99" s="5">
        <v>2.3259996669366961E-4</v>
      </c>
    </row>
    <row r="100" spans="1:20">
      <c r="A100" s="1" t="s">
        <v>123</v>
      </c>
      <c r="B100" s="1">
        <v>12</v>
      </c>
      <c r="C100" s="1">
        <v>6</v>
      </c>
      <c r="D100" s="1" t="s">
        <v>21</v>
      </c>
      <c r="E100" s="1">
        <v>8</v>
      </c>
      <c r="F100" s="1">
        <v>3</v>
      </c>
      <c r="G100" s="1" t="s">
        <v>22</v>
      </c>
      <c r="H100" s="1">
        <v>6</v>
      </c>
      <c r="I100" s="1">
        <v>4</v>
      </c>
      <c r="J100" s="1" t="s">
        <v>21</v>
      </c>
      <c r="K100" s="1">
        <v>1</v>
      </c>
      <c r="L100" s="1" t="s">
        <v>23</v>
      </c>
      <c r="M100" s="1" t="s">
        <v>24</v>
      </c>
      <c r="N100" s="1" t="s">
        <v>21</v>
      </c>
      <c r="O100" s="1">
        <v>1069.5999899999999</v>
      </c>
      <c r="P100" s="1">
        <v>1065.3925220000001</v>
      </c>
      <c r="Q100" s="2">
        <f t="shared" si="1"/>
        <v>3.9336836568218698E-3</v>
      </c>
      <c r="R100" s="1" t="s">
        <v>25</v>
      </c>
      <c r="S100" s="4">
        <v>20.45</v>
      </c>
      <c r="T100" s="5">
        <v>2.2589997388422489E-4</v>
      </c>
    </row>
    <row r="101" spans="1:20">
      <c r="A101" s="1" t="s">
        <v>124</v>
      </c>
      <c r="B101" s="1">
        <v>8</v>
      </c>
      <c r="C101" s="1">
        <v>3</v>
      </c>
      <c r="D101" s="1" t="s">
        <v>21</v>
      </c>
      <c r="E101" s="1">
        <v>12</v>
      </c>
      <c r="F101" s="1">
        <v>6</v>
      </c>
      <c r="G101" s="1" t="s">
        <v>22</v>
      </c>
      <c r="H101" s="1">
        <v>8</v>
      </c>
      <c r="I101" s="1">
        <v>3</v>
      </c>
      <c r="J101" s="1" t="s">
        <v>21</v>
      </c>
      <c r="K101" s="1">
        <v>2</v>
      </c>
      <c r="L101" s="1" t="s">
        <v>23</v>
      </c>
      <c r="M101" s="1" t="s">
        <v>24</v>
      </c>
      <c r="N101" s="1" t="s">
        <v>21</v>
      </c>
      <c r="O101" s="1">
        <v>1230.879985</v>
      </c>
      <c r="P101" s="1">
        <v>1182.4385139999999</v>
      </c>
      <c r="Q101" s="2">
        <f t="shared" si="1"/>
        <v>3.9355153703307715E-2</v>
      </c>
      <c r="R101" s="1" t="s">
        <v>25</v>
      </c>
      <c r="S101" s="4">
        <v>20.56</v>
      </c>
      <c r="T101" s="5">
        <v>2.5639997329562902E-4</v>
      </c>
    </row>
    <row r="102" spans="1:20">
      <c r="A102" s="1" t="s">
        <v>20</v>
      </c>
      <c r="B102" s="1">
        <v>4</v>
      </c>
      <c r="C102" s="1">
        <v>0</v>
      </c>
      <c r="D102" s="1" t="s">
        <v>21</v>
      </c>
      <c r="E102" s="1">
        <v>4</v>
      </c>
      <c r="F102" s="1">
        <v>1</v>
      </c>
      <c r="G102" s="1" t="s">
        <v>21</v>
      </c>
      <c r="H102" s="1">
        <v>10</v>
      </c>
      <c r="I102" s="1">
        <v>2</v>
      </c>
      <c r="J102" s="1" t="s">
        <v>21</v>
      </c>
      <c r="K102" s="1">
        <v>2</v>
      </c>
      <c r="L102" s="1" t="s">
        <v>23</v>
      </c>
      <c r="M102" s="1" t="s">
        <v>24</v>
      </c>
      <c r="N102" s="1" t="s">
        <v>21</v>
      </c>
      <c r="O102" s="1">
        <v>332.639995</v>
      </c>
      <c r="P102" s="1">
        <v>343.37111599999997</v>
      </c>
      <c r="Q102" s="2">
        <f t="shared" si="1"/>
        <v>3.2260465251630288E-2</v>
      </c>
      <c r="R102" s="1" t="s">
        <v>125</v>
      </c>
      <c r="S102" s="4">
        <v>19.27</v>
      </c>
      <c r="T102" s="5">
        <v>2.4359999224543569E-4</v>
      </c>
    </row>
    <row r="103" spans="1:20">
      <c r="A103" s="1" t="s">
        <v>26</v>
      </c>
      <c r="B103" s="1">
        <v>6</v>
      </c>
      <c r="C103" s="1">
        <v>0</v>
      </c>
      <c r="D103" s="1" t="s">
        <v>22</v>
      </c>
      <c r="E103" s="1">
        <v>16</v>
      </c>
      <c r="F103" s="1">
        <v>1</v>
      </c>
      <c r="G103" s="1" t="s">
        <v>21</v>
      </c>
      <c r="H103" s="1">
        <v>4</v>
      </c>
      <c r="I103" s="1">
        <v>0</v>
      </c>
      <c r="J103" s="1" t="s">
        <v>21</v>
      </c>
      <c r="K103" s="1">
        <v>1</v>
      </c>
      <c r="L103" s="1" t="s">
        <v>23</v>
      </c>
      <c r="M103" s="1" t="s">
        <v>24</v>
      </c>
      <c r="N103" s="1" t="s">
        <v>21</v>
      </c>
      <c r="O103" s="1">
        <v>969.35999100000004</v>
      </c>
      <c r="P103" s="1">
        <v>1026.8469809999999</v>
      </c>
      <c r="Q103" s="2">
        <f t="shared" si="1"/>
        <v>5.9304067151250806E-2</v>
      </c>
      <c r="R103" s="1" t="s">
        <v>125</v>
      </c>
      <c r="S103" s="4">
        <v>19.809999999999999</v>
      </c>
      <c r="T103" s="5">
        <v>2.392000169493258E-4</v>
      </c>
    </row>
    <row r="104" spans="1:20">
      <c r="A104" s="1" t="s">
        <v>27</v>
      </c>
      <c r="B104" s="1">
        <v>2</v>
      </c>
      <c r="C104" s="1">
        <v>0</v>
      </c>
      <c r="D104" s="1" t="s">
        <v>21</v>
      </c>
      <c r="E104" s="1">
        <v>8</v>
      </c>
      <c r="F104" s="1">
        <v>2</v>
      </c>
      <c r="G104" s="1" t="s">
        <v>22</v>
      </c>
      <c r="H104" s="1">
        <v>6</v>
      </c>
      <c r="I104" s="1">
        <v>0</v>
      </c>
      <c r="J104" s="1" t="s">
        <v>21</v>
      </c>
      <c r="K104" s="1">
        <v>2</v>
      </c>
      <c r="L104" s="1" t="s">
        <v>23</v>
      </c>
      <c r="M104" s="1" t="s">
        <v>24</v>
      </c>
      <c r="N104" s="1" t="s">
        <v>22</v>
      </c>
      <c r="O104" s="1">
        <v>238.560001</v>
      </c>
      <c r="P104" s="1">
        <v>248.24046000000001</v>
      </c>
      <c r="Q104" s="2">
        <f t="shared" si="1"/>
        <v>4.0578717972087924E-2</v>
      </c>
      <c r="R104" s="1" t="s">
        <v>125</v>
      </c>
      <c r="S104" s="4">
        <v>19.47</v>
      </c>
      <c r="T104" s="5">
        <v>2.246000221930444E-4</v>
      </c>
    </row>
    <row r="105" spans="1:20">
      <c r="A105" s="1" t="s">
        <v>28</v>
      </c>
      <c r="B105" s="1">
        <v>4</v>
      </c>
      <c r="C105" s="1">
        <v>0</v>
      </c>
      <c r="D105" s="1" t="s">
        <v>21</v>
      </c>
      <c r="E105" s="1">
        <v>4</v>
      </c>
      <c r="F105" s="1">
        <v>1</v>
      </c>
      <c r="G105" s="1" t="s">
        <v>21</v>
      </c>
      <c r="H105" s="1">
        <v>5</v>
      </c>
      <c r="I105" s="1">
        <v>0</v>
      </c>
      <c r="J105" s="1" t="s">
        <v>21</v>
      </c>
      <c r="K105" s="1">
        <v>1</v>
      </c>
      <c r="L105" s="1" t="s">
        <v>23</v>
      </c>
      <c r="M105" s="1" t="s">
        <v>24</v>
      </c>
      <c r="N105" s="1" t="s">
        <v>21</v>
      </c>
      <c r="O105" s="1">
        <v>217.55999700000001</v>
      </c>
      <c r="P105" s="1">
        <v>226.97560100000001</v>
      </c>
      <c r="Q105" s="2">
        <f t="shared" si="1"/>
        <v>4.3278195117827663E-2</v>
      </c>
      <c r="R105" s="1" t="s">
        <v>125</v>
      </c>
      <c r="S105" s="4">
        <v>19.829999999999998</v>
      </c>
      <c r="T105" s="5">
        <v>2.2739998530596489E-4</v>
      </c>
    </row>
    <row r="106" spans="1:20">
      <c r="A106" s="1" t="s">
        <v>29</v>
      </c>
      <c r="B106" s="1">
        <v>4</v>
      </c>
      <c r="C106" s="1">
        <v>0</v>
      </c>
      <c r="D106" s="1" t="s">
        <v>21</v>
      </c>
      <c r="E106" s="1">
        <v>4</v>
      </c>
      <c r="F106" s="1">
        <v>2</v>
      </c>
      <c r="G106" s="1" t="s">
        <v>22</v>
      </c>
      <c r="H106" s="1">
        <v>4</v>
      </c>
      <c r="I106" s="1">
        <v>1</v>
      </c>
      <c r="J106" s="1" t="s">
        <v>21</v>
      </c>
      <c r="K106" s="1">
        <v>6</v>
      </c>
      <c r="L106" s="1" t="s">
        <v>23</v>
      </c>
      <c r="M106" s="1" t="s">
        <v>24</v>
      </c>
      <c r="N106" s="1" t="s">
        <v>22</v>
      </c>
      <c r="O106" s="1">
        <v>269.08000199999998</v>
      </c>
      <c r="P106" s="1">
        <v>286.40928200000002</v>
      </c>
      <c r="Q106" s="2">
        <f t="shared" si="1"/>
        <v>6.4401961763030022E-2</v>
      </c>
      <c r="R106" s="1" t="s">
        <v>125</v>
      </c>
      <c r="S106" s="4">
        <v>19.3</v>
      </c>
      <c r="T106" s="5">
        <v>2.185999765060842E-4</v>
      </c>
    </row>
    <row r="107" spans="1:20">
      <c r="A107" s="1" t="s">
        <v>30</v>
      </c>
      <c r="B107" s="1">
        <v>3</v>
      </c>
      <c r="C107" s="1">
        <v>0</v>
      </c>
      <c r="D107" s="1" t="s">
        <v>21</v>
      </c>
      <c r="E107" s="1">
        <v>9</v>
      </c>
      <c r="F107" s="1">
        <v>2</v>
      </c>
      <c r="G107" s="1" t="s">
        <v>22</v>
      </c>
      <c r="H107" s="1">
        <v>6</v>
      </c>
      <c r="I107" s="1">
        <v>1</v>
      </c>
      <c r="J107" s="1" t="s">
        <v>21</v>
      </c>
      <c r="K107" s="1">
        <v>0</v>
      </c>
      <c r="L107" s="1" t="s">
        <v>23</v>
      </c>
      <c r="M107" s="1" t="s">
        <v>24</v>
      </c>
      <c r="N107" s="1" t="s">
        <v>22</v>
      </c>
      <c r="O107" s="1">
        <v>251.719998</v>
      </c>
      <c r="P107" s="1">
        <v>262.80768499999999</v>
      </c>
      <c r="Q107" s="2">
        <f t="shared" si="1"/>
        <v>4.4047700175176341E-2</v>
      </c>
      <c r="R107" s="1" t="s">
        <v>125</v>
      </c>
      <c r="S107" s="4">
        <v>20.65</v>
      </c>
      <c r="T107" s="5">
        <v>2.2439996246248481E-4</v>
      </c>
    </row>
    <row r="108" spans="1:20">
      <c r="A108" s="1" t="s">
        <v>31</v>
      </c>
      <c r="B108" s="1">
        <v>4</v>
      </c>
      <c r="C108" s="1">
        <v>0</v>
      </c>
      <c r="D108" s="1" t="s">
        <v>21</v>
      </c>
      <c r="E108" s="1">
        <v>4</v>
      </c>
      <c r="F108" s="1">
        <v>1</v>
      </c>
      <c r="G108" s="1" t="s">
        <v>21</v>
      </c>
      <c r="H108" s="1">
        <v>7</v>
      </c>
      <c r="I108" s="1">
        <v>3</v>
      </c>
      <c r="J108" s="1" t="s">
        <v>21</v>
      </c>
      <c r="K108" s="1">
        <v>3</v>
      </c>
      <c r="L108" s="1" t="s">
        <v>23</v>
      </c>
      <c r="M108" s="1" t="s">
        <v>24</v>
      </c>
      <c r="N108" s="1" t="s">
        <v>22</v>
      </c>
      <c r="O108" s="1">
        <v>232.400001</v>
      </c>
      <c r="P108" s="1">
        <v>253.640972</v>
      </c>
      <c r="Q108" s="2">
        <f t="shared" si="1"/>
        <v>9.1398325768509786E-2</v>
      </c>
      <c r="R108" s="1" t="s">
        <v>125</v>
      </c>
      <c r="S108" s="4">
        <v>19.37</v>
      </c>
      <c r="T108" s="5">
        <v>2.115999814122915E-4</v>
      </c>
    </row>
    <row r="109" spans="1:20">
      <c r="A109" s="1" t="s">
        <v>32</v>
      </c>
      <c r="B109" s="1">
        <v>2</v>
      </c>
      <c r="C109" s="1">
        <v>0</v>
      </c>
      <c r="D109" s="1" t="s">
        <v>21</v>
      </c>
      <c r="E109" s="1">
        <v>8</v>
      </c>
      <c r="F109" s="1">
        <v>2</v>
      </c>
      <c r="G109" s="1" t="s">
        <v>22</v>
      </c>
      <c r="H109" s="1">
        <v>7</v>
      </c>
      <c r="I109" s="1">
        <v>2</v>
      </c>
      <c r="J109" s="1" t="s">
        <v>21</v>
      </c>
      <c r="K109" s="1">
        <v>0</v>
      </c>
      <c r="L109" s="1" t="s">
        <v>23</v>
      </c>
      <c r="M109" s="1" t="s">
        <v>24</v>
      </c>
      <c r="N109" s="1" t="s">
        <v>22</v>
      </c>
      <c r="O109" s="1">
        <v>153.439999</v>
      </c>
      <c r="P109" s="1">
        <v>153.42733200000001</v>
      </c>
      <c r="Q109" s="2">
        <f t="shared" si="1"/>
        <v>8.2553441622437195E-5</v>
      </c>
      <c r="R109" s="1" t="s">
        <v>125</v>
      </c>
      <c r="S109" s="4">
        <v>20.65</v>
      </c>
      <c r="T109" s="5">
        <v>2.2450002143159509E-4</v>
      </c>
    </row>
    <row r="110" spans="1:20">
      <c r="A110" s="1" t="s">
        <v>33</v>
      </c>
      <c r="B110" s="1">
        <v>3</v>
      </c>
      <c r="C110" s="1">
        <v>0</v>
      </c>
      <c r="D110" s="1" t="s">
        <v>21</v>
      </c>
      <c r="E110" s="1">
        <v>9</v>
      </c>
      <c r="F110" s="1">
        <v>2</v>
      </c>
      <c r="G110" s="1" t="s">
        <v>22</v>
      </c>
      <c r="H110" s="1">
        <v>11</v>
      </c>
      <c r="I110" s="1">
        <v>3</v>
      </c>
      <c r="J110" s="1" t="s">
        <v>21</v>
      </c>
      <c r="K110" s="1">
        <v>2</v>
      </c>
      <c r="L110" s="1" t="s">
        <v>23</v>
      </c>
      <c r="M110" s="1" t="s">
        <v>24</v>
      </c>
      <c r="N110" s="1" t="s">
        <v>22</v>
      </c>
      <c r="O110" s="1">
        <v>402.64000099999998</v>
      </c>
      <c r="P110" s="1">
        <v>407.139544</v>
      </c>
      <c r="Q110" s="2">
        <f t="shared" si="1"/>
        <v>1.1175101800181093E-2</v>
      </c>
      <c r="R110" s="1" t="s">
        <v>125</v>
      </c>
      <c r="S110" s="4">
        <v>20.350000000000001</v>
      </c>
      <c r="T110" s="5">
        <v>2.180000301450491E-4</v>
      </c>
    </row>
    <row r="111" spans="1:20">
      <c r="A111" s="1" t="s">
        <v>34</v>
      </c>
      <c r="B111" s="1">
        <v>6</v>
      </c>
      <c r="C111" s="1">
        <v>0</v>
      </c>
      <c r="D111" s="1" t="s">
        <v>22</v>
      </c>
      <c r="E111" s="1">
        <v>16</v>
      </c>
      <c r="F111" s="1">
        <v>1</v>
      </c>
      <c r="G111" s="1" t="s">
        <v>21</v>
      </c>
      <c r="H111" s="1">
        <v>8</v>
      </c>
      <c r="I111" s="1">
        <v>2</v>
      </c>
      <c r="J111" s="1" t="s">
        <v>21</v>
      </c>
      <c r="K111" s="1">
        <v>2</v>
      </c>
      <c r="L111" s="1" t="s">
        <v>23</v>
      </c>
      <c r="M111" s="1" t="s">
        <v>24</v>
      </c>
      <c r="N111" s="1" t="s">
        <v>21</v>
      </c>
      <c r="O111" s="1">
        <v>1290.239984</v>
      </c>
      <c r="P111" s="1">
        <v>1189.6664989999999</v>
      </c>
      <c r="Q111" s="2">
        <f t="shared" si="1"/>
        <v>7.7949440605771927E-2</v>
      </c>
      <c r="R111" s="1" t="s">
        <v>125</v>
      </c>
      <c r="S111" s="4">
        <v>20.079999999999998</v>
      </c>
      <c r="T111" s="5">
        <v>2.3819995112717149E-4</v>
      </c>
    </row>
    <row r="112" spans="1:20">
      <c r="A112" s="1" t="s">
        <v>35</v>
      </c>
      <c r="B112" s="1">
        <v>6</v>
      </c>
      <c r="C112" s="1">
        <v>0</v>
      </c>
      <c r="D112" s="1" t="s">
        <v>22</v>
      </c>
      <c r="E112" s="1">
        <v>16</v>
      </c>
      <c r="F112" s="1">
        <v>1</v>
      </c>
      <c r="G112" s="1" t="s">
        <v>21</v>
      </c>
      <c r="H112" s="1">
        <v>5</v>
      </c>
      <c r="I112" s="1">
        <v>1</v>
      </c>
      <c r="J112" s="1" t="s">
        <v>21</v>
      </c>
      <c r="K112" s="1">
        <v>1</v>
      </c>
      <c r="L112" s="1" t="s">
        <v>23</v>
      </c>
      <c r="M112" s="1" t="s">
        <v>24</v>
      </c>
      <c r="N112" s="1" t="s">
        <v>22</v>
      </c>
      <c r="O112" s="1">
        <v>975.519993</v>
      </c>
      <c r="P112" s="1">
        <v>1030.649672</v>
      </c>
      <c r="Q112" s="2">
        <f t="shared" si="1"/>
        <v>5.651312058757571E-2</v>
      </c>
      <c r="R112" s="1" t="s">
        <v>125</v>
      </c>
      <c r="S112" s="4">
        <v>20.440000000000001</v>
      </c>
      <c r="T112" s="5">
        <v>2.3349997354671359E-4</v>
      </c>
    </row>
    <row r="113" spans="1:20">
      <c r="A113" s="1" t="s">
        <v>36</v>
      </c>
      <c r="B113" s="1">
        <v>4</v>
      </c>
      <c r="C113" s="1">
        <v>0</v>
      </c>
      <c r="D113" s="1" t="s">
        <v>21</v>
      </c>
      <c r="E113" s="1">
        <v>4</v>
      </c>
      <c r="F113" s="1">
        <v>2</v>
      </c>
      <c r="G113" s="1" t="s">
        <v>22</v>
      </c>
      <c r="H113" s="1">
        <v>6</v>
      </c>
      <c r="I113" s="1">
        <v>2</v>
      </c>
      <c r="J113" s="1" t="s">
        <v>21</v>
      </c>
      <c r="K113" s="1">
        <v>6</v>
      </c>
      <c r="L113" s="1" t="s">
        <v>23</v>
      </c>
      <c r="M113" s="1" t="s">
        <v>24</v>
      </c>
      <c r="N113" s="1" t="s">
        <v>22</v>
      </c>
      <c r="O113" s="1">
        <v>367.08000299999998</v>
      </c>
      <c r="P113" s="1">
        <v>385.24711000000002</v>
      </c>
      <c r="Q113" s="2">
        <f t="shared" si="1"/>
        <v>4.949086534686567E-2</v>
      </c>
      <c r="R113" s="1" t="s">
        <v>125</v>
      </c>
      <c r="S113" s="4">
        <v>19.760000000000002</v>
      </c>
      <c r="T113" s="5">
        <v>2.1780002862215039E-4</v>
      </c>
    </row>
    <row r="114" spans="1:20">
      <c r="A114" s="1" t="s">
        <v>37</v>
      </c>
      <c r="B114" s="1">
        <v>3</v>
      </c>
      <c r="C114" s="1">
        <v>0</v>
      </c>
      <c r="D114" s="1" t="s">
        <v>21</v>
      </c>
      <c r="E114" s="1">
        <v>9</v>
      </c>
      <c r="F114" s="1">
        <v>2</v>
      </c>
      <c r="G114" s="1" t="s">
        <v>22</v>
      </c>
      <c r="H114" s="1">
        <v>3</v>
      </c>
      <c r="I114" s="1">
        <v>0</v>
      </c>
      <c r="J114" s="1" t="s">
        <v>21</v>
      </c>
      <c r="K114" s="1">
        <v>2</v>
      </c>
      <c r="L114" s="1" t="s">
        <v>23</v>
      </c>
      <c r="M114" s="1" t="s">
        <v>24</v>
      </c>
      <c r="N114" s="1" t="s">
        <v>21</v>
      </c>
      <c r="O114" s="1">
        <v>218.67999699999999</v>
      </c>
      <c r="P114" s="1">
        <v>170.51236900000001</v>
      </c>
      <c r="Q114" s="2">
        <f t="shared" si="1"/>
        <v>0.22026535879273851</v>
      </c>
      <c r="R114" s="1" t="s">
        <v>125</v>
      </c>
      <c r="S114" s="4">
        <v>19.53</v>
      </c>
      <c r="T114" s="5">
        <v>2.1480000577867031E-4</v>
      </c>
    </row>
    <row r="115" spans="1:20">
      <c r="A115" s="1" t="s">
        <v>38</v>
      </c>
      <c r="B115" s="1">
        <v>2</v>
      </c>
      <c r="C115" s="1">
        <v>0</v>
      </c>
      <c r="D115" s="1" t="s">
        <v>21</v>
      </c>
      <c r="E115" s="1">
        <v>8</v>
      </c>
      <c r="F115" s="1">
        <v>2</v>
      </c>
      <c r="G115" s="1" t="s">
        <v>22</v>
      </c>
      <c r="H115" s="1">
        <v>9</v>
      </c>
      <c r="I115" s="1">
        <v>3</v>
      </c>
      <c r="J115" s="1" t="s">
        <v>21</v>
      </c>
      <c r="K115" s="1">
        <v>2</v>
      </c>
      <c r="L115" s="1" t="s">
        <v>23</v>
      </c>
      <c r="M115" s="1" t="s">
        <v>24</v>
      </c>
      <c r="N115" s="1" t="s">
        <v>22</v>
      </c>
      <c r="O115" s="1">
        <v>261.80000100000001</v>
      </c>
      <c r="P115" s="1">
        <v>263.290592</v>
      </c>
      <c r="Q115" s="2">
        <f t="shared" si="1"/>
        <v>5.6936248827592437E-3</v>
      </c>
      <c r="R115" s="1" t="s">
        <v>125</v>
      </c>
      <c r="S115" s="4">
        <v>19.78</v>
      </c>
      <c r="T115" s="5">
        <v>2.1999998716637489E-4</v>
      </c>
    </row>
    <row r="116" spans="1:20">
      <c r="A116" s="1" t="s">
        <v>39</v>
      </c>
      <c r="B116" s="1">
        <v>4</v>
      </c>
      <c r="C116" s="1">
        <v>0</v>
      </c>
      <c r="D116" s="1" t="s">
        <v>21</v>
      </c>
      <c r="E116" s="1">
        <v>4</v>
      </c>
      <c r="F116" s="1">
        <v>1</v>
      </c>
      <c r="G116" s="1" t="s">
        <v>21</v>
      </c>
      <c r="H116" s="1">
        <v>6</v>
      </c>
      <c r="I116" s="1">
        <v>4</v>
      </c>
      <c r="J116" s="1" t="s">
        <v>21</v>
      </c>
      <c r="K116" s="1">
        <v>6</v>
      </c>
      <c r="L116" s="1" t="s">
        <v>23</v>
      </c>
      <c r="M116" s="1" t="s">
        <v>24</v>
      </c>
      <c r="N116" s="1" t="s">
        <v>21</v>
      </c>
      <c r="O116" s="1">
        <v>199.079995</v>
      </c>
      <c r="P116" s="1">
        <v>222.052819</v>
      </c>
      <c r="Q116" s="2">
        <f t="shared" si="1"/>
        <v>0.11539493960706601</v>
      </c>
      <c r="R116" s="1" t="s">
        <v>125</v>
      </c>
      <c r="S116" s="4">
        <v>19.71</v>
      </c>
      <c r="T116" s="5">
        <v>2.1590001415461299E-4</v>
      </c>
    </row>
    <row r="117" spans="1:20">
      <c r="A117" s="1" t="s">
        <v>40</v>
      </c>
      <c r="B117" s="1">
        <v>2</v>
      </c>
      <c r="C117" s="1">
        <v>0</v>
      </c>
      <c r="D117" s="1" t="s">
        <v>21</v>
      </c>
      <c r="E117" s="1">
        <v>8</v>
      </c>
      <c r="F117" s="1">
        <v>2</v>
      </c>
      <c r="G117" s="1" t="s">
        <v>22</v>
      </c>
      <c r="H117" s="1">
        <v>6</v>
      </c>
      <c r="I117" s="1">
        <v>0</v>
      </c>
      <c r="J117" s="1" t="s">
        <v>21</v>
      </c>
      <c r="K117" s="1">
        <v>0</v>
      </c>
      <c r="L117" s="1" t="s">
        <v>23</v>
      </c>
      <c r="M117" s="1" t="s">
        <v>24</v>
      </c>
      <c r="N117" s="1" t="s">
        <v>21</v>
      </c>
      <c r="O117" s="1">
        <v>148.67999900000001</v>
      </c>
      <c r="P117" s="1">
        <v>156.69394199999999</v>
      </c>
      <c r="Q117" s="2">
        <f t="shared" si="1"/>
        <v>5.3900612415258238E-2</v>
      </c>
      <c r="R117" s="1" t="s">
        <v>125</v>
      </c>
      <c r="S117" s="4">
        <v>20.29</v>
      </c>
      <c r="T117" s="5">
        <v>2.5429995730519289E-4</v>
      </c>
    </row>
    <row r="118" spans="1:20">
      <c r="A118" s="1" t="s">
        <v>41</v>
      </c>
      <c r="B118" s="1">
        <v>2</v>
      </c>
      <c r="C118" s="1">
        <v>0</v>
      </c>
      <c r="D118" s="1" t="s">
        <v>21</v>
      </c>
      <c r="E118" s="1">
        <v>8</v>
      </c>
      <c r="F118" s="1">
        <v>2</v>
      </c>
      <c r="G118" s="1" t="s">
        <v>22</v>
      </c>
      <c r="H118" s="1">
        <v>7</v>
      </c>
      <c r="I118" s="1">
        <v>4</v>
      </c>
      <c r="J118" s="1" t="s">
        <v>21</v>
      </c>
      <c r="K118" s="1">
        <v>3</v>
      </c>
      <c r="L118" s="1" t="s">
        <v>23</v>
      </c>
      <c r="M118" s="1" t="s">
        <v>24</v>
      </c>
      <c r="N118" s="1" t="s">
        <v>22</v>
      </c>
      <c r="O118" s="1">
        <v>187.32000099999999</v>
      </c>
      <c r="P118" s="1">
        <v>180.409369</v>
      </c>
      <c r="Q118" s="2">
        <f t="shared" si="1"/>
        <v>3.6892120238671111E-2</v>
      </c>
      <c r="R118" s="1" t="s">
        <v>125</v>
      </c>
      <c r="S118" s="4">
        <v>19.84</v>
      </c>
      <c r="T118" s="5">
        <v>2.2739998530596489E-4</v>
      </c>
    </row>
    <row r="119" spans="1:20">
      <c r="A119" s="1" t="s">
        <v>42</v>
      </c>
      <c r="B119" s="1">
        <v>3</v>
      </c>
      <c r="C119" s="1">
        <v>0</v>
      </c>
      <c r="D119" s="1" t="s">
        <v>21</v>
      </c>
      <c r="E119" s="1">
        <v>9</v>
      </c>
      <c r="F119" s="1">
        <v>2</v>
      </c>
      <c r="G119" s="1" t="s">
        <v>22</v>
      </c>
      <c r="H119" s="1">
        <v>3</v>
      </c>
      <c r="I119" s="1">
        <v>1</v>
      </c>
      <c r="J119" s="1" t="s">
        <v>21</v>
      </c>
      <c r="K119" s="1">
        <v>6</v>
      </c>
      <c r="L119" s="1" t="s">
        <v>23</v>
      </c>
      <c r="M119" s="1" t="s">
        <v>24</v>
      </c>
      <c r="N119" s="1" t="s">
        <v>22</v>
      </c>
      <c r="O119" s="1">
        <v>265.72000100000002</v>
      </c>
      <c r="P119" s="1">
        <v>205.98150899999999</v>
      </c>
      <c r="Q119" s="2">
        <f t="shared" si="1"/>
        <v>0.22481744609055618</v>
      </c>
      <c r="R119" s="1" t="s">
        <v>125</v>
      </c>
      <c r="S119" s="4">
        <v>19.72</v>
      </c>
      <c r="T119" s="5">
        <v>2.2630003513768321E-4</v>
      </c>
    </row>
    <row r="120" spans="1:20">
      <c r="A120" s="1" t="s">
        <v>43</v>
      </c>
      <c r="B120" s="1">
        <v>3</v>
      </c>
      <c r="C120" s="1">
        <v>0</v>
      </c>
      <c r="D120" s="1" t="s">
        <v>21</v>
      </c>
      <c r="E120" s="1">
        <v>9</v>
      </c>
      <c r="F120" s="1">
        <v>2</v>
      </c>
      <c r="G120" s="1" t="s">
        <v>22</v>
      </c>
      <c r="H120" s="1">
        <v>9</v>
      </c>
      <c r="I120" s="1">
        <v>4</v>
      </c>
      <c r="J120" s="1" t="s">
        <v>21</v>
      </c>
      <c r="K120" s="1">
        <v>3</v>
      </c>
      <c r="L120" s="1" t="s">
        <v>23</v>
      </c>
      <c r="M120" s="1" t="s">
        <v>24</v>
      </c>
      <c r="N120" s="1" t="s">
        <v>22</v>
      </c>
      <c r="O120" s="1">
        <v>404.32000099999999</v>
      </c>
      <c r="P120" s="1">
        <v>414.85088400000001</v>
      </c>
      <c r="Q120" s="2">
        <f t="shared" si="1"/>
        <v>2.6045911589716329E-2</v>
      </c>
      <c r="R120" s="1" t="s">
        <v>125</v>
      </c>
      <c r="S120" s="4">
        <v>19.75</v>
      </c>
      <c r="T120" s="5">
        <v>2.388999564573169E-4</v>
      </c>
    </row>
    <row r="121" spans="1:20">
      <c r="A121" s="1" t="s">
        <v>44</v>
      </c>
      <c r="B121" s="1">
        <v>12</v>
      </c>
      <c r="C121" s="1">
        <v>3</v>
      </c>
      <c r="D121" s="1" t="s">
        <v>21</v>
      </c>
      <c r="E121" s="1">
        <v>5</v>
      </c>
      <c r="F121" s="1">
        <v>2</v>
      </c>
      <c r="G121" s="1" t="s">
        <v>21</v>
      </c>
      <c r="H121" s="1">
        <v>5</v>
      </c>
      <c r="I121" s="1">
        <v>4</v>
      </c>
      <c r="J121" s="1" t="s">
        <v>21</v>
      </c>
      <c r="K121" s="1">
        <v>0</v>
      </c>
      <c r="L121" s="1" t="s">
        <v>23</v>
      </c>
      <c r="M121" s="1" t="s">
        <v>24</v>
      </c>
      <c r="N121" s="1" t="s">
        <v>21</v>
      </c>
      <c r="O121" s="1">
        <v>274.39999799999998</v>
      </c>
      <c r="P121" s="1">
        <v>282.76423799999998</v>
      </c>
      <c r="Q121" s="2">
        <f t="shared" si="1"/>
        <v>3.0481924420422173E-2</v>
      </c>
      <c r="R121" s="1" t="s">
        <v>125</v>
      </c>
      <c r="S121" s="4">
        <v>21.11</v>
      </c>
      <c r="T121" s="5">
        <v>2.263999776914716E-4</v>
      </c>
    </row>
    <row r="122" spans="1:20">
      <c r="A122" s="1" t="s">
        <v>45</v>
      </c>
      <c r="B122" s="1">
        <v>10</v>
      </c>
      <c r="C122" s="1">
        <v>4</v>
      </c>
      <c r="D122" s="1" t="s">
        <v>21</v>
      </c>
      <c r="E122" s="1">
        <v>6</v>
      </c>
      <c r="F122" s="1">
        <v>0</v>
      </c>
      <c r="G122" s="1" t="s">
        <v>22</v>
      </c>
      <c r="H122" s="1">
        <v>6</v>
      </c>
      <c r="I122" s="1">
        <v>4</v>
      </c>
      <c r="J122" s="1" t="s">
        <v>21</v>
      </c>
      <c r="K122" s="1">
        <v>3</v>
      </c>
      <c r="L122" s="1" t="s">
        <v>23</v>
      </c>
      <c r="M122" s="1" t="s">
        <v>24</v>
      </c>
      <c r="N122" s="1" t="s">
        <v>21</v>
      </c>
      <c r="O122" s="1">
        <v>368.199995</v>
      </c>
      <c r="P122" s="1">
        <v>360.18549100000001</v>
      </c>
      <c r="Q122" s="2">
        <f t="shared" si="1"/>
        <v>2.1766714038113956E-2</v>
      </c>
      <c r="R122" s="1" t="s">
        <v>125</v>
      </c>
      <c r="S122" s="4">
        <v>19.93</v>
      </c>
      <c r="T122" s="5">
        <v>2.2769998759031301E-4</v>
      </c>
    </row>
    <row r="123" spans="1:20">
      <c r="A123" s="1" t="s">
        <v>46</v>
      </c>
      <c r="B123" s="1">
        <v>6</v>
      </c>
      <c r="C123" s="1">
        <v>4</v>
      </c>
      <c r="D123" s="1" t="s">
        <v>22</v>
      </c>
      <c r="E123" s="1">
        <v>10</v>
      </c>
      <c r="F123" s="1">
        <v>0</v>
      </c>
      <c r="G123" s="1" t="s">
        <v>21</v>
      </c>
      <c r="H123" s="1">
        <v>3</v>
      </c>
      <c r="I123" s="1">
        <v>2</v>
      </c>
      <c r="J123" s="1" t="s">
        <v>21</v>
      </c>
      <c r="K123" s="1">
        <v>2</v>
      </c>
      <c r="L123" s="1" t="s">
        <v>23</v>
      </c>
      <c r="M123" s="1" t="s">
        <v>24</v>
      </c>
      <c r="N123" s="1" t="s">
        <v>21</v>
      </c>
      <c r="O123" s="1">
        <v>642.03999299999998</v>
      </c>
      <c r="P123" s="1">
        <v>742.35668199999998</v>
      </c>
      <c r="Q123" s="2">
        <f t="shared" si="1"/>
        <v>0.1562467916231505</v>
      </c>
      <c r="R123" s="1" t="s">
        <v>125</v>
      </c>
      <c r="S123" s="4">
        <v>19.8</v>
      </c>
      <c r="T123" s="5">
        <v>2.5139999343082309E-4</v>
      </c>
    </row>
    <row r="124" spans="1:20">
      <c r="A124" s="1" t="s">
        <v>47</v>
      </c>
      <c r="B124" s="1">
        <v>16</v>
      </c>
      <c r="C124" s="1">
        <v>0</v>
      </c>
      <c r="D124" s="1" t="s">
        <v>21</v>
      </c>
      <c r="E124" s="1">
        <v>6</v>
      </c>
      <c r="F124" s="1">
        <v>4</v>
      </c>
      <c r="G124" s="1" t="s">
        <v>21</v>
      </c>
      <c r="H124" s="1">
        <v>3</v>
      </c>
      <c r="I124" s="1">
        <v>2</v>
      </c>
      <c r="J124" s="1" t="s">
        <v>21</v>
      </c>
      <c r="K124" s="1">
        <v>1</v>
      </c>
      <c r="L124" s="1" t="s">
        <v>23</v>
      </c>
      <c r="M124" s="1" t="s">
        <v>24</v>
      </c>
      <c r="N124" s="1" t="s">
        <v>21</v>
      </c>
      <c r="O124" s="1">
        <v>280.27999899999998</v>
      </c>
      <c r="P124" s="1">
        <v>294.20392500000003</v>
      </c>
      <c r="Q124" s="2">
        <f t="shared" si="1"/>
        <v>4.9678628691589413E-2</v>
      </c>
      <c r="R124" s="1" t="s">
        <v>125</v>
      </c>
      <c r="S124" s="4">
        <v>20.3</v>
      </c>
      <c r="T124" s="5">
        <v>2.5340000865980977E-4</v>
      </c>
    </row>
    <row r="125" spans="1:20">
      <c r="A125" s="1" t="s">
        <v>48</v>
      </c>
      <c r="B125" s="1">
        <v>8</v>
      </c>
      <c r="C125" s="1">
        <v>4</v>
      </c>
      <c r="D125" s="1" t="s">
        <v>21</v>
      </c>
      <c r="E125" s="1">
        <v>6</v>
      </c>
      <c r="F125" s="1">
        <v>0</v>
      </c>
      <c r="G125" s="1" t="s">
        <v>22</v>
      </c>
      <c r="H125" s="1">
        <v>6</v>
      </c>
      <c r="I125" s="1">
        <v>4</v>
      </c>
      <c r="J125" s="1" t="s">
        <v>21</v>
      </c>
      <c r="K125" s="1">
        <v>6</v>
      </c>
      <c r="L125" s="1" t="s">
        <v>23</v>
      </c>
      <c r="M125" s="1" t="s">
        <v>24</v>
      </c>
      <c r="N125" s="1" t="s">
        <v>21</v>
      </c>
      <c r="O125" s="1">
        <v>474.03999099999999</v>
      </c>
      <c r="P125" s="1">
        <v>473.72697299999999</v>
      </c>
      <c r="Q125" s="2">
        <f t="shared" si="1"/>
        <v>6.6031981677258872E-4</v>
      </c>
      <c r="R125" s="1" t="s">
        <v>125</v>
      </c>
      <c r="S125" s="4">
        <v>19.73</v>
      </c>
      <c r="T125" s="5">
        <v>2.4189997930079701E-4</v>
      </c>
    </row>
    <row r="126" spans="1:20">
      <c r="A126" s="1" t="s">
        <v>49</v>
      </c>
      <c r="B126" s="1">
        <v>20</v>
      </c>
      <c r="C126" s="1">
        <v>1</v>
      </c>
      <c r="D126" s="1" t="s">
        <v>21</v>
      </c>
      <c r="E126" s="1">
        <v>5</v>
      </c>
      <c r="F126" s="1">
        <v>4</v>
      </c>
      <c r="G126" s="1" t="s">
        <v>21</v>
      </c>
      <c r="H126" s="1">
        <v>4</v>
      </c>
      <c r="I126" s="1">
        <v>3</v>
      </c>
      <c r="J126" s="1" t="s">
        <v>21</v>
      </c>
      <c r="K126" s="1">
        <v>2</v>
      </c>
      <c r="L126" s="1" t="s">
        <v>23</v>
      </c>
      <c r="M126" s="1" t="s">
        <v>24</v>
      </c>
      <c r="N126" s="1" t="s">
        <v>22</v>
      </c>
      <c r="O126" s="1">
        <v>407.96</v>
      </c>
      <c r="P126" s="1">
        <v>401.94995699999998</v>
      </c>
      <c r="Q126" s="2">
        <f t="shared" si="1"/>
        <v>1.47319418570448E-2</v>
      </c>
      <c r="R126" s="1" t="s">
        <v>125</v>
      </c>
      <c r="S126" s="4">
        <v>20.54</v>
      </c>
      <c r="T126" s="5">
        <v>2.375000040046871E-4</v>
      </c>
    </row>
    <row r="127" spans="1:20">
      <c r="A127" s="1" t="s">
        <v>50</v>
      </c>
      <c r="B127" s="1">
        <v>4</v>
      </c>
      <c r="C127" s="1">
        <v>1</v>
      </c>
      <c r="D127" s="1" t="s">
        <v>22</v>
      </c>
      <c r="E127" s="1">
        <v>16</v>
      </c>
      <c r="F127" s="1">
        <v>1</v>
      </c>
      <c r="G127" s="1" t="s">
        <v>21</v>
      </c>
      <c r="H127" s="1">
        <v>6</v>
      </c>
      <c r="I127" s="1">
        <v>2</v>
      </c>
      <c r="J127" s="1" t="s">
        <v>21</v>
      </c>
      <c r="K127" s="1">
        <v>1</v>
      </c>
      <c r="L127" s="1" t="s">
        <v>23</v>
      </c>
      <c r="M127" s="1" t="s">
        <v>24</v>
      </c>
      <c r="N127" s="1" t="s">
        <v>22</v>
      </c>
      <c r="O127" s="1">
        <v>687.67999499999996</v>
      </c>
      <c r="P127" s="1">
        <v>718.70106799999996</v>
      </c>
      <c r="Q127" s="2">
        <f t="shared" si="1"/>
        <v>4.5109750502484815E-2</v>
      </c>
      <c r="R127" s="1" t="s">
        <v>125</v>
      </c>
      <c r="S127" s="4">
        <v>20.079999999999998</v>
      </c>
      <c r="T127" s="5">
        <v>2.335999743081629E-4</v>
      </c>
    </row>
    <row r="128" spans="1:20">
      <c r="A128" s="1" t="s">
        <v>51</v>
      </c>
      <c r="B128" s="1">
        <v>4</v>
      </c>
      <c r="C128" s="1">
        <v>0</v>
      </c>
      <c r="D128" s="1" t="s">
        <v>21</v>
      </c>
      <c r="E128" s="1">
        <v>16</v>
      </c>
      <c r="F128" s="1">
        <v>3</v>
      </c>
      <c r="G128" s="1" t="s">
        <v>22</v>
      </c>
      <c r="H128" s="1">
        <v>6</v>
      </c>
      <c r="I128" s="1">
        <v>3</v>
      </c>
      <c r="J128" s="1" t="s">
        <v>21</v>
      </c>
      <c r="K128" s="1">
        <v>1</v>
      </c>
      <c r="L128" s="1" t="s">
        <v>23</v>
      </c>
      <c r="M128" s="1" t="s">
        <v>24</v>
      </c>
      <c r="N128" s="1" t="s">
        <v>21</v>
      </c>
      <c r="O128" s="1">
        <v>604.79999299999997</v>
      </c>
      <c r="P128" s="1">
        <v>635.04872599999999</v>
      </c>
      <c r="Q128" s="2">
        <f t="shared" si="1"/>
        <v>5.0014440062997843E-2</v>
      </c>
      <c r="R128" s="1" t="s">
        <v>125</v>
      </c>
      <c r="S128" s="4">
        <v>19.37</v>
      </c>
      <c r="T128" s="5">
        <v>2.5420001475140452E-4</v>
      </c>
    </row>
    <row r="129" spans="1:20">
      <c r="A129" s="1" t="s">
        <v>52</v>
      </c>
      <c r="B129" s="1">
        <v>3</v>
      </c>
      <c r="C129" s="1">
        <v>0</v>
      </c>
      <c r="D129" s="1" t="s">
        <v>21</v>
      </c>
      <c r="E129" s="1">
        <v>9</v>
      </c>
      <c r="F129" s="1">
        <v>4</v>
      </c>
      <c r="G129" s="1" t="s">
        <v>21</v>
      </c>
      <c r="H129" s="1">
        <v>6</v>
      </c>
      <c r="I129" s="1">
        <v>4</v>
      </c>
      <c r="J129" s="1" t="s">
        <v>21</v>
      </c>
      <c r="K129" s="1">
        <v>2</v>
      </c>
      <c r="L129" s="1" t="s">
        <v>23</v>
      </c>
      <c r="M129" s="1" t="s">
        <v>24</v>
      </c>
      <c r="N129" s="1" t="s">
        <v>22</v>
      </c>
      <c r="O129" s="1">
        <v>325.36</v>
      </c>
      <c r="P129" s="1">
        <v>285.515805</v>
      </c>
      <c r="Q129" s="2">
        <f t="shared" si="1"/>
        <v>0.12246187300221296</v>
      </c>
      <c r="R129" s="1" t="s">
        <v>125</v>
      </c>
      <c r="S129" s="4">
        <v>19.829999999999998</v>
      </c>
      <c r="T129" s="5">
        <v>2.2200000239536169E-4</v>
      </c>
    </row>
    <row r="130" spans="1:20">
      <c r="A130" s="1" t="s">
        <v>53</v>
      </c>
      <c r="B130" s="1">
        <v>20</v>
      </c>
      <c r="C130" s="1">
        <v>3</v>
      </c>
      <c r="D130" s="1" t="s">
        <v>21</v>
      </c>
      <c r="E130" s="1">
        <v>5</v>
      </c>
      <c r="F130" s="1">
        <v>2</v>
      </c>
      <c r="G130" s="1" t="s">
        <v>21</v>
      </c>
      <c r="H130" s="1">
        <v>5</v>
      </c>
      <c r="I130" s="1">
        <v>4</v>
      </c>
      <c r="J130" s="1" t="s">
        <v>21</v>
      </c>
      <c r="K130" s="1">
        <v>3</v>
      </c>
      <c r="L130" s="1" t="s">
        <v>23</v>
      </c>
      <c r="M130" s="1" t="s">
        <v>24</v>
      </c>
      <c r="N130" s="1" t="s">
        <v>21</v>
      </c>
      <c r="O130" s="1">
        <v>463.67999500000002</v>
      </c>
      <c r="P130" s="1">
        <v>454.47800999999998</v>
      </c>
      <c r="Q130" s="2">
        <f t="shared" ref="Q130:Q193" si="2">ABS(P130-O130)/O130</f>
        <v>1.9845551024904654E-2</v>
      </c>
      <c r="R130" s="1" t="s">
        <v>125</v>
      </c>
      <c r="S130" s="4">
        <v>20.48</v>
      </c>
      <c r="T130" s="5">
        <v>2.2980000358074901E-4</v>
      </c>
    </row>
    <row r="131" spans="1:20">
      <c r="A131" s="1" t="s">
        <v>54</v>
      </c>
      <c r="B131" s="1">
        <v>2</v>
      </c>
      <c r="C131" s="1">
        <v>1</v>
      </c>
      <c r="D131" s="1" t="s">
        <v>22</v>
      </c>
      <c r="E131" s="1">
        <v>8</v>
      </c>
      <c r="F131" s="1">
        <v>2</v>
      </c>
      <c r="G131" s="1" t="s">
        <v>21</v>
      </c>
      <c r="H131" s="1">
        <v>2</v>
      </c>
      <c r="I131" s="1">
        <v>1</v>
      </c>
      <c r="J131" s="1" t="s">
        <v>21</v>
      </c>
      <c r="K131" s="1">
        <v>0</v>
      </c>
      <c r="L131" s="1" t="s">
        <v>23</v>
      </c>
      <c r="M131" s="1" t="s">
        <v>24</v>
      </c>
      <c r="N131" s="1" t="s">
        <v>21</v>
      </c>
      <c r="O131" s="1">
        <v>115.079999</v>
      </c>
      <c r="P131" s="1">
        <v>111.784649</v>
      </c>
      <c r="Q131" s="2">
        <f t="shared" si="2"/>
        <v>2.8635297433396736E-2</v>
      </c>
      <c r="R131" s="1" t="s">
        <v>125</v>
      </c>
      <c r="S131" s="4">
        <v>20.399999999999999</v>
      </c>
      <c r="T131" s="5">
        <v>2.2119999630376699E-4</v>
      </c>
    </row>
    <row r="132" spans="1:20">
      <c r="A132" s="1" t="s">
        <v>55</v>
      </c>
      <c r="B132" s="1">
        <v>12</v>
      </c>
      <c r="C132" s="1">
        <v>4</v>
      </c>
      <c r="D132" s="1" t="s">
        <v>21</v>
      </c>
      <c r="E132" s="1">
        <v>5</v>
      </c>
      <c r="F132" s="1">
        <v>0</v>
      </c>
      <c r="G132" s="1" t="s">
        <v>22</v>
      </c>
      <c r="H132" s="1">
        <v>5</v>
      </c>
      <c r="I132" s="1">
        <v>3</v>
      </c>
      <c r="J132" s="1" t="s">
        <v>21</v>
      </c>
      <c r="K132" s="1">
        <v>3</v>
      </c>
      <c r="L132" s="1" t="s">
        <v>23</v>
      </c>
      <c r="M132" s="1" t="s">
        <v>24</v>
      </c>
      <c r="N132" s="1" t="s">
        <v>22</v>
      </c>
      <c r="O132" s="1">
        <v>353.92000100000001</v>
      </c>
      <c r="P132" s="1">
        <v>342.93802699999998</v>
      </c>
      <c r="Q132" s="2">
        <f t="shared" si="2"/>
        <v>3.102953766096999E-2</v>
      </c>
      <c r="R132" s="1" t="s">
        <v>125</v>
      </c>
      <c r="S132" s="4">
        <v>19.66</v>
      </c>
      <c r="T132" s="5">
        <v>2.2030004765838379E-4</v>
      </c>
    </row>
    <row r="133" spans="1:20">
      <c r="A133" s="1" t="s">
        <v>56</v>
      </c>
      <c r="B133" s="1">
        <v>5</v>
      </c>
      <c r="C133" s="1">
        <v>0</v>
      </c>
      <c r="D133" s="1" t="s">
        <v>22</v>
      </c>
      <c r="E133" s="1">
        <v>20</v>
      </c>
      <c r="F133" s="1">
        <v>2</v>
      </c>
      <c r="G133" s="1" t="s">
        <v>21</v>
      </c>
      <c r="H133" s="1">
        <v>7</v>
      </c>
      <c r="I133" s="1">
        <v>3</v>
      </c>
      <c r="J133" s="1" t="s">
        <v>21</v>
      </c>
      <c r="K133" s="1">
        <v>3</v>
      </c>
      <c r="L133" s="1" t="s">
        <v>23</v>
      </c>
      <c r="M133" s="1" t="s">
        <v>24</v>
      </c>
      <c r="N133" s="1" t="s">
        <v>21</v>
      </c>
      <c r="O133" s="1">
        <v>1116.3599879999999</v>
      </c>
      <c r="P133" s="1">
        <v>1280.7710259999999</v>
      </c>
      <c r="Q133" s="2">
        <f t="shared" si="2"/>
        <v>0.14727421241113128</v>
      </c>
      <c r="R133" s="1" t="s">
        <v>125</v>
      </c>
      <c r="S133" s="4">
        <v>19.78</v>
      </c>
      <c r="T133" s="5">
        <v>2.3190001957118511E-4</v>
      </c>
    </row>
    <row r="134" spans="1:20">
      <c r="A134" s="1" t="s">
        <v>57</v>
      </c>
      <c r="B134" s="1">
        <v>24</v>
      </c>
      <c r="C134" s="1">
        <v>5</v>
      </c>
      <c r="D134" s="1" t="s">
        <v>21</v>
      </c>
      <c r="E134" s="1">
        <v>6</v>
      </c>
      <c r="F134" s="1">
        <v>0</v>
      </c>
      <c r="G134" s="1" t="s">
        <v>21</v>
      </c>
      <c r="H134" s="1">
        <v>5</v>
      </c>
      <c r="I134" s="1">
        <v>4</v>
      </c>
      <c r="J134" s="1" t="s">
        <v>21</v>
      </c>
      <c r="K134" s="1">
        <v>3</v>
      </c>
      <c r="L134" s="1" t="s">
        <v>23</v>
      </c>
      <c r="M134" s="1" t="s">
        <v>24</v>
      </c>
      <c r="N134" s="1" t="s">
        <v>21</v>
      </c>
      <c r="O134" s="1">
        <v>505.11999500000002</v>
      </c>
      <c r="P134" s="1">
        <v>495.68514599999997</v>
      </c>
      <c r="Q134" s="2">
        <f t="shared" si="2"/>
        <v>1.8678431052803684E-2</v>
      </c>
      <c r="R134" s="1" t="s">
        <v>125</v>
      </c>
      <c r="S134" s="4">
        <v>20.83</v>
      </c>
      <c r="T134" s="5">
        <v>2.2220000391826031E-4</v>
      </c>
    </row>
    <row r="135" spans="1:20">
      <c r="A135" s="1" t="s">
        <v>58</v>
      </c>
      <c r="B135" s="1">
        <v>4</v>
      </c>
      <c r="C135" s="1">
        <v>1</v>
      </c>
      <c r="D135" s="1" t="s">
        <v>21</v>
      </c>
      <c r="E135" s="1">
        <v>16</v>
      </c>
      <c r="F135" s="1">
        <v>3</v>
      </c>
      <c r="G135" s="1" t="s">
        <v>21</v>
      </c>
      <c r="H135" s="1">
        <v>4</v>
      </c>
      <c r="I135" s="1">
        <v>3</v>
      </c>
      <c r="J135" s="1" t="s">
        <v>21</v>
      </c>
      <c r="K135" s="1">
        <v>2</v>
      </c>
      <c r="L135" s="1" t="s">
        <v>23</v>
      </c>
      <c r="M135" s="1" t="s">
        <v>24</v>
      </c>
      <c r="N135" s="1" t="s">
        <v>22</v>
      </c>
      <c r="O135" s="1">
        <v>710.35999500000003</v>
      </c>
      <c r="P135" s="1">
        <v>833.48755300000005</v>
      </c>
      <c r="Q135" s="2">
        <f t="shared" si="2"/>
        <v>0.17333121074758723</v>
      </c>
      <c r="R135" s="1" t="s">
        <v>125</v>
      </c>
      <c r="S135" s="4">
        <v>20.12</v>
      </c>
      <c r="T135" s="5">
        <v>2.2620003437623379E-4</v>
      </c>
    </row>
    <row r="136" spans="1:20">
      <c r="A136" s="1" t="s">
        <v>59</v>
      </c>
      <c r="B136" s="1">
        <v>6</v>
      </c>
      <c r="C136" s="1">
        <v>0</v>
      </c>
      <c r="D136" s="1" t="s">
        <v>21</v>
      </c>
      <c r="E136" s="1">
        <v>16</v>
      </c>
      <c r="F136" s="1">
        <v>3</v>
      </c>
      <c r="G136" s="1" t="s">
        <v>21</v>
      </c>
      <c r="H136" s="1">
        <v>7</v>
      </c>
      <c r="I136" s="1">
        <v>4</v>
      </c>
      <c r="J136" s="1" t="s">
        <v>21</v>
      </c>
      <c r="K136" s="1">
        <v>2</v>
      </c>
      <c r="L136" s="1" t="s">
        <v>23</v>
      </c>
      <c r="M136" s="1" t="s">
        <v>24</v>
      </c>
      <c r="N136" s="1" t="s">
        <v>21</v>
      </c>
      <c r="O136" s="1">
        <v>1087.7999890000001</v>
      </c>
      <c r="P136" s="1">
        <v>1223.0964369999999</v>
      </c>
      <c r="Q136" s="2">
        <f t="shared" si="2"/>
        <v>0.12437621747392738</v>
      </c>
      <c r="R136" s="1" t="s">
        <v>125</v>
      </c>
      <c r="S136" s="4">
        <v>20.350000000000001</v>
      </c>
      <c r="T136" s="5">
        <v>2.29500001296401E-4</v>
      </c>
    </row>
    <row r="137" spans="1:20">
      <c r="A137" s="1" t="s">
        <v>60</v>
      </c>
      <c r="B137" s="1">
        <v>6</v>
      </c>
      <c r="C137" s="1">
        <v>2</v>
      </c>
      <c r="D137" s="1" t="s">
        <v>21</v>
      </c>
      <c r="E137" s="1">
        <v>24</v>
      </c>
      <c r="F137" s="1">
        <v>1</v>
      </c>
      <c r="G137" s="1" t="s">
        <v>21</v>
      </c>
      <c r="H137" s="1">
        <v>5</v>
      </c>
      <c r="I137" s="1">
        <v>4</v>
      </c>
      <c r="J137" s="1" t="s">
        <v>21</v>
      </c>
      <c r="K137" s="1">
        <v>1</v>
      </c>
      <c r="L137" s="1" t="s">
        <v>23</v>
      </c>
      <c r="M137" s="1" t="s">
        <v>24</v>
      </c>
      <c r="N137" s="1" t="s">
        <v>21</v>
      </c>
      <c r="O137" s="1">
        <v>1486.7999870000001</v>
      </c>
      <c r="P137" s="1">
        <v>1564.1943960000001</v>
      </c>
      <c r="Q137" s="2">
        <f t="shared" si="2"/>
        <v>5.2054351410214257E-2</v>
      </c>
      <c r="R137" s="1" t="s">
        <v>125</v>
      </c>
      <c r="S137" s="4">
        <v>21.04</v>
      </c>
      <c r="T137" s="5">
        <v>2.4439999833703041E-4</v>
      </c>
    </row>
    <row r="138" spans="1:20">
      <c r="A138" s="1" t="s">
        <v>61</v>
      </c>
      <c r="B138" s="1">
        <v>6</v>
      </c>
      <c r="C138" s="1">
        <v>2</v>
      </c>
      <c r="D138" s="1" t="s">
        <v>22</v>
      </c>
      <c r="E138" s="1">
        <v>10</v>
      </c>
      <c r="F138" s="1">
        <v>2</v>
      </c>
      <c r="G138" s="1" t="s">
        <v>21</v>
      </c>
      <c r="H138" s="1">
        <v>2</v>
      </c>
      <c r="I138" s="1">
        <v>0</v>
      </c>
      <c r="J138" s="1" t="s">
        <v>21</v>
      </c>
      <c r="K138" s="1">
        <v>3</v>
      </c>
      <c r="L138" s="1" t="s">
        <v>23</v>
      </c>
      <c r="M138" s="1" t="s">
        <v>24</v>
      </c>
      <c r="N138" s="1" t="s">
        <v>21</v>
      </c>
      <c r="O138" s="1">
        <v>650.71999300000004</v>
      </c>
      <c r="P138" s="1">
        <v>752.77713500000004</v>
      </c>
      <c r="Q138" s="2">
        <f t="shared" si="2"/>
        <v>0.15683726195269981</v>
      </c>
      <c r="R138" s="1" t="s">
        <v>125</v>
      </c>
      <c r="S138" s="4">
        <v>19.940000000000001</v>
      </c>
      <c r="T138" s="5">
        <v>2.5949999690055853E-4</v>
      </c>
    </row>
    <row r="139" spans="1:20">
      <c r="A139" s="1" t="s">
        <v>62</v>
      </c>
      <c r="B139" s="1">
        <v>10</v>
      </c>
      <c r="C139" s="1">
        <v>3</v>
      </c>
      <c r="D139" s="1" t="s">
        <v>22</v>
      </c>
      <c r="E139" s="1">
        <v>6</v>
      </c>
      <c r="F139" s="1">
        <v>0</v>
      </c>
      <c r="G139" s="1" t="s">
        <v>21</v>
      </c>
      <c r="H139" s="1">
        <v>4</v>
      </c>
      <c r="I139" s="1">
        <v>1</v>
      </c>
      <c r="J139" s="1" t="s">
        <v>21</v>
      </c>
      <c r="K139" s="1">
        <v>3</v>
      </c>
      <c r="L139" s="1" t="s">
        <v>23</v>
      </c>
      <c r="M139" s="1" t="s">
        <v>24</v>
      </c>
      <c r="N139" s="1" t="s">
        <v>22</v>
      </c>
      <c r="O139" s="1">
        <v>288.39999999999998</v>
      </c>
      <c r="P139" s="1">
        <v>285.05600199999998</v>
      </c>
      <c r="Q139" s="2">
        <f t="shared" si="2"/>
        <v>1.1594999999999998E-2</v>
      </c>
      <c r="R139" s="1" t="s">
        <v>125</v>
      </c>
      <c r="S139" s="4">
        <v>19.420000000000002</v>
      </c>
      <c r="T139" s="5">
        <v>2.7000001864507789E-4</v>
      </c>
    </row>
    <row r="140" spans="1:20">
      <c r="A140" s="1" t="s">
        <v>63</v>
      </c>
      <c r="B140" s="1">
        <v>2</v>
      </c>
      <c r="C140" s="1">
        <v>1</v>
      </c>
      <c r="D140" s="1" t="s">
        <v>21</v>
      </c>
      <c r="E140" s="1">
        <v>8</v>
      </c>
      <c r="F140" s="1">
        <v>2</v>
      </c>
      <c r="G140" s="1" t="s">
        <v>22</v>
      </c>
      <c r="H140" s="1">
        <v>5</v>
      </c>
      <c r="I140" s="1">
        <v>4</v>
      </c>
      <c r="J140" s="1" t="s">
        <v>21</v>
      </c>
      <c r="K140" s="1">
        <v>1</v>
      </c>
      <c r="L140" s="1" t="s">
        <v>23</v>
      </c>
      <c r="M140" s="1" t="s">
        <v>24</v>
      </c>
      <c r="N140" s="1" t="s">
        <v>21</v>
      </c>
      <c r="O140" s="1">
        <v>108.079999</v>
      </c>
      <c r="P140" s="1">
        <v>99.044577000000004</v>
      </c>
      <c r="Q140" s="2">
        <f t="shared" si="2"/>
        <v>8.3599390114724156E-2</v>
      </c>
      <c r="R140" s="1" t="s">
        <v>125</v>
      </c>
      <c r="S140" s="4">
        <v>20.16</v>
      </c>
      <c r="T140" s="5">
        <v>2.3389997659251091E-4</v>
      </c>
    </row>
    <row r="141" spans="1:20">
      <c r="A141" s="1" t="s">
        <v>64</v>
      </c>
      <c r="B141" s="1">
        <v>20</v>
      </c>
      <c r="C141" s="1">
        <v>5</v>
      </c>
      <c r="D141" s="1" t="s">
        <v>21</v>
      </c>
      <c r="E141" s="1">
        <v>5</v>
      </c>
      <c r="F141" s="1">
        <v>0</v>
      </c>
      <c r="G141" s="1" t="s">
        <v>21</v>
      </c>
      <c r="H141" s="1">
        <v>3</v>
      </c>
      <c r="I141" s="1">
        <v>2</v>
      </c>
      <c r="J141" s="1" t="s">
        <v>21</v>
      </c>
      <c r="K141" s="1">
        <v>0</v>
      </c>
      <c r="L141" s="1" t="s">
        <v>23</v>
      </c>
      <c r="M141" s="1" t="s">
        <v>24</v>
      </c>
      <c r="N141" s="1" t="s">
        <v>22</v>
      </c>
      <c r="O141" s="1">
        <v>326.199997</v>
      </c>
      <c r="P141" s="1">
        <v>341.43497000000002</v>
      </c>
      <c r="Q141" s="2">
        <f t="shared" si="2"/>
        <v>4.6704393439954646E-2</v>
      </c>
      <c r="R141" s="1" t="s">
        <v>125</v>
      </c>
      <c r="S141" s="4">
        <v>21.65</v>
      </c>
      <c r="T141" s="5">
        <v>2.3689999943599099E-4</v>
      </c>
    </row>
    <row r="142" spans="1:20">
      <c r="A142" s="1" t="s">
        <v>65</v>
      </c>
      <c r="B142" s="1">
        <v>6</v>
      </c>
      <c r="C142" s="1">
        <v>5</v>
      </c>
      <c r="D142" s="1" t="s">
        <v>22</v>
      </c>
      <c r="E142" s="1">
        <v>8</v>
      </c>
      <c r="F142" s="1">
        <v>0</v>
      </c>
      <c r="G142" s="1" t="s">
        <v>21</v>
      </c>
      <c r="H142" s="1">
        <v>2</v>
      </c>
      <c r="I142" s="1">
        <v>1</v>
      </c>
      <c r="J142" s="1" t="s">
        <v>21</v>
      </c>
      <c r="K142" s="1">
        <v>1</v>
      </c>
      <c r="L142" s="1" t="s">
        <v>23</v>
      </c>
      <c r="M142" s="1" t="s">
        <v>24</v>
      </c>
      <c r="N142" s="1" t="s">
        <v>22</v>
      </c>
      <c r="O142" s="1">
        <v>465.91999600000003</v>
      </c>
      <c r="P142" s="1">
        <v>226.011166</v>
      </c>
      <c r="Q142" s="2">
        <f t="shared" si="2"/>
        <v>0.51491421716100805</v>
      </c>
      <c r="R142" s="1" t="s">
        <v>125</v>
      </c>
      <c r="S142" s="4">
        <v>19.27</v>
      </c>
      <c r="T142" s="5">
        <v>2.4179997853934759E-4</v>
      </c>
    </row>
    <row r="143" spans="1:20">
      <c r="A143" s="1" t="s">
        <v>66</v>
      </c>
      <c r="B143" s="1">
        <v>16</v>
      </c>
      <c r="C143" s="1">
        <v>1</v>
      </c>
      <c r="D143" s="1" t="s">
        <v>21</v>
      </c>
      <c r="E143" s="1">
        <v>4</v>
      </c>
      <c r="F143" s="1">
        <v>3</v>
      </c>
      <c r="G143" s="1" t="s">
        <v>22</v>
      </c>
      <c r="H143" s="1">
        <v>4</v>
      </c>
      <c r="I143" s="1">
        <v>2</v>
      </c>
      <c r="J143" s="1" t="s">
        <v>21</v>
      </c>
      <c r="K143" s="1">
        <v>6</v>
      </c>
      <c r="L143" s="1" t="s">
        <v>23</v>
      </c>
      <c r="M143" s="1" t="s">
        <v>24</v>
      </c>
      <c r="N143" s="1" t="s">
        <v>21</v>
      </c>
      <c r="O143" s="1">
        <v>448.27999299999999</v>
      </c>
      <c r="P143" s="1">
        <v>446.82584000000003</v>
      </c>
      <c r="Q143" s="2">
        <f t="shared" si="2"/>
        <v>3.2438498766550186E-3</v>
      </c>
      <c r="R143" s="1" t="s">
        <v>125</v>
      </c>
      <c r="S143" s="4">
        <v>20.05</v>
      </c>
      <c r="T143" s="5">
        <v>2.3449998116120699E-4</v>
      </c>
    </row>
    <row r="144" spans="1:20">
      <c r="A144" s="1" t="s">
        <v>67</v>
      </c>
      <c r="B144" s="1">
        <v>8</v>
      </c>
      <c r="C144" s="1">
        <v>0</v>
      </c>
      <c r="D144" s="1" t="s">
        <v>21</v>
      </c>
      <c r="E144" s="1">
        <v>2</v>
      </c>
      <c r="F144" s="1">
        <v>1</v>
      </c>
      <c r="G144" s="1" t="s">
        <v>22</v>
      </c>
      <c r="H144" s="1">
        <v>6</v>
      </c>
      <c r="I144" s="1">
        <v>2</v>
      </c>
      <c r="J144" s="1" t="s">
        <v>21</v>
      </c>
      <c r="K144" s="1">
        <v>1</v>
      </c>
      <c r="L144" s="1" t="s">
        <v>23</v>
      </c>
      <c r="M144" s="1" t="s">
        <v>24</v>
      </c>
      <c r="N144" s="1" t="s">
        <v>21</v>
      </c>
      <c r="O144" s="1">
        <v>176.67999800000001</v>
      </c>
      <c r="P144" s="1">
        <v>170.545884</v>
      </c>
      <c r="Q144" s="2">
        <f t="shared" si="2"/>
        <v>3.4718780107751701E-2</v>
      </c>
      <c r="R144" s="1" t="s">
        <v>125</v>
      </c>
      <c r="S144" s="4">
        <v>19.760000000000002</v>
      </c>
      <c r="T144" s="5">
        <v>2.2270000772550699E-4</v>
      </c>
    </row>
    <row r="145" spans="1:20">
      <c r="A145" s="1" t="s">
        <v>68</v>
      </c>
      <c r="B145" s="1">
        <v>9</v>
      </c>
      <c r="C145" s="1">
        <v>1</v>
      </c>
      <c r="D145" s="1" t="s">
        <v>22</v>
      </c>
      <c r="E145" s="1">
        <v>3</v>
      </c>
      <c r="F145" s="1">
        <v>2</v>
      </c>
      <c r="G145" s="1" t="s">
        <v>21</v>
      </c>
      <c r="H145" s="1">
        <v>4</v>
      </c>
      <c r="I145" s="1">
        <v>1</v>
      </c>
      <c r="J145" s="1" t="s">
        <v>21</v>
      </c>
      <c r="K145" s="1">
        <v>6</v>
      </c>
      <c r="L145" s="1" t="s">
        <v>23</v>
      </c>
      <c r="M145" s="1" t="s">
        <v>24</v>
      </c>
      <c r="N145" s="1" t="s">
        <v>21</v>
      </c>
      <c r="O145" s="1">
        <v>305.75999300000001</v>
      </c>
      <c r="P145" s="1">
        <v>325.12606799999998</v>
      </c>
      <c r="Q145" s="2">
        <f t="shared" si="2"/>
        <v>6.3337504720573326E-2</v>
      </c>
      <c r="R145" s="1" t="s">
        <v>125</v>
      </c>
      <c r="S145" s="4">
        <v>19.52</v>
      </c>
      <c r="T145" s="5">
        <v>2.5320000713691121E-4</v>
      </c>
    </row>
    <row r="146" spans="1:20">
      <c r="A146" s="1" t="s">
        <v>69</v>
      </c>
      <c r="B146" s="1">
        <v>6</v>
      </c>
      <c r="C146" s="1">
        <v>0</v>
      </c>
      <c r="D146" s="1" t="s">
        <v>21</v>
      </c>
      <c r="E146" s="1">
        <v>16</v>
      </c>
      <c r="F146" s="1">
        <v>4</v>
      </c>
      <c r="G146" s="1" t="s">
        <v>22</v>
      </c>
      <c r="H146" s="1">
        <v>4</v>
      </c>
      <c r="I146" s="1">
        <v>2</v>
      </c>
      <c r="J146" s="1" t="s">
        <v>21</v>
      </c>
      <c r="K146" s="1">
        <v>2</v>
      </c>
      <c r="L146" s="1" t="s">
        <v>23</v>
      </c>
      <c r="M146" s="1" t="s">
        <v>24</v>
      </c>
      <c r="N146" s="1" t="s">
        <v>21</v>
      </c>
      <c r="O146" s="1">
        <v>948.91998899999999</v>
      </c>
      <c r="P146" s="1">
        <v>1086.4558549999999</v>
      </c>
      <c r="Q146" s="2">
        <f t="shared" si="2"/>
        <v>0.14493937064698079</v>
      </c>
      <c r="R146" s="1" t="s">
        <v>125</v>
      </c>
      <c r="S146" s="4">
        <v>20.14</v>
      </c>
      <c r="T146" s="5">
        <v>2.384000108577311E-4</v>
      </c>
    </row>
    <row r="147" spans="1:20">
      <c r="A147" s="1" t="s">
        <v>70</v>
      </c>
      <c r="B147" s="1">
        <v>9</v>
      </c>
      <c r="C147" s="1">
        <v>2</v>
      </c>
      <c r="D147" s="1" t="s">
        <v>21</v>
      </c>
      <c r="E147" s="1">
        <v>3</v>
      </c>
      <c r="F147" s="1">
        <v>1</v>
      </c>
      <c r="G147" s="1" t="s">
        <v>21</v>
      </c>
      <c r="H147" s="1">
        <v>6</v>
      </c>
      <c r="I147" s="1">
        <v>4</v>
      </c>
      <c r="J147" s="1" t="s">
        <v>21</v>
      </c>
      <c r="K147" s="1">
        <v>6</v>
      </c>
      <c r="L147" s="1" t="s">
        <v>23</v>
      </c>
      <c r="M147" s="1" t="s">
        <v>24</v>
      </c>
      <c r="N147" s="1" t="s">
        <v>21</v>
      </c>
      <c r="O147" s="1">
        <v>377.15999299999999</v>
      </c>
      <c r="P147" s="1">
        <v>395.191778</v>
      </c>
      <c r="Q147" s="2">
        <f t="shared" si="2"/>
        <v>4.7809378870149716E-2</v>
      </c>
      <c r="R147" s="1" t="s">
        <v>125</v>
      </c>
      <c r="S147" s="4">
        <v>19.55</v>
      </c>
      <c r="T147" s="5">
        <v>2.2319995332509279E-4</v>
      </c>
    </row>
    <row r="148" spans="1:20">
      <c r="A148" s="1" t="s">
        <v>71</v>
      </c>
      <c r="B148" s="1">
        <v>8</v>
      </c>
      <c r="C148" s="1">
        <v>3</v>
      </c>
      <c r="D148" s="1" t="s">
        <v>21</v>
      </c>
      <c r="E148" s="1">
        <v>4</v>
      </c>
      <c r="F148" s="1">
        <v>1</v>
      </c>
      <c r="G148" s="1" t="s">
        <v>22</v>
      </c>
      <c r="H148" s="1">
        <v>4</v>
      </c>
      <c r="I148" s="1">
        <v>3</v>
      </c>
      <c r="J148" s="1" t="s">
        <v>21</v>
      </c>
      <c r="K148" s="1">
        <v>2</v>
      </c>
      <c r="L148" s="1" t="s">
        <v>23</v>
      </c>
      <c r="M148" s="1" t="s">
        <v>24</v>
      </c>
      <c r="N148" s="1" t="s">
        <v>22</v>
      </c>
      <c r="O148" s="1">
        <v>222.04</v>
      </c>
      <c r="P148" s="1">
        <v>219.90793500000001</v>
      </c>
      <c r="Q148" s="2">
        <f t="shared" si="2"/>
        <v>9.6021662763465278E-3</v>
      </c>
      <c r="R148" s="1" t="s">
        <v>125</v>
      </c>
      <c r="S148" s="4">
        <v>19.3</v>
      </c>
      <c r="T148" s="5">
        <v>2.4580000899732107E-4</v>
      </c>
    </row>
    <row r="149" spans="1:20">
      <c r="A149" s="1" t="s">
        <v>72</v>
      </c>
      <c r="B149" s="1">
        <v>4</v>
      </c>
      <c r="C149" s="1">
        <v>0</v>
      </c>
      <c r="D149" s="1" t="s">
        <v>22</v>
      </c>
      <c r="E149" s="1">
        <v>16</v>
      </c>
      <c r="F149" s="1">
        <v>4</v>
      </c>
      <c r="G149" s="1" t="s">
        <v>21</v>
      </c>
      <c r="H149" s="1">
        <v>4</v>
      </c>
      <c r="I149" s="1">
        <v>2</v>
      </c>
      <c r="J149" s="1" t="s">
        <v>21</v>
      </c>
      <c r="K149" s="1">
        <v>0</v>
      </c>
      <c r="L149" s="1" t="s">
        <v>23</v>
      </c>
      <c r="M149" s="1" t="s">
        <v>24</v>
      </c>
      <c r="N149" s="1" t="s">
        <v>22</v>
      </c>
      <c r="O149" s="1">
        <v>268.51999799999999</v>
      </c>
      <c r="P149" s="1">
        <v>678.90339400000005</v>
      </c>
      <c r="Q149" s="2">
        <f t="shared" si="2"/>
        <v>1.5283159506056605</v>
      </c>
      <c r="R149" s="1" t="s">
        <v>125</v>
      </c>
      <c r="S149" s="4">
        <v>21.19</v>
      </c>
      <c r="T149" s="5">
        <v>2.377999480813742E-4</v>
      </c>
    </row>
    <row r="150" spans="1:20">
      <c r="A150" s="1" t="s">
        <v>73</v>
      </c>
      <c r="B150" s="1">
        <v>8</v>
      </c>
      <c r="C150" s="1">
        <v>1</v>
      </c>
      <c r="D150" s="1" t="s">
        <v>21</v>
      </c>
      <c r="E150" s="1">
        <v>4</v>
      </c>
      <c r="F150" s="1">
        <v>1</v>
      </c>
      <c r="G150" s="1" t="s">
        <v>21</v>
      </c>
      <c r="H150" s="1">
        <v>5</v>
      </c>
      <c r="I150" s="1">
        <v>1</v>
      </c>
      <c r="J150" s="1" t="s">
        <v>21</v>
      </c>
      <c r="K150" s="1">
        <v>1</v>
      </c>
      <c r="L150" s="1" t="s">
        <v>23</v>
      </c>
      <c r="M150" s="1" t="s">
        <v>24</v>
      </c>
      <c r="N150" s="1" t="s">
        <v>22</v>
      </c>
      <c r="O150" s="1">
        <v>256.75999899999999</v>
      </c>
      <c r="P150" s="1">
        <v>265.21588600000001</v>
      </c>
      <c r="Q150" s="2">
        <f t="shared" si="2"/>
        <v>3.2933038763565417E-2</v>
      </c>
      <c r="R150" s="1" t="s">
        <v>125</v>
      </c>
      <c r="S150" s="4">
        <v>20.059999999999999</v>
      </c>
      <c r="T150" s="5">
        <v>2.244000206701458E-4</v>
      </c>
    </row>
    <row r="151" spans="1:20">
      <c r="A151" s="1" t="s">
        <v>74</v>
      </c>
      <c r="B151" s="1">
        <v>6</v>
      </c>
      <c r="C151" s="1">
        <v>2</v>
      </c>
      <c r="D151" s="1" t="s">
        <v>21</v>
      </c>
      <c r="E151" s="1">
        <v>8</v>
      </c>
      <c r="F151" s="1">
        <v>3</v>
      </c>
      <c r="G151" s="1" t="s">
        <v>22</v>
      </c>
      <c r="H151" s="1">
        <v>3</v>
      </c>
      <c r="I151" s="1">
        <v>2</v>
      </c>
      <c r="J151" s="1" t="s">
        <v>21</v>
      </c>
      <c r="K151" s="1">
        <v>3</v>
      </c>
      <c r="L151" s="1" t="s">
        <v>23</v>
      </c>
      <c r="M151" s="1" t="s">
        <v>24</v>
      </c>
      <c r="N151" s="1" t="s">
        <v>22</v>
      </c>
      <c r="O151" s="1">
        <v>522.19999800000005</v>
      </c>
      <c r="P151" s="1">
        <v>273.17361099999999</v>
      </c>
      <c r="Q151" s="2">
        <f t="shared" si="2"/>
        <v>0.47687933350011241</v>
      </c>
      <c r="R151" s="1" t="s">
        <v>125</v>
      </c>
      <c r="S151" s="4">
        <v>19.72</v>
      </c>
      <c r="T151" s="5">
        <v>2.2320001153275371E-4</v>
      </c>
    </row>
    <row r="152" spans="1:20">
      <c r="A152" s="1" t="s">
        <v>75</v>
      </c>
      <c r="B152" s="1">
        <v>2</v>
      </c>
      <c r="C152" s="1">
        <v>1</v>
      </c>
      <c r="D152" s="1" t="s">
        <v>21</v>
      </c>
      <c r="E152" s="1">
        <v>8</v>
      </c>
      <c r="F152" s="1">
        <v>3</v>
      </c>
      <c r="G152" s="1" t="s">
        <v>22</v>
      </c>
      <c r="H152" s="1">
        <v>6</v>
      </c>
      <c r="I152" s="1">
        <v>4</v>
      </c>
      <c r="J152" s="1" t="s">
        <v>21</v>
      </c>
      <c r="K152" s="1">
        <v>2</v>
      </c>
      <c r="L152" s="1" t="s">
        <v>23</v>
      </c>
      <c r="M152" s="1" t="s">
        <v>24</v>
      </c>
      <c r="N152" s="1" t="s">
        <v>22</v>
      </c>
      <c r="O152" s="1">
        <v>184.24000100000001</v>
      </c>
      <c r="P152" s="1">
        <v>179.45978199999999</v>
      </c>
      <c r="Q152" s="2">
        <f t="shared" si="2"/>
        <v>2.5945608847451191E-2</v>
      </c>
      <c r="R152" s="1" t="s">
        <v>125</v>
      </c>
      <c r="S152" s="4">
        <v>19.63</v>
      </c>
      <c r="T152" s="5">
        <v>2.145000034943223E-4</v>
      </c>
    </row>
    <row r="153" spans="1:20">
      <c r="A153" s="1" t="s">
        <v>76</v>
      </c>
      <c r="B153" s="1">
        <v>3</v>
      </c>
      <c r="C153" s="1">
        <v>0</v>
      </c>
      <c r="D153" s="1" t="s">
        <v>21</v>
      </c>
      <c r="E153" s="1">
        <v>9</v>
      </c>
      <c r="F153" s="1">
        <v>3</v>
      </c>
      <c r="G153" s="1" t="s">
        <v>22</v>
      </c>
      <c r="H153" s="1">
        <v>3</v>
      </c>
      <c r="I153" s="1">
        <v>2</v>
      </c>
      <c r="J153" s="1" t="s">
        <v>21</v>
      </c>
      <c r="K153" s="1">
        <v>3</v>
      </c>
      <c r="L153" s="1" t="s">
        <v>23</v>
      </c>
      <c r="M153" s="1" t="s">
        <v>24</v>
      </c>
      <c r="N153" s="1" t="s">
        <v>22</v>
      </c>
      <c r="O153" s="1">
        <v>212.8</v>
      </c>
      <c r="P153" s="1">
        <v>149.64499900000001</v>
      </c>
      <c r="Q153" s="2">
        <f t="shared" si="2"/>
        <v>0.29678101973684207</v>
      </c>
      <c r="R153" s="1" t="s">
        <v>125</v>
      </c>
      <c r="S153" s="4">
        <v>19.920000000000002</v>
      </c>
      <c r="T153" s="5">
        <v>2.1399999968707559E-4</v>
      </c>
    </row>
    <row r="154" spans="1:20">
      <c r="A154" s="1" t="s">
        <v>77</v>
      </c>
      <c r="B154" s="1">
        <v>10</v>
      </c>
      <c r="C154" s="1">
        <v>1</v>
      </c>
      <c r="D154" s="1" t="s">
        <v>22</v>
      </c>
      <c r="E154" s="1">
        <v>7</v>
      </c>
      <c r="F154" s="1">
        <v>3</v>
      </c>
      <c r="G154" s="1" t="s">
        <v>21</v>
      </c>
      <c r="H154" s="1">
        <v>5</v>
      </c>
      <c r="I154" s="1">
        <v>3</v>
      </c>
      <c r="J154" s="1" t="s">
        <v>21</v>
      </c>
      <c r="K154" s="1">
        <v>1</v>
      </c>
      <c r="L154" s="1" t="s">
        <v>23</v>
      </c>
      <c r="M154" s="1" t="s">
        <v>24</v>
      </c>
      <c r="N154" s="1" t="s">
        <v>21</v>
      </c>
      <c r="O154" s="1">
        <v>719.59999300000004</v>
      </c>
      <c r="P154" s="1">
        <v>745.30280300000004</v>
      </c>
      <c r="Q154" s="2">
        <f t="shared" si="2"/>
        <v>3.5718191008931817E-2</v>
      </c>
      <c r="R154" s="1" t="s">
        <v>125</v>
      </c>
      <c r="S154" s="4">
        <v>19.260000000000002</v>
      </c>
      <c r="T154" s="5">
        <v>2.29500001296401E-4</v>
      </c>
    </row>
    <row r="155" spans="1:20">
      <c r="A155" s="1" t="s">
        <v>78</v>
      </c>
      <c r="B155" s="1">
        <v>8</v>
      </c>
      <c r="C155" s="1">
        <v>3</v>
      </c>
      <c r="D155" s="1" t="s">
        <v>22</v>
      </c>
      <c r="E155" s="1">
        <v>8</v>
      </c>
      <c r="F155" s="1">
        <v>0</v>
      </c>
      <c r="G155" s="1" t="s">
        <v>21</v>
      </c>
      <c r="H155" s="1">
        <v>2</v>
      </c>
      <c r="I155" s="1">
        <v>1</v>
      </c>
      <c r="J155" s="1" t="s">
        <v>21</v>
      </c>
      <c r="K155" s="1">
        <v>3</v>
      </c>
      <c r="L155" s="1" t="s">
        <v>23</v>
      </c>
      <c r="M155" s="1" t="s">
        <v>24</v>
      </c>
      <c r="N155" s="1" t="s">
        <v>21</v>
      </c>
      <c r="O155" s="1">
        <v>660.23999300000003</v>
      </c>
      <c r="P155" s="1">
        <v>778.99533399999996</v>
      </c>
      <c r="Q155" s="2">
        <f t="shared" si="2"/>
        <v>0.17986693059958264</v>
      </c>
      <c r="R155" s="1" t="s">
        <v>125</v>
      </c>
      <c r="S155" s="4">
        <v>19.71</v>
      </c>
      <c r="T155" s="5">
        <v>2.2520002676174039E-4</v>
      </c>
    </row>
    <row r="156" spans="1:20">
      <c r="A156" s="1" t="s">
        <v>79</v>
      </c>
      <c r="B156" s="1">
        <v>8</v>
      </c>
      <c r="C156" s="1">
        <v>1</v>
      </c>
      <c r="D156" s="1" t="s">
        <v>21</v>
      </c>
      <c r="E156" s="1">
        <v>12</v>
      </c>
      <c r="F156" s="1">
        <v>2</v>
      </c>
      <c r="G156" s="1" t="s">
        <v>21</v>
      </c>
      <c r="H156" s="1">
        <v>5</v>
      </c>
      <c r="I156" s="1">
        <v>4</v>
      </c>
      <c r="J156" s="1" t="s">
        <v>21</v>
      </c>
      <c r="K156" s="1">
        <v>3</v>
      </c>
      <c r="L156" s="1" t="s">
        <v>23</v>
      </c>
      <c r="M156" s="1" t="s">
        <v>24</v>
      </c>
      <c r="N156" s="1" t="s">
        <v>21</v>
      </c>
      <c r="O156" s="1">
        <v>1074.639989</v>
      </c>
      <c r="P156" s="1">
        <v>1223.3390240000001</v>
      </c>
      <c r="Q156" s="2">
        <f t="shared" si="2"/>
        <v>0.13837102333998488</v>
      </c>
      <c r="R156" s="1" t="s">
        <v>125</v>
      </c>
      <c r="S156" s="4">
        <v>20.04</v>
      </c>
      <c r="T156" s="5">
        <v>2.3420003708451989E-4</v>
      </c>
    </row>
    <row r="157" spans="1:20">
      <c r="A157" s="1" t="s">
        <v>80</v>
      </c>
      <c r="B157" s="1">
        <v>10</v>
      </c>
      <c r="C157" s="1">
        <v>4</v>
      </c>
      <c r="D157" s="1" t="s">
        <v>21</v>
      </c>
      <c r="E157" s="1">
        <v>7</v>
      </c>
      <c r="F157" s="1">
        <v>0</v>
      </c>
      <c r="G157" s="1" t="s">
        <v>22</v>
      </c>
      <c r="H157" s="1">
        <v>2</v>
      </c>
      <c r="I157" s="1">
        <v>1</v>
      </c>
      <c r="J157" s="1" t="s">
        <v>21</v>
      </c>
      <c r="K157" s="1">
        <v>3</v>
      </c>
      <c r="L157" s="1" t="s">
        <v>23</v>
      </c>
      <c r="M157" s="1" t="s">
        <v>24</v>
      </c>
      <c r="N157" s="1" t="s">
        <v>22</v>
      </c>
      <c r="O157" s="1">
        <v>743.95999500000005</v>
      </c>
      <c r="P157" s="1">
        <v>839.82832299999995</v>
      </c>
      <c r="Q157" s="2">
        <f t="shared" si="2"/>
        <v>0.12886220851162825</v>
      </c>
      <c r="R157" s="1" t="s">
        <v>125</v>
      </c>
      <c r="S157" s="4">
        <v>19.899999999999999</v>
      </c>
      <c r="T157" s="5">
        <v>2.2879999596625569E-4</v>
      </c>
    </row>
    <row r="158" spans="1:20">
      <c r="A158" s="1" t="s">
        <v>81</v>
      </c>
      <c r="B158" s="1">
        <v>7</v>
      </c>
      <c r="C158" s="1">
        <v>2</v>
      </c>
      <c r="D158" s="1" t="s">
        <v>22</v>
      </c>
      <c r="E158" s="1">
        <v>10</v>
      </c>
      <c r="F158" s="1">
        <v>1</v>
      </c>
      <c r="G158" s="1" t="s">
        <v>21</v>
      </c>
      <c r="H158" s="1">
        <v>6</v>
      </c>
      <c r="I158" s="1">
        <v>4</v>
      </c>
      <c r="J158" s="1" t="s">
        <v>21</v>
      </c>
      <c r="K158" s="1">
        <v>3</v>
      </c>
      <c r="L158" s="1" t="s">
        <v>23</v>
      </c>
      <c r="M158" s="1" t="s">
        <v>24</v>
      </c>
      <c r="N158" s="1" t="s">
        <v>21</v>
      </c>
      <c r="O158" s="1">
        <v>789.87999100000002</v>
      </c>
      <c r="P158" s="1">
        <v>899.90054999999995</v>
      </c>
      <c r="Q158" s="2">
        <f t="shared" si="2"/>
        <v>0.13928768959030377</v>
      </c>
      <c r="R158" s="1" t="s">
        <v>125</v>
      </c>
      <c r="S158" s="4">
        <v>20.010000000000002</v>
      </c>
      <c r="T158" s="5">
        <v>2.27999989874661E-4</v>
      </c>
    </row>
    <row r="159" spans="1:20">
      <c r="A159" s="1" t="s">
        <v>82</v>
      </c>
      <c r="B159" s="1">
        <v>7</v>
      </c>
      <c r="C159" s="1">
        <v>1</v>
      </c>
      <c r="D159" s="1" t="s">
        <v>21</v>
      </c>
      <c r="E159" s="1">
        <v>7</v>
      </c>
      <c r="F159" s="1">
        <v>1</v>
      </c>
      <c r="G159" s="1" t="s">
        <v>21</v>
      </c>
      <c r="H159" s="1">
        <v>7</v>
      </c>
      <c r="I159" s="1">
        <v>3</v>
      </c>
      <c r="J159" s="1" t="s">
        <v>21</v>
      </c>
      <c r="K159" s="1">
        <v>3</v>
      </c>
      <c r="L159" s="1" t="s">
        <v>23</v>
      </c>
      <c r="M159" s="1" t="s">
        <v>24</v>
      </c>
      <c r="N159" s="1" t="s">
        <v>22</v>
      </c>
      <c r="O159" s="1">
        <v>379.120001</v>
      </c>
      <c r="P159" s="1">
        <v>373.33518500000002</v>
      </c>
      <c r="Q159" s="2">
        <f t="shared" si="2"/>
        <v>1.5258535515777175E-2</v>
      </c>
      <c r="R159" s="1" t="s">
        <v>125</v>
      </c>
      <c r="S159" s="4">
        <v>19.850000000000001</v>
      </c>
      <c r="T159" s="5">
        <v>2.242000191472471E-4</v>
      </c>
    </row>
    <row r="160" spans="1:20">
      <c r="A160" s="1" t="s">
        <v>83</v>
      </c>
      <c r="B160" s="1">
        <v>8</v>
      </c>
      <c r="C160" s="1">
        <v>4</v>
      </c>
      <c r="D160" s="1" t="s">
        <v>22</v>
      </c>
      <c r="E160" s="1">
        <v>8</v>
      </c>
      <c r="F160" s="1">
        <v>0</v>
      </c>
      <c r="G160" s="1" t="s">
        <v>21</v>
      </c>
      <c r="H160" s="1">
        <v>3</v>
      </c>
      <c r="I160" s="1">
        <v>1</v>
      </c>
      <c r="J160" s="1" t="s">
        <v>21</v>
      </c>
      <c r="K160" s="1">
        <v>3</v>
      </c>
      <c r="L160" s="1" t="s">
        <v>23</v>
      </c>
      <c r="M160" s="1" t="s">
        <v>24</v>
      </c>
      <c r="N160" s="1" t="s">
        <v>22</v>
      </c>
      <c r="O160" s="1">
        <v>688.23999600000002</v>
      </c>
      <c r="P160" s="1">
        <v>785.91124300000001</v>
      </c>
      <c r="Q160" s="2">
        <f t="shared" si="2"/>
        <v>0.14191451756314377</v>
      </c>
      <c r="R160" s="1" t="s">
        <v>125</v>
      </c>
      <c r="S160" s="4">
        <v>19.5</v>
      </c>
      <c r="T160" s="5">
        <v>2.2319995332509279E-4</v>
      </c>
    </row>
    <row r="161" spans="1:20">
      <c r="A161" s="1" t="s">
        <v>84</v>
      </c>
      <c r="B161" s="1">
        <v>8</v>
      </c>
      <c r="C161" s="1">
        <v>3</v>
      </c>
      <c r="D161" s="1" t="s">
        <v>22</v>
      </c>
      <c r="E161" s="1">
        <v>8</v>
      </c>
      <c r="F161" s="1">
        <v>2</v>
      </c>
      <c r="G161" s="1" t="s">
        <v>21</v>
      </c>
      <c r="H161" s="1">
        <v>5</v>
      </c>
      <c r="I161" s="1">
        <v>4</v>
      </c>
      <c r="J161" s="1" t="s">
        <v>21</v>
      </c>
      <c r="K161" s="1">
        <v>3</v>
      </c>
      <c r="L161" s="1" t="s">
        <v>23</v>
      </c>
      <c r="M161" s="1" t="s">
        <v>24</v>
      </c>
      <c r="N161" s="1" t="s">
        <v>22</v>
      </c>
      <c r="O161" s="1">
        <v>724.91999699999997</v>
      </c>
      <c r="P161" s="1">
        <v>813.18969100000004</v>
      </c>
      <c r="Q161" s="2">
        <f t="shared" si="2"/>
        <v>0.12176473868191565</v>
      </c>
      <c r="R161" s="1" t="s">
        <v>125</v>
      </c>
      <c r="S161" s="4">
        <v>19.73</v>
      </c>
      <c r="T161" s="5">
        <v>2.2200000239536169E-4</v>
      </c>
    </row>
    <row r="162" spans="1:20">
      <c r="A162" s="1" t="s">
        <v>85</v>
      </c>
      <c r="B162" s="1">
        <v>7</v>
      </c>
      <c r="C162" s="1">
        <v>1</v>
      </c>
      <c r="D162" s="1" t="s">
        <v>21</v>
      </c>
      <c r="E162" s="1">
        <v>7</v>
      </c>
      <c r="F162" s="1">
        <v>2</v>
      </c>
      <c r="G162" s="1" t="s">
        <v>21</v>
      </c>
      <c r="H162" s="1">
        <v>3</v>
      </c>
      <c r="I162" s="1">
        <v>0</v>
      </c>
      <c r="J162" s="1" t="s">
        <v>21</v>
      </c>
      <c r="K162" s="1">
        <v>1</v>
      </c>
      <c r="L162" s="1" t="s">
        <v>23</v>
      </c>
      <c r="M162" s="1" t="s">
        <v>24</v>
      </c>
      <c r="N162" s="1" t="s">
        <v>22</v>
      </c>
      <c r="O162" s="1">
        <v>266.559999</v>
      </c>
      <c r="P162" s="1">
        <v>279.540323</v>
      </c>
      <c r="Q162" s="2">
        <f t="shared" si="2"/>
        <v>4.8695693459992834E-2</v>
      </c>
      <c r="R162" s="1" t="s">
        <v>125</v>
      </c>
      <c r="S162" s="4">
        <v>19.2</v>
      </c>
      <c r="T162" s="5">
        <v>2.164999605156481E-4</v>
      </c>
    </row>
    <row r="163" spans="1:20">
      <c r="A163" s="1" t="s">
        <v>86</v>
      </c>
      <c r="B163" s="1">
        <v>12</v>
      </c>
      <c r="C163" s="1">
        <v>4</v>
      </c>
      <c r="D163" s="1" t="s">
        <v>21</v>
      </c>
      <c r="E163" s="1">
        <v>8</v>
      </c>
      <c r="F163" s="1">
        <v>1</v>
      </c>
      <c r="G163" s="1" t="s">
        <v>21</v>
      </c>
      <c r="H163" s="1">
        <v>5</v>
      </c>
      <c r="I163" s="1">
        <v>4</v>
      </c>
      <c r="J163" s="1" t="s">
        <v>21</v>
      </c>
      <c r="K163" s="1">
        <v>3</v>
      </c>
      <c r="L163" s="1" t="s">
        <v>23</v>
      </c>
      <c r="M163" s="1" t="s">
        <v>24</v>
      </c>
      <c r="N163" s="1" t="s">
        <v>21</v>
      </c>
      <c r="O163" s="1">
        <v>1123.919989</v>
      </c>
      <c r="P163" s="1">
        <v>1248.191615</v>
      </c>
      <c r="Q163" s="2">
        <f t="shared" si="2"/>
        <v>0.11056981565971594</v>
      </c>
      <c r="R163" s="1" t="s">
        <v>125</v>
      </c>
      <c r="S163" s="4">
        <v>19.62</v>
      </c>
      <c r="T163" s="5">
        <v>2.248000237159431E-4</v>
      </c>
    </row>
    <row r="164" spans="1:20">
      <c r="A164" s="1" t="s">
        <v>87</v>
      </c>
      <c r="B164" s="1">
        <v>10</v>
      </c>
      <c r="C164" s="1">
        <v>4</v>
      </c>
      <c r="D164" s="1" t="s">
        <v>21</v>
      </c>
      <c r="E164" s="1">
        <v>12</v>
      </c>
      <c r="F164" s="1">
        <v>1</v>
      </c>
      <c r="G164" s="1" t="s">
        <v>21</v>
      </c>
      <c r="H164" s="1">
        <v>2</v>
      </c>
      <c r="I164" s="1">
        <v>1</v>
      </c>
      <c r="J164" s="1" t="s">
        <v>21</v>
      </c>
      <c r="K164" s="1">
        <v>2</v>
      </c>
      <c r="L164" s="1" t="s">
        <v>23</v>
      </c>
      <c r="M164" s="1" t="s">
        <v>24</v>
      </c>
      <c r="N164" s="1" t="s">
        <v>21</v>
      </c>
      <c r="O164" s="1">
        <v>1280.999988</v>
      </c>
      <c r="P164" s="1">
        <v>1455.0924219999999</v>
      </c>
      <c r="Q164" s="2">
        <f t="shared" si="2"/>
        <v>0.13590354069542732</v>
      </c>
      <c r="R164" s="1" t="s">
        <v>125</v>
      </c>
      <c r="S164" s="4">
        <v>20.3</v>
      </c>
      <c r="T164" s="5">
        <v>2.3970002075657251E-4</v>
      </c>
    </row>
    <row r="165" spans="1:20">
      <c r="A165" s="1" t="s">
        <v>88</v>
      </c>
      <c r="B165" s="1">
        <v>7</v>
      </c>
      <c r="C165" s="1">
        <v>1</v>
      </c>
      <c r="D165" s="1" t="s">
        <v>21</v>
      </c>
      <c r="E165" s="1">
        <v>7</v>
      </c>
      <c r="F165" s="1">
        <v>0</v>
      </c>
      <c r="G165" s="1" t="s">
        <v>21</v>
      </c>
      <c r="H165" s="1">
        <v>4</v>
      </c>
      <c r="I165" s="1">
        <v>0</v>
      </c>
      <c r="J165" s="1" t="s">
        <v>21</v>
      </c>
      <c r="K165" s="1">
        <v>3</v>
      </c>
      <c r="L165" s="1" t="s">
        <v>23</v>
      </c>
      <c r="M165" s="1" t="s">
        <v>24</v>
      </c>
      <c r="N165" s="1" t="s">
        <v>22</v>
      </c>
      <c r="O165" s="1">
        <v>290.92</v>
      </c>
      <c r="P165" s="1">
        <v>292.417869</v>
      </c>
      <c r="Q165" s="2">
        <f t="shared" si="2"/>
        <v>5.1487316100645537E-3</v>
      </c>
      <c r="R165" s="1" t="s">
        <v>125</v>
      </c>
      <c r="S165" s="4">
        <v>19.27</v>
      </c>
      <c r="T165" s="5">
        <v>2.1949998335912821E-4</v>
      </c>
    </row>
    <row r="166" spans="1:20">
      <c r="A166" s="1" t="s">
        <v>89</v>
      </c>
      <c r="B166" s="1">
        <v>10</v>
      </c>
      <c r="C166" s="1">
        <v>0</v>
      </c>
      <c r="D166" s="1" t="s">
        <v>21</v>
      </c>
      <c r="E166" s="1">
        <v>7</v>
      </c>
      <c r="F166" s="1">
        <v>4</v>
      </c>
      <c r="G166" s="1" t="s">
        <v>21</v>
      </c>
      <c r="H166" s="1">
        <v>3</v>
      </c>
      <c r="I166" s="1">
        <v>2</v>
      </c>
      <c r="J166" s="1" t="s">
        <v>21</v>
      </c>
      <c r="K166" s="1">
        <v>0</v>
      </c>
      <c r="L166" s="1" t="s">
        <v>23</v>
      </c>
      <c r="M166" s="1" t="s">
        <v>24</v>
      </c>
      <c r="N166" s="1" t="s">
        <v>21</v>
      </c>
      <c r="O166" s="1">
        <v>743.39999299999999</v>
      </c>
      <c r="P166" s="1">
        <v>779.45273699999996</v>
      </c>
      <c r="Q166" s="2">
        <f t="shared" si="2"/>
        <v>4.8497100268334224E-2</v>
      </c>
      <c r="R166" s="1" t="s">
        <v>125</v>
      </c>
      <c r="S166" s="4">
        <v>21.02</v>
      </c>
      <c r="T166" s="5">
        <v>2.297000028192997E-4</v>
      </c>
    </row>
    <row r="167" spans="1:20">
      <c r="A167" s="1" t="s">
        <v>90</v>
      </c>
      <c r="B167" s="1">
        <v>12</v>
      </c>
      <c r="C167" s="1">
        <v>3</v>
      </c>
      <c r="D167" s="1" t="s">
        <v>21</v>
      </c>
      <c r="E167" s="1">
        <v>8</v>
      </c>
      <c r="F167" s="1">
        <v>0</v>
      </c>
      <c r="G167" s="1" t="s">
        <v>21</v>
      </c>
      <c r="H167" s="1">
        <v>7</v>
      </c>
      <c r="I167" s="1">
        <v>4</v>
      </c>
      <c r="J167" s="1" t="s">
        <v>21</v>
      </c>
      <c r="K167" s="1">
        <v>2</v>
      </c>
      <c r="L167" s="1" t="s">
        <v>23</v>
      </c>
      <c r="M167" s="1" t="s">
        <v>24</v>
      </c>
      <c r="N167" s="1" t="s">
        <v>21</v>
      </c>
      <c r="O167" s="1">
        <v>1102.3599899999999</v>
      </c>
      <c r="P167" s="1">
        <v>1220.908711</v>
      </c>
      <c r="Q167" s="2">
        <f t="shared" si="2"/>
        <v>0.10754084153580368</v>
      </c>
      <c r="R167" s="1" t="s">
        <v>125</v>
      </c>
      <c r="S167" s="4">
        <v>20.190000000000001</v>
      </c>
      <c r="T167" s="5">
        <v>2.3370003327727321E-4</v>
      </c>
    </row>
    <row r="168" spans="1:20">
      <c r="A168" s="1" t="s">
        <v>91</v>
      </c>
      <c r="B168" s="1">
        <v>10</v>
      </c>
      <c r="C168" s="1">
        <v>1</v>
      </c>
      <c r="D168" s="1" t="s">
        <v>21</v>
      </c>
      <c r="E168" s="1">
        <v>12</v>
      </c>
      <c r="F168" s="1">
        <v>1</v>
      </c>
      <c r="G168" s="1" t="s">
        <v>22</v>
      </c>
      <c r="H168" s="1">
        <v>7</v>
      </c>
      <c r="I168" s="1">
        <v>3</v>
      </c>
      <c r="J168" s="1" t="s">
        <v>21</v>
      </c>
      <c r="K168" s="1">
        <v>6</v>
      </c>
      <c r="L168" s="1" t="s">
        <v>23</v>
      </c>
      <c r="M168" s="1" t="s">
        <v>24</v>
      </c>
      <c r="N168" s="1" t="s">
        <v>22</v>
      </c>
      <c r="O168" s="1">
        <v>1378.9999949999999</v>
      </c>
      <c r="P168" s="1">
        <v>1525.3594210000001</v>
      </c>
      <c r="Q168" s="2">
        <f t="shared" si="2"/>
        <v>0.10613446448924768</v>
      </c>
      <c r="R168" s="1" t="s">
        <v>125</v>
      </c>
      <c r="S168" s="4">
        <v>20.399999999999999</v>
      </c>
      <c r="T168" s="5">
        <v>2.2740004351362589E-4</v>
      </c>
    </row>
    <row r="169" spans="1:20">
      <c r="A169" s="1" t="s">
        <v>92</v>
      </c>
      <c r="B169" s="1">
        <v>12</v>
      </c>
      <c r="C169" s="1">
        <v>0</v>
      </c>
      <c r="D169" s="1" t="s">
        <v>21</v>
      </c>
      <c r="E169" s="1">
        <v>8</v>
      </c>
      <c r="F169" s="1">
        <v>4</v>
      </c>
      <c r="G169" s="1" t="s">
        <v>21</v>
      </c>
      <c r="H169" s="1">
        <v>3</v>
      </c>
      <c r="I169" s="1">
        <v>2</v>
      </c>
      <c r="J169" s="1" t="s">
        <v>21</v>
      </c>
      <c r="K169" s="1">
        <v>2</v>
      </c>
      <c r="L169" s="1" t="s">
        <v>23</v>
      </c>
      <c r="M169" s="1" t="s">
        <v>24</v>
      </c>
      <c r="N169" s="1" t="s">
        <v>21</v>
      </c>
      <c r="O169" s="1">
        <v>1054.47999</v>
      </c>
      <c r="P169" s="1">
        <v>1191.4881069999999</v>
      </c>
      <c r="Q169" s="2">
        <f t="shared" si="2"/>
        <v>0.1299295560838474</v>
      </c>
      <c r="R169" s="1" t="s">
        <v>125</v>
      </c>
      <c r="S169" s="4">
        <v>19.579999999999998</v>
      </c>
      <c r="T169" s="5">
        <v>2.2540002828463909E-4</v>
      </c>
    </row>
    <row r="170" spans="1:20">
      <c r="A170" s="1" t="s">
        <v>93</v>
      </c>
      <c r="B170" s="1">
        <v>7</v>
      </c>
      <c r="C170" s="1">
        <v>2</v>
      </c>
      <c r="D170" s="1" t="s">
        <v>21</v>
      </c>
      <c r="E170" s="1">
        <v>10</v>
      </c>
      <c r="F170" s="1">
        <v>0</v>
      </c>
      <c r="G170" s="1" t="s">
        <v>22</v>
      </c>
      <c r="H170" s="1">
        <v>5</v>
      </c>
      <c r="I170" s="1">
        <v>1</v>
      </c>
      <c r="J170" s="1" t="s">
        <v>21</v>
      </c>
      <c r="K170" s="1">
        <v>2</v>
      </c>
      <c r="L170" s="1" t="s">
        <v>23</v>
      </c>
      <c r="M170" s="1" t="s">
        <v>24</v>
      </c>
      <c r="N170" s="1" t="s">
        <v>21</v>
      </c>
      <c r="O170" s="1">
        <v>746.47999200000004</v>
      </c>
      <c r="P170" s="1">
        <v>848.08494199999996</v>
      </c>
      <c r="Q170" s="2">
        <f t="shared" si="2"/>
        <v>0.13611208751593695</v>
      </c>
      <c r="R170" s="1" t="s">
        <v>125</v>
      </c>
      <c r="S170" s="4">
        <v>19.64</v>
      </c>
      <c r="T170" s="5">
        <v>2.3110001347959039E-4</v>
      </c>
    </row>
    <row r="171" spans="1:20">
      <c r="A171" s="1" t="s">
        <v>94</v>
      </c>
      <c r="B171" s="1">
        <v>12</v>
      </c>
      <c r="C171" s="1">
        <v>3</v>
      </c>
      <c r="D171" s="1" t="s">
        <v>21</v>
      </c>
      <c r="E171" s="1">
        <v>8</v>
      </c>
      <c r="F171" s="1">
        <v>2</v>
      </c>
      <c r="G171" s="1" t="s">
        <v>22</v>
      </c>
      <c r="H171" s="1">
        <v>2</v>
      </c>
      <c r="I171" s="1">
        <v>1</v>
      </c>
      <c r="J171" s="1" t="s">
        <v>21</v>
      </c>
      <c r="K171" s="1">
        <v>1</v>
      </c>
      <c r="L171" s="1" t="s">
        <v>23</v>
      </c>
      <c r="M171" s="1" t="s">
        <v>24</v>
      </c>
      <c r="N171" s="1" t="s">
        <v>21</v>
      </c>
      <c r="O171" s="1">
        <v>946.95999200000006</v>
      </c>
      <c r="P171" s="1">
        <v>1010.3641</v>
      </c>
      <c r="Q171" s="2">
        <f t="shared" si="2"/>
        <v>6.6955424237183564E-2</v>
      </c>
      <c r="R171" s="1" t="s">
        <v>125</v>
      </c>
      <c r="S171" s="4">
        <v>19.55</v>
      </c>
      <c r="T171" s="5">
        <v>2.3170001804828641E-4</v>
      </c>
    </row>
    <row r="172" spans="1:20">
      <c r="A172" s="1" t="s">
        <v>95</v>
      </c>
      <c r="B172" s="1">
        <v>10</v>
      </c>
      <c r="C172" s="1">
        <v>3</v>
      </c>
      <c r="D172" s="1" t="s">
        <v>22</v>
      </c>
      <c r="E172" s="1">
        <v>7</v>
      </c>
      <c r="F172" s="1">
        <v>0</v>
      </c>
      <c r="G172" s="1" t="s">
        <v>21</v>
      </c>
      <c r="H172" s="1">
        <v>3</v>
      </c>
      <c r="I172" s="1">
        <v>2</v>
      </c>
      <c r="J172" s="1" t="s">
        <v>21</v>
      </c>
      <c r="K172" s="1">
        <v>0</v>
      </c>
      <c r="L172" s="1" t="s">
        <v>23</v>
      </c>
      <c r="M172" s="1" t="s">
        <v>24</v>
      </c>
      <c r="N172" s="1" t="s">
        <v>22</v>
      </c>
      <c r="O172" s="1">
        <v>666.11999400000002</v>
      </c>
      <c r="P172" s="1">
        <v>698.52036999999996</v>
      </c>
      <c r="Q172" s="2">
        <f t="shared" si="2"/>
        <v>4.8640449606441233E-2</v>
      </c>
      <c r="R172" s="1" t="s">
        <v>125</v>
      </c>
      <c r="S172" s="4">
        <v>20.13</v>
      </c>
      <c r="T172" s="5">
        <v>2.349000424146652E-4</v>
      </c>
    </row>
    <row r="173" spans="1:20">
      <c r="A173" s="1" t="s">
        <v>96</v>
      </c>
      <c r="B173" s="1">
        <v>7</v>
      </c>
      <c r="C173" s="1">
        <v>2</v>
      </c>
      <c r="D173" s="1" t="s">
        <v>21</v>
      </c>
      <c r="E173" s="1">
        <v>10</v>
      </c>
      <c r="F173" s="1">
        <v>0</v>
      </c>
      <c r="G173" s="1" t="s">
        <v>21</v>
      </c>
      <c r="H173" s="1">
        <v>8</v>
      </c>
      <c r="I173" s="1">
        <v>4</v>
      </c>
      <c r="J173" s="1" t="s">
        <v>21</v>
      </c>
      <c r="K173" s="1">
        <v>6</v>
      </c>
      <c r="L173" s="1" t="s">
        <v>23</v>
      </c>
      <c r="M173" s="1" t="s">
        <v>24</v>
      </c>
      <c r="N173" s="1" t="s">
        <v>22</v>
      </c>
      <c r="O173" s="1">
        <v>959.83999900000003</v>
      </c>
      <c r="P173" s="1">
        <v>1059.3447080000001</v>
      </c>
      <c r="Q173" s="2">
        <f t="shared" si="2"/>
        <v>0.10366801665242964</v>
      </c>
      <c r="R173" s="1" t="s">
        <v>125</v>
      </c>
      <c r="S173" s="4">
        <v>20</v>
      </c>
      <c r="T173" s="5">
        <v>2.3119995603337881E-4</v>
      </c>
    </row>
    <row r="174" spans="1:20">
      <c r="A174" s="1" t="s">
        <v>97</v>
      </c>
      <c r="B174" s="1">
        <v>8</v>
      </c>
      <c r="C174" s="1">
        <v>1</v>
      </c>
      <c r="D174" s="1" t="s">
        <v>22</v>
      </c>
      <c r="E174" s="1">
        <v>8</v>
      </c>
      <c r="F174" s="1">
        <v>3</v>
      </c>
      <c r="G174" s="1" t="s">
        <v>21</v>
      </c>
      <c r="H174" s="1">
        <v>4</v>
      </c>
      <c r="I174" s="1">
        <v>2</v>
      </c>
      <c r="J174" s="1" t="s">
        <v>21</v>
      </c>
      <c r="K174" s="1">
        <v>1</v>
      </c>
      <c r="L174" s="1" t="s">
        <v>23</v>
      </c>
      <c r="M174" s="1" t="s">
        <v>24</v>
      </c>
      <c r="N174" s="1" t="s">
        <v>22</v>
      </c>
      <c r="O174" s="1">
        <v>642.31999499999995</v>
      </c>
      <c r="P174" s="1">
        <v>691.07471299999997</v>
      </c>
      <c r="Q174" s="2">
        <f t="shared" si="2"/>
        <v>7.5904095123179263E-2</v>
      </c>
      <c r="R174" s="1" t="s">
        <v>125</v>
      </c>
      <c r="S174" s="4">
        <v>19.32</v>
      </c>
      <c r="T174" s="5">
        <v>2.277000457979739E-4</v>
      </c>
    </row>
    <row r="175" spans="1:20">
      <c r="A175" s="1" t="s">
        <v>98</v>
      </c>
      <c r="B175" s="1">
        <v>8</v>
      </c>
      <c r="C175" s="1">
        <v>2</v>
      </c>
      <c r="D175" s="1" t="s">
        <v>21</v>
      </c>
      <c r="E175" s="1">
        <v>12</v>
      </c>
      <c r="F175" s="1">
        <v>0</v>
      </c>
      <c r="G175" s="1" t="s">
        <v>21</v>
      </c>
      <c r="H175" s="1">
        <v>4</v>
      </c>
      <c r="I175" s="1">
        <v>0</v>
      </c>
      <c r="J175" s="1" t="s">
        <v>21</v>
      </c>
      <c r="K175" s="1">
        <v>6</v>
      </c>
      <c r="L175" s="1" t="s">
        <v>23</v>
      </c>
      <c r="M175" s="1" t="s">
        <v>24</v>
      </c>
      <c r="N175" s="1" t="s">
        <v>21</v>
      </c>
      <c r="O175" s="1">
        <v>1176.279986</v>
      </c>
      <c r="P175" s="1">
        <v>1318.3734240000001</v>
      </c>
      <c r="Q175" s="2">
        <f t="shared" si="2"/>
        <v>0.12079899317440236</v>
      </c>
      <c r="R175" s="1" t="s">
        <v>125</v>
      </c>
      <c r="S175" s="4">
        <v>19.600000000000001</v>
      </c>
      <c r="T175" s="5">
        <v>2.3790000705048439E-4</v>
      </c>
    </row>
    <row r="176" spans="1:20">
      <c r="A176" s="1" t="s">
        <v>99</v>
      </c>
      <c r="B176" s="1">
        <v>12</v>
      </c>
      <c r="C176" s="1">
        <v>0</v>
      </c>
      <c r="D176" s="1" t="s">
        <v>21</v>
      </c>
      <c r="E176" s="1">
        <v>8</v>
      </c>
      <c r="F176" s="1">
        <v>1</v>
      </c>
      <c r="G176" s="1" t="s">
        <v>22</v>
      </c>
      <c r="H176" s="1">
        <v>8</v>
      </c>
      <c r="I176" s="1">
        <v>4</v>
      </c>
      <c r="J176" s="1" t="s">
        <v>21</v>
      </c>
      <c r="K176" s="1">
        <v>1</v>
      </c>
      <c r="L176" s="1" t="s">
        <v>23</v>
      </c>
      <c r="M176" s="1" t="s">
        <v>24</v>
      </c>
      <c r="N176" s="1" t="s">
        <v>22</v>
      </c>
      <c r="O176" s="1">
        <v>979.99999300000002</v>
      </c>
      <c r="P176" s="1">
        <v>1027.2005879999999</v>
      </c>
      <c r="Q176" s="2">
        <f t="shared" si="2"/>
        <v>4.8163872793007156E-2</v>
      </c>
      <c r="R176" s="1" t="s">
        <v>125</v>
      </c>
      <c r="S176" s="4">
        <v>20.18</v>
      </c>
      <c r="T176" s="5">
        <v>2.3529998725280171E-4</v>
      </c>
    </row>
    <row r="177" spans="1:20">
      <c r="A177" s="1" t="s">
        <v>100</v>
      </c>
      <c r="B177" s="1">
        <v>10</v>
      </c>
      <c r="C177" s="1">
        <v>3</v>
      </c>
      <c r="D177" s="1" t="s">
        <v>21</v>
      </c>
      <c r="E177" s="1">
        <v>7</v>
      </c>
      <c r="F177" s="1">
        <v>0</v>
      </c>
      <c r="G177" s="1" t="s">
        <v>21</v>
      </c>
      <c r="H177" s="1">
        <v>3</v>
      </c>
      <c r="I177" s="1">
        <v>1</v>
      </c>
      <c r="J177" s="1" t="s">
        <v>21</v>
      </c>
      <c r="K177" s="1">
        <v>0</v>
      </c>
      <c r="L177" s="1" t="s">
        <v>23</v>
      </c>
      <c r="M177" s="1" t="s">
        <v>24</v>
      </c>
      <c r="N177" s="1" t="s">
        <v>21</v>
      </c>
      <c r="O177" s="1">
        <v>743.39999299999999</v>
      </c>
      <c r="P177" s="1">
        <v>779.45273699999996</v>
      </c>
      <c r="Q177" s="2">
        <f t="shared" si="2"/>
        <v>4.8497100268334224E-2</v>
      </c>
      <c r="R177" s="1" t="s">
        <v>125</v>
      </c>
      <c r="S177" s="4">
        <v>20.68</v>
      </c>
      <c r="T177" s="5">
        <v>2.306000096723437E-4</v>
      </c>
    </row>
    <row r="178" spans="1:20">
      <c r="A178" s="1" t="s">
        <v>101</v>
      </c>
      <c r="B178" s="1">
        <v>8</v>
      </c>
      <c r="C178" s="1">
        <v>1</v>
      </c>
      <c r="D178" s="1" t="s">
        <v>22</v>
      </c>
      <c r="E178" s="1">
        <v>8</v>
      </c>
      <c r="F178" s="1">
        <v>3</v>
      </c>
      <c r="G178" s="1" t="s">
        <v>21</v>
      </c>
      <c r="H178" s="1">
        <v>3</v>
      </c>
      <c r="I178" s="1">
        <v>1</v>
      </c>
      <c r="J178" s="1" t="s">
        <v>21</v>
      </c>
      <c r="K178" s="1">
        <v>6</v>
      </c>
      <c r="L178" s="1" t="s">
        <v>23</v>
      </c>
      <c r="M178" s="1" t="s">
        <v>24</v>
      </c>
      <c r="N178" s="1" t="s">
        <v>21</v>
      </c>
      <c r="O178" s="1">
        <v>759.63999000000001</v>
      </c>
      <c r="P178" s="1">
        <v>867.58082200000001</v>
      </c>
      <c r="Q178" s="2">
        <f t="shared" si="2"/>
        <v>0.14209472042144594</v>
      </c>
      <c r="R178" s="1" t="s">
        <v>125</v>
      </c>
      <c r="S178" s="4">
        <v>19.93</v>
      </c>
      <c r="T178" s="5">
        <v>2.297000028192997E-4</v>
      </c>
    </row>
    <row r="179" spans="1:20">
      <c r="A179" s="1" t="s">
        <v>102</v>
      </c>
      <c r="B179" s="1">
        <v>12</v>
      </c>
      <c r="C179" s="1">
        <v>2</v>
      </c>
      <c r="D179" s="1" t="s">
        <v>21</v>
      </c>
      <c r="E179" s="1">
        <v>10</v>
      </c>
      <c r="F179" s="1">
        <v>1</v>
      </c>
      <c r="G179" s="1" t="s">
        <v>21</v>
      </c>
      <c r="H179" s="1">
        <v>4</v>
      </c>
      <c r="I179" s="1">
        <v>1</v>
      </c>
      <c r="J179" s="1" t="s">
        <v>21</v>
      </c>
      <c r="K179" s="1">
        <v>6</v>
      </c>
      <c r="L179" s="1" t="s">
        <v>23</v>
      </c>
      <c r="M179" s="1" t="s">
        <v>24</v>
      </c>
      <c r="N179" s="1" t="s">
        <v>21</v>
      </c>
      <c r="O179" s="1">
        <v>1423.239984</v>
      </c>
      <c r="P179" s="1">
        <v>1586.2198960000001</v>
      </c>
      <c r="Q179" s="2">
        <f t="shared" si="2"/>
        <v>0.11451330333057873</v>
      </c>
      <c r="R179" s="1" t="s">
        <v>125</v>
      </c>
      <c r="S179" s="4">
        <v>20.72</v>
      </c>
      <c r="T179" s="5">
        <v>2.337999758310616E-4</v>
      </c>
    </row>
    <row r="180" spans="1:20">
      <c r="A180" s="1" t="s">
        <v>103</v>
      </c>
      <c r="B180" s="1">
        <v>7</v>
      </c>
      <c r="C180" s="1">
        <v>1</v>
      </c>
      <c r="D180" s="1" t="s">
        <v>21</v>
      </c>
      <c r="E180" s="1">
        <v>7</v>
      </c>
      <c r="F180" s="1">
        <v>3</v>
      </c>
      <c r="G180" s="1" t="s">
        <v>22</v>
      </c>
      <c r="H180" s="1">
        <v>5</v>
      </c>
      <c r="I180" s="1">
        <v>3</v>
      </c>
      <c r="J180" s="1" t="s">
        <v>21</v>
      </c>
      <c r="K180" s="1">
        <v>0</v>
      </c>
      <c r="L180" s="1" t="s">
        <v>23</v>
      </c>
      <c r="M180" s="1" t="s">
        <v>24</v>
      </c>
      <c r="N180" s="1" t="s">
        <v>22</v>
      </c>
      <c r="O180" s="1">
        <v>211.11999800000001</v>
      </c>
      <c r="P180" s="1">
        <v>211.11324099999999</v>
      </c>
      <c r="Q180" s="2">
        <f t="shared" si="2"/>
        <v>3.2005494808794296E-5</v>
      </c>
      <c r="R180" s="1" t="s">
        <v>125</v>
      </c>
      <c r="S180" s="4">
        <v>19.63</v>
      </c>
      <c r="T180" s="5">
        <v>2.1710002329200509E-4</v>
      </c>
    </row>
    <row r="181" spans="1:20">
      <c r="A181" s="1" t="s">
        <v>104</v>
      </c>
      <c r="B181" s="1">
        <v>12</v>
      </c>
      <c r="C181" s="1">
        <v>0</v>
      </c>
      <c r="D181" s="1" t="s">
        <v>22</v>
      </c>
      <c r="E181" s="1">
        <v>8</v>
      </c>
      <c r="F181" s="1">
        <v>1</v>
      </c>
      <c r="G181" s="1" t="s">
        <v>21</v>
      </c>
      <c r="H181" s="1">
        <v>7</v>
      </c>
      <c r="I181" s="1">
        <v>3</v>
      </c>
      <c r="J181" s="1" t="s">
        <v>21</v>
      </c>
      <c r="K181" s="1">
        <v>2</v>
      </c>
      <c r="L181" s="1" t="s">
        <v>23</v>
      </c>
      <c r="M181" s="1" t="s">
        <v>24</v>
      </c>
      <c r="N181" s="1" t="s">
        <v>21</v>
      </c>
      <c r="O181" s="1">
        <v>995.39999</v>
      </c>
      <c r="P181" s="1">
        <v>1116.687283</v>
      </c>
      <c r="Q181" s="2">
        <f t="shared" si="2"/>
        <v>0.12184779407120547</v>
      </c>
      <c r="R181" s="1" t="s">
        <v>125</v>
      </c>
      <c r="S181" s="4">
        <v>20.28</v>
      </c>
      <c r="T181" s="5">
        <v>2.5799998547881842E-4</v>
      </c>
    </row>
    <row r="182" spans="1:20">
      <c r="A182" s="1" t="s">
        <v>105</v>
      </c>
      <c r="B182" s="1">
        <v>3</v>
      </c>
      <c r="C182" s="1">
        <v>1</v>
      </c>
      <c r="D182" s="1" t="s">
        <v>21</v>
      </c>
      <c r="E182" s="1">
        <v>2</v>
      </c>
      <c r="F182" s="1">
        <v>0</v>
      </c>
      <c r="G182" s="1" t="s">
        <v>21</v>
      </c>
      <c r="H182" s="1">
        <v>5</v>
      </c>
      <c r="I182" s="1">
        <v>1</v>
      </c>
      <c r="J182" s="1" t="s">
        <v>21</v>
      </c>
      <c r="K182" s="1">
        <v>6</v>
      </c>
      <c r="L182" s="1" t="s">
        <v>23</v>
      </c>
      <c r="M182" s="1" t="s">
        <v>24</v>
      </c>
      <c r="N182" s="1" t="s">
        <v>21</v>
      </c>
      <c r="O182" s="1">
        <v>280.83999299999999</v>
      </c>
      <c r="P182" s="1">
        <v>258.38444500000003</v>
      </c>
      <c r="Q182" s="2">
        <f t="shared" si="2"/>
        <v>7.9958512176718247E-2</v>
      </c>
      <c r="R182" s="1" t="s">
        <v>125</v>
      </c>
      <c r="S182" s="4">
        <v>19.149999999999999</v>
      </c>
      <c r="T182" s="5">
        <v>2.1309999283403161E-4</v>
      </c>
    </row>
    <row r="183" spans="1:20">
      <c r="A183" s="1" t="s">
        <v>106</v>
      </c>
      <c r="B183" s="1">
        <v>2</v>
      </c>
      <c r="C183" s="1">
        <v>0</v>
      </c>
      <c r="D183" s="1" t="s">
        <v>22</v>
      </c>
      <c r="E183" s="1">
        <v>3</v>
      </c>
      <c r="F183" s="1">
        <v>1</v>
      </c>
      <c r="G183" s="1" t="s">
        <v>21</v>
      </c>
      <c r="H183" s="1">
        <v>8</v>
      </c>
      <c r="I183" s="1">
        <v>4</v>
      </c>
      <c r="J183" s="1" t="s">
        <v>21</v>
      </c>
      <c r="K183" s="1">
        <v>0</v>
      </c>
      <c r="L183" s="1" t="s">
        <v>23</v>
      </c>
      <c r="M183" s="1" t="s">
        <v>24</v>
      </c>
      <c r="N183" s="1" t="s">
        <v>21</v>
      </c>
      <c r="O183" s="1">
        <v>38.36</v>
      </c>
      <c r="P183" s="1">
        <v>60.993144999999998</v>
      </c>
      <c r="Q183" s="2">
        <f t="shared" si="2"/>
        <v>0.59001942127215845</v>
      </c>
      <c r="R183" s="1" t="s">
        <v>125</v>
      </c>
      <c r="S183" s="4">
        <v>20.21</v>
      </c>
      <c r="T183" s="5">
        <v>2.4260004283860331E-4</v>
      </c>
    </row>
    <row r="184" spans="1:20">
      <c r="A184" s="1" t="s">
        <v>107</v>
      </c>
      <c r="B184" s="1">
        <v>2</v>
      </c>
      <c r="C184" s="1">
        <v>1</v>
      </c>
      <c r="D184" s="1" t="s">
        <v>21</v>
      </c>
      <c r="E184" s="1">
        <v>4</v>
      </c>
      <c r="F184" s="1">
        <v>2</v>
      </c>
      <c r="G184" s="1" t="s">
        <v>21</v>
      </c>
      <c r="H184" s="1">
        <v>2</v>
      </c>
      <c r="I184" s="1">
        <v>0</v>
      </c>
      <c r="J184" s="1" t="s">
        <v>21</v>
      </c>
      <c r="K184" s="1">
        <v>3</v>
      </c>
      <c r="L184" s="1" t="s">
        <v>23</v>
      </c>
      <c r="M184" s="1" t="s">
        <v>24</v>
      </c>
      <c r="N184" s="1" t="s">
        <v>21</v>
      </c>
      <c r="O184" s="1">
        <v>136.07999699999999</v>
      </c>
      <c r="P184" s="1">
        <v>113.35321399999999</v>
      </c>
      <c r="Q184" s="2">
        <f t="shared" si="2"/>
        <v>0.16701046076595666</v>
      </c>
      <c r="R184" s="1" t="s">
        <v>125</v>
      </c>
      <c r="S184" s="4">
        <v>19.29</v>
      </c>
      <c r="T184" s="5">
        <v>2.2270000772550699E-4</v>
      </c>
    </row>
    <row r="185" spans="1:20">
      <c r="A185" s="1" t="s">
        <v>108</v>
      </c>
      <c r="B185" s="1">
        <v>4</v>
      </c>
      <c r="C185" s="1">
        <v>2</v>
      </c>
      <c r="D185" s="1" t="s">
        <v>21</v>
      </c>
      <c r="E185" s="1">
        <v>2</v>
      </c>
      <c r="F185" s="1">
        <v>1</v>
      </c>
      <c r="G185" s="1" t="s">
        <v>22</v>
      </c>
      <c r="H185" s="1">
        <v>2</v>
      </c>
      <c r="I185" s="1">
        <v>0</v>
      </c>
      <c r="J185" s="1" t="s">
        <v>21</v>
      </c>
      <c r="K185" s="1">
        <v>6</v>
      </c>
      <c r="L185" s="1" t="s">
        <v>23</v>
      </c>
      <c r="M185" s="1" t="s">
        <v>24</v>
      </c>
      <c r="N185" s="1" t="s">
        <v>21</v>
      </c>
      <c r="O185" s="1">
        <v>168.27999600000001</v>
      </c>
      <c r="P185" s="1">
        <v>150.86125100000001</v>
      </c>
      <c r="Q185" s="2">
        <f t="shared" si="2"/>
        <v>0.10351049093202974</v>
      </c>
      <c r="R185" s="1" t="s">
        <v>125</v>
      </c>
      <c r="S185" s="4">
        <v>20.04</v>
      </c>
      <c r="T185" s="5">
        <v>2.1460000425577161E-4</v>
      </c>
    </row>
    <row r="186" spans="1:20">
      <c r="A186" s="1" t="s">
        <v>109</v>
      </c>
      <c r="B186" s="1">
        <v>2</v>
      </c>
      <c r="C186" s="1">
        <v>0</v>
      </c>
      <c r="D186" s="1" t="s">
        <v>22</v>
      </c>
      <c r="E186" s="1">
        <v>4</v>
      </c>
      <c r="F186" s="1">
        <v>2</v>
      </c>
      <c r="G186" s="1" t="s">
        <v>21</v>
      </c>
      <c r="H186" s="1">
        <v>7</v>
      </c>
      <c r="I186" s="1">
        <v>3</v>
      </c>
      <c r="J186" s="1" t="s">
        <v>21</v>
      </c>
      <c r="K186" s="1">
        <v>6</v>
      </c>
      <c r="L186" s="1" t="s">
        <v>23</v>
      </c>
      <c r="M186" s="1" t="s">
        <v>24</v>
      </c>
      <c r="N186" s="1" t="s">
        <v>21</v>
      </c>
      <c r="O186" s="1">
        <v>342.15999199999999</v>
      </c>
      <c r="P186" s="1">
        <v>300.50704000000002</v>
      </c>
      <c r="Q186" s="2">
        <f t="shared" si="2"/>
        <v>0.12173530796668937</v>
      </c>
      <c r="R186" s="1" t="s">
        <v>125</v>
      </c>
      <c r="S186" s="4">
        <v>19.73</v>
      </c>
      <c r="T186" s="5">
        <v>2.36299994867295E-4</v>
      </c>
    </row>
    <row r="187" spans="1:20">
      <c r="A187" s="1" t="s">
        <v>110</v>
      </c>
      <c r="B187" s="1">
        <v>3</v>
      </c>
      <c r="C187" s="1">
        <v>0</v>
      </c>
      <c r="D187" s="1" t="s">
        <v>22</v>
      </c>
      <c r="E187" s="1">
        <v>3</v>
      </c>
      <c r="F187" s="1">
        <v>2</v>
      </c>
      <c r="G187" s="1" t="s">
        <v>21</v>
      </c>
      <c r="H187" s="1">
        <v>8</v>
      </c>
      <c r="I187" s="1">
        <v>4</v>
      </c>
      <c r="J187" s="1" t="s">
        <v>21</v>
      </c>
      <c r="K187" s="1">
        <v>0</v>
      </c>
      <c r="L187" s="1" t="s">
        <v>23</v>
      </c>
      <c r="M187" s="1" t="s">
        <v>24</v>
      </c>
      <c r="N187" s="1" t="s">
        <v>21</v>
      </c>
      <c r="O187" s="1">
        <v>70.279999000000004</v>
      </c>
      <c r="P187" s="1">
        <v>81.129801999999998</v>
      </c>
      <c r="Q187" s="2">
        <f t="shared" si="2"/>
        <v>0.15437966924273852</v>
      </c>
      <c r="R187" s="1" t="s">
        <v>125</v>
      </c>
      <c r="S187" s="4">
        <v>19.579999999999998</v>
      </c>
      <c r="T187" s="5">
        <v>2.28899996727705E-4</v>
      </c>
    </row>
    <row r="188" spans="1:20">
      <c r="A188" s="1" t="s">
        <v>111</v>
      </c>
      <c r="B188" s="1">
        <v>3</v>
      </c>
      <c r="C188" s="1">
        <v>1</v>
      </c>
      <c r="D188" s="1" t="s">
        <v>21</v>
      </c>
      <c r="E188" s="1">
        <v>3</v>
      </c>
      <c r="F188" s="1">
        <v>0</v>
      </c>
      <c r="G188" s="1" t="s">
        <v>21</v>
      </c>
      <c r="H188" s="1">
        <v>7</v>
      </c>
      <c r="I188" s="1">
        <v>3</v>
      </c>
      <c r="J188" s="1" t="s">
        <v>21</v>
      </c>
      <c r="K188" s="1">
        <v>1</v>
      </c>
      <c r="L188" s="1" t="s">
        <v>23</v>
      </c>
      <c r="M188" s="1" t="s">
        <v>24</v>
      </c>
      <c r="N188" s="1" t="s">
        <v>22</v>
      </c>
      <c r="O188" s="1">
        <v>148.96</v>
      </c>
      <c r="P188" s="1">
        <v>117.95762999999999</v>
      </c>
      <c r="Q188" s="2">
        <f t="shared" si="2"/>
        <v>0.2081254699248121</v>
      </c>
      <c r="R188" s="1" t="s">
        <v>125</v>
      </c>
      <c r="S188" s="4">
        <v>19.09</v>
      </c>
      <c r="T188" s="5">
        <v>2.0939996466040611E-4</v>
      </c>
    </row>
    <row r="189" spans="1:20">
      <c r="A189" s="1" t="s">
        <v>112</v>
      </c>
      <c r="B189" s="1">
        <v>3</v>
      </c>
      <c r="C189" s="1">
        <v>1</v>
      </c>
      <c r="D189" s="1" t="s">
        <v>21</v>
      </c>
      <c r="E189" s="1">
        <v>2</v>
      </c>
      <c r="F189" s="1">
        <v>1</v>
      </c>
      <c r="G189" s="1" t="s">
        <v>22</v>
      </c>
      <c r="H189" s="1">
        <v>5</v>
      </c>
      <c r="I189" s="1">
        <v>1</v>
      </c>
      <c r="J189" s="1" t="s">
        <v>21</v>
      </c>
      <c r="K189" s="1">
        <v>1</v>
      </c>
      <c r="L189" s="1" t="s">
        <v>23</v>
      </c>
      <c r="M189" s="1" t="s">
        <v>24</v>
      </c>
      <c r="N189" s="1" t="s">
        <v>21</v>
      </c>
      <c r="O189" s="1">
        <v>105.559999</v>
      </c>
      <c r="P189" s="1">
        <v>95.623538999999994</v>
      </c>
      <c r="Q189" s="2">
        <f t="shared" si="2"/>
        <v>9.4130921695063777E-2</v>
      </c>
      <c r="R189" s="1" t="s">
        <v>125</v>
      </c>
      <c r="S189" s="4">
        <v>19.97</v>
      </c>
      <c r="T189" s="5">
        <v>2.2940000053495169E-4</v>
      </c>
    </row>
    <row r="190" spans="1:20">
      <c r="A190" s="1" t="s">
        <v>113</v>
      </c>
      <c r="B190" s="1">
        <v>2</v>
      </c>
      <c r="C190" s="1">
        <v>1</v>
      </c>
      <c r="D190" s="1" t="s">
        <v>21</v>
      </c>
      <c r="E190" s="1">
        <v>3</v>
      </c>
      <c r="F190" s="1">
        <v>2</v>
      </c>
      <c r="G190" s="1" t="s">
        <v>22</v>
      </c>
      <c r="H190" s="1">
        <v>4</v>
      </c>
      <c r="I190" s="1">
        <v>1</v>
      </c>
      <c r="J190" s="1" t="s">
        <v>21</v>
      </c>
      <c r="K190" s="1">
        <v>1</v>
      </c>
      <c r="L190" s="1" t="s">
        <v>23</v>
      </c>
      <c r="M190" s="1" t="s">
        <v>24</v>
      </c>
      <c r="N190" s="1" t="s">
        <v>21</v>
      </c>
      <c r="O190" s="1">
        <v>84.839999000000006</v>
      </c>
      <c r="P190" s="1">
        <v>87.349695999999994</v>
      </c>
      <c r="Q190" s="2">
        <f t="shared" si="2"/>
        <v>2.9581530287382352E-2</v>
      </c>
      <c r="R190" s="1" t="s">
        <v>125</v>
      </c>
      <c r="S190" s="4">
        <v>20.059999999999999</v>
      </c>
      <c r="T190" s="5">
        <v>2.14700005017221E-4</v>
      </c>
    </row>
    <row r="191" spans="1:20">
      <c r="A191" s="1" t="s">
        <v>114</v>
      </c>
      <c r="B191" s="1">
        <v>2</v>
      </c>
      <c r="C191" s="1">
        <v>1</v>
      </c>
      <c r="D191" s="1" t="s">
        <v>21</v>
      </c>
      <c r="E191" s="1">
        <v>3</v>
      </c>
      <c r="F191" s="1">
        <v>2</v>
      </c>
      <c r="G191" s="1" t="s">
        <v>21</v>
      </c>
      <c r="H191" s="1">
        <v>5</v>
      </c>
      <c r="I191" s="1">
        <v>2</v>
      </c>
      <c r="J191" s="1" t="s">
        <v>21</v>
      </c>
      <c r="K191" s="1">
        <v>6</v>
      </c>
      <c r="L191" s="1" t="s">
        <v>23</v>
      </c>
      <c r="M191" s="1" t="s">
        <v>24</v>
      </c>
      <c r="N191" s="1" t="s">
        <v>22</v>
      </c>
      <c r="O191" s="1">
        <v>253.960003</v>
      </c>
      <c r="P191" s="1">
        <v>235.32753400000001</v>
      </c>
      <c r="Q191" s="2">
        <f t="shared" si="2"/>
        <v>7.3367730272077478E-2</v>
      </c>
      <c r="R191" s="1" t="s">
        <v>125</v>
      </c>
      <c r="S191" s="4">
        <v>19.21</v>
      </c>
      <c r="T191" s="5">
        <v>2.191999810747802E-4</v>
      </c>
    </row>
    <row r="192" spans="1:20">
      <c r="A192" s="1" t="s">
        <v>115</v>
      </c>
      <c r="B192" s="1">
        <v>4</v>
      </c>
      <c r="C192" s="1">
        <v>3</v>
      </c>
      <c r="D192" s="1" t="s">
        <v>21</v>
      </c>
      <c r="E192" s="1">
        <v>2</v>
      </c>
      <c r="F192" s="1">
        <v>1</v>
      </c>
      <c r="G192" s="1" t="s">
        <v>21</v>
      </c>
      <c r="H192" s="1">
        <v>5</v>
      </c>
      <c r="I192" s="1">
        <v>4</v>
      </c>
      <c r="J192" s="1" t="s">
        <v>21</v>
      </c>
      <c r="K192" s="1">
        <v>3</v>
      </c>
      <c r="L192" s="1" t="s">
        <v>23</v>
      </c>
      <c r="M192" s="1" t="s">
        <v>24</v>
      </c>
      <c r="N192" s="1" t="s">
        <v>21</v>
      </c>
      <c r="O192" s="1">
        <v>191.51999599999999</v>
      </c>
      <c r="P192" s="1">
        <v>159.636269</v>
      </c>
      <c r="Q192" s="2">
        <f t="shared" si="2"/>
        <v>0.16647727478022709</v>
      </c>
      <c r="R192" s="1" t="s">
        <v>125</v>
      </c>
      <c r="S192" s="4">
        <v>19.3</v>
      </c>
      <c r="T192" s="5">
        <v>2.3679999867454171E-4</v>
      </c>
    </row>
    <row r="193" spans="1:20">
      <c r="A193" s="1" t="s">
        <v>116</v>
      </c>
      <c r="B193" s="1">
        <v>3</v>
      </c>
      <c r="C193" s="1">
        <v>2</v>
      </c>
      <c r="D193" s="1" t="s">
        <v>21</v>
      </c>
      <c r="E193" s="1">
        <v>2</v>
      </c>
      <c r="F193" s="1">
        <v>0</v>
      </c>
      <c r="G193" s="1" t="s">
        <v>22</v>
      </c>
      <c r="H193" s="1">
        <v>8</v>
      </c>
      <c r="I193" s="1">
        <v>4</v>
      </c>
      <c r="J193" s="1" t="s">
        <v>21</v>
      </c>
      <c r="K193" s="1">
        <v>3</v>
      </c>
      <c r="L193" s="1" t="s">
        <v>23</v>
      </c>
      <c r="M193" s="1" t="s">
        <v>24</v>
      </c>
      <c r="N193" s="1" t="s">
        <v>22</v>
      </c>
      <c r="O193" s="1">
        <v>179.48000200000001</v>
      </c>
      <c r="P193" s="1">
        <v>143.243741</v>
      </c>
      <c r="Q193" s="2">
        <f t="shared" si="2"/>
        <v>0.20189581343998431</v>
      </c>
      <c r="R193" s="1" t="s">
        <v>125</v>
      </c>
      <c r="S193" s="4">
        <v>19.53</v>
      </c>
      <c r="T193" s="5">
        <v>2.16200016438961E-4</v>
      </c>
    </row>
    <row r="194" spans="1:20">
      <c r="A194" s="1" t="s">
        <v>117</v>
      </c>
      <c r="B194" s="1">
        <v>4</v>
      </c>
      <c r="C194" s="1">
        <v>2</v>
      </c>
      <c r="D194" s="1" t="s">
        <v>21</v>
      </c>
      <c r="E194" s="1">
        <v>2</v>
      </c>
      <c r="F194" s="1">
        <v>0</v>
      </c>
      <c r="G194" s="1" t="s">
        <v>22</v>
      </c>
      <c r="H194" s="1">
        <v>7</v>
      </c>
      <c r="I194" s="1">
        <v>3</v>
      </c>
      <c r="J194" s="1" t="s">
        <v>21</v>
      </c>
      <c r="K194" s="1">
        <v>2</v>
      </c>
      <c r="L194" s="1" t="s">
        <v>23</v>
      </c>
      <c r="M194" s="1" t="s">
        <v>24</v>
      </c>
      <c r="N194" s="1" t="s">
        <v>22</v>
      </c>
      <c r="O194" s="1">
        <v>168.560001</v>
      </c>
      <c r="P194" s="1">
        <v>119.812139</v>
      </c>
      <c r="Q194" s="2">
        <f t="shared" ref="Q194:Q257" si="3">ABS(P194-O194)/O194</f>
        <v>0.28920183739201566</v>
      </c>
      <c r="R194" s="1" t="s">
        <v>125</v>
      </c>
      <c r="S194" s="4">
        <v>19.66</v>
      </c>
      <c r="T194" s="5">
        <v>2.0700000459328291E-4</v>
      </c>
    </row>
    <row r="195" spans="1:20">
      <c r="A195" s="1" t="s">
        <v>118</v>
      </c>
      <c r="B195" s="1">
        <v>2</v>
      </c>
      <c r="C195" s="1">
        <v>1</v>
      </c>
      <c r="D195" s="1" t="s">
        <v>22</v>
      </c>
      <c r="E195" s="1">
        <v>4</v>
      </c>
      <c r="F195" s="1">
        <v>3</v>
      </c>
      <c r="G195" s="1" t="s">
        <v>21</v>
      </c>
      <c r="H195" s="1">
        <v>5</v>
      </c>
      <c r="I195" s="1">
        <v>4</v>
      </c>
      <c r="J195" s="1" t="s">
        <v>21</v>
      </c>
      <c r="K195" s="1">
        <v>0</v>
      </c>
      <c r="L195" s="1" t="s">
        <v>23</v>
      </c>
      <c r="M195" s="1" t="s">
        <v>24</v>
      </c>
      <c r="N195" s="1" t="s">
        <v>22</v>
      </c>
      <c r="O195" s="1">
        <v>69.44</v>
      </c>
      <c r="P195" s="1">
        <v>68.786508999999995</v>
      </c>
      <c r="Q195" s="2">
        <f t="shared" si="3"/>
        <v>9.4108726958525707E-3</v>
      </c>
      <c r="R195" s="1" t="s">
        <v>125</v>
      </c>
      <c r="S195" s="4">
        <v>20.149999999999999</v>
      </c>
      <c r="T195" s="5">
        <v>2.0629999926313761E-4</v>
      </c>
    </row>
    <row r="196" spans="1:20">
      <c r="A196" s="1" t="s">
        <v>119</v>
      </c>
      <c r="B196" s="1">
        <v>2</v>
      </c>
      <c r="C196" s="1">
        <v>1</v>
      </c>
      <c r="D196" s="1" t="s">
        <v>21</v>
      </c>
      <c r="E196" s="1">
        <v>3</v>
      </c>
      <c r="F196" s="1">
        <v>1</v>
      </c>
      <c r="G196" s="1" t="s">
        <v>22</v>
      </c>
      <c r="H196" s="1">
        <v>4</v>
      </c>
      <c r="I196" s="1">
        <v>0</v>
      </c>
      <c r="J196" s="1" t="s">
        <v>21</v>
      </c>
      <c r="K196" s="1">
        <v>6</v>
      </c>
      <c r="L196" s="1" t="s">
        <v>23</v>
      </c>
      <c r="M196" s="1" t="s">
        <v>24</v>
      </c>
      <c r="N196" s="1" t="s">
        <v>21</v>
      </c>
      <c r="O196" s="1">
        <v>231.55999399999999</v>
      </c>
      <c r="P196" s="1">
        <v>214.326312</v>
      </c>
      <c r="Q196" s="2">
        <f t="shared" si="3"/>
        <v>7.4424263458911594E-2</v>
      </c>
      <c r="R196" s="1" t="s">
        <v>125</v>
      </c>
      <c r="S196" s="4">
        <v>19.62</v>
      </c>
      <c r="T196" s="5">
        <v>2.060999977402389E-4</v>
      </c>
    </row>
    <row r="197" spans="1:20">
      <c r="A197" s="1" t="s">
        <v>120</v>
      </c>
      <c r="B197" s="1">
        <v>2</v>
      </c>
      <c r="C197" s="1">
        <v>1</v>
      </c>
      <c r="D197" s="1" t="s">
        <v>22</v>
      </c>
      <c r="E197" s="1">
        <v>2</v>
      </c>
      <c r="F197" s="1">
        <v>1</v>
      </c>
      <c r="G197" s="1" t="s">
        <v>21</v>
      </c>
      <c r="H197" s="1">
        <v>7</v>
      </c>
      <c r="I197" s="1">
        <v>3</v>
      </c>
      <c r="J197" s="1" t="s">
        <v>21</v>
      </c>
      <c r="K197" s="1">
        <v>2</v>
      </c>
      <c r="L197" s="1" t="s">
        <v>23</v>
      </c>
      <c r="M197" s="1" t="s">
        <v>24</v>
      </c>
      <c r="N197" s="1" t="s">
        <v>22</v>
      </c>
      <c r="O197" s="1">
        <v>114.24000100000001</v>
      </c>
      <c r="P197" s="1">
        <v>90.412188999999998</v>
      </c>
      <c r="Q197" s="2">
        <f t="shared" si="3"/>
        <v>0.20857678388850862</v>
      </c>
      <c r="R197" s="1" t="s">
        <v>125</v>
      </c>
      <c r="S197" s="4">
        <v>19.079999999999998</v>
      </c>
      <c r="T197" s="5">
        <v>2.0420004148036239E-4</v>
      </c>
    </row>
    <row r="198" spans="1:20">
      <c r="A198" s="1" t="s">
        <v>121</v>
      </c>
      <c r="B198" s="1">
        <v>3</v>
      </c>
      <c r="C198" s="1">
        <v>2</v>
      </c>
      <c r="D198" s="1" t="s">
        <v>21</v>
      </c>
      <c r="E198" s="1">
        <v>2</v>
      </c>
      <c r="F198" s="1">
        <v>0</v>
      </c>
      <c r="G198" s="1" t="s">
        <v>21</v>
      </c>
      <c r="H198" s="1">
        <v>4</v>
      </c>
      <c r="I198" s="1">
        <v>0</v>
      </c>
      <c r="J198" s="1" t="s">
        <v>21</v>
      </c>
      <c r="K198" s="1">
        <v>6</v>
      </c>
      <c r="L198" s="1" t="s">
        <v>23</v>
      </c>
      <c r="M198" s="1" t="s">
        <v>24</v>
      </c>
      <c r="N198" s="1" t="s">
        <v>21</v>
      </c>
      <c r="O198" s="1">
        <v>240.239994</v>
      </c>
      <c r="P198" s="1">
        <v>221.49523300000001</v>
      </c>
      <c r="Q198" s="2">
        <f t="shared" si="3"/>
        <v>7.8025147636325634E-2</v>
      </c>
      <c r="R198" s="1" t="s">
        <v>125</v>
      </c>
      <c r="S198" s="4">
        <v>20.010000000000002</v>
      </c>
      <c r="T198" s="5">
        <v>2.0640000002458689E-4</v>
      </c>
    </row>
    <row r="199" spans="1:20">
      <c r="A199" s="1" t="s">
        <v>122</v>
      </c>
      <c r="B199" s="1">
        <v>2</v>
      </c>
      <c r="C199" s="1">
        <v>1</v>
      </c>
      <c r="D199" s="1" t="s">
        <v>21</v>
      </c>
      <c r="E199" s="1">
        <v>3</v>
      </c>
      <c r="F199" s="1">
        <v>1</v>
      </c>
      <c r="G199" s="1" t="s">
        <v>22</v>
      </c>
      <c r="H199" s="1">
        <v>6</v>
      </c>
      <c r="I199" s="1">
        <v>2</v>
      </c>
      <c r="J199" s="1" t="s">
        <v>21</v>
      </c>
      <c r="K199" s="1">
        <v>0</v>
      </c>
      <c r="L199" s="1" t="s">
        <v>23</v>
      </c>
      <c r="M199" s="1" t="s">
        <v>24</v>
      </c>
      <c r="N199" s="1" t="s">
        <v>21</v>
      </c>
      <c r="O199" s="1">
        <v>41.16</v>
      </c>
      <c r="P199" s="1">
        <v>59.593145</v>
      </c>
      <c r="Q199" s="2">
        <f t="shared" si="3"/>
        <v>0.44784122934888254</v>
      </c>
      <c r="R199" s="1" t="s">
        <v>125</v>
      </c>
      <c r="S199" s="4">
        <v>19.309999999999999</v>
      </c>
      <c r="T199" s="5">
        <v>2.0730000687763089E-4</v>
      </c>
    </row>
    <row r="200" spans="1:20">
      <c r="A200" s="1" t="s">
        <v>123</v>
      </c>
      <c r="B200" s="1">
        <v>4</v>
      </c>
      <c r="C200" s="1">
        <v>3</v>
      </c>
      <c r="D200" s="1" t="s">
        <v>21</v>
      </c>
      <c r="E200" s="1">
        <v>2</v>
      </c>
      <c r="F200" s="1">
        <v>0</v>
      </c>
      <c r="G200" s="1" t="s">
        <v>22</v>
      </c>
      <c r="H200" s="1">
        <v>2</v>
      </c>
      <c r="I200" s="1">
        <v>1</v>
      </c>
      <c r="J200" s="1" t="s">
        <v>21</v>
      </c>
      <c r="K200" s="1">
        <v>1</v>
      </c>
      <c r="L200" s="1" t="s">
        <v>23</v>
      </c>
      <c r="M200" s="1" t="s">
        <v>24</v>
      </c>
      <c r="N200" s="1" t="s">
        <v>21</v>
      </c>
      <c r="O200" s="1">
        <v>76.719999000000001</v>
      </c>
      <c r="P200" s="1">
        <v>76.728764999999996</v>
      </c>
      <c r="Q200" s="2">
        <f t="shared" si="3"/>
        <v>1.1425964695325763E-4</v>
      </c>
      <c r="R200" s="1" t="s">
        <v>125</v>
      </c>
      <c r="S200" s="4">
        <v>19.71</v>
      </c>
      <c r="T200" s="5">
        <v>2.0730000687763089E-4</v>
      </c>
    </row>
    <row r="201" spans="1:20">
      <c r="A201" s="1" t="s">
        <v>124</v>
      </c>
      <c r="B201" s="1">
        <v>14</v>
      </c>
      <c r="C201" s="1">
        <v>4</v>
      </c>
      <c r="D201" s="1" t="s">
        <v>21</v>
      </c>
      <c r="E201" s="1">
        <v>32</v>
      </c>
      <c r="F201" s="1">
        <v>14</v>
      </c>
      <c r="G201" s="1" t="s">
        <v>22</v>
      </c>
      <c r="H201" s="1">
        <v>5</v>
      </c>
      <c r="I201" s="1">
        <v>0</v>
      </c>
      <c r="J201" s="1" t="s">
        <v>21</v>
      </c>
      <c r="K201" s="1">
        <v>1</v>
      </c>
      <c r="L201" s="1" t="s">
        <v>23</v>
      </c>
      <c r="M201" s="1" t="s">
        <v>24</v>
      </c>
      <c r="N201" s="1" t="s">
        <v>21</v>
      </c>
      <c r="O201" s="1">
        <v>4692.2399560000003</v>
      </c>
      <c r="P201" s="1">
        <v>4584.9720719999996</v>
      </c>
      <c r="Q201" s="2">
        <f t="shared" si="3"/>
        <v>2.2860698729364123E-2</v>
      </c>
      <c r="R201" s="1" t="s">
        <v>125</v>
      </c>
      <c r="S201" s="4">
        <v>22.65</v>
      </c>
      <c r="T201" s="5">
        <v>2.6459997752681369E-4</v>
      </c>
    </row>
    <row r="202" spans="1:20">
      <c r="A202" s="1" t="s">
        <v>128</v>
      </c>
      <c r="B202" s="1">
        <v>24</v>
      </c>
      <c r="C202" s="1">
        <v>22</v>
      </c>
      <c r="D202" s="1" t="s">
        <v>22</v>
      </c>
      <c r="E202" s="1">
        <v>8</v>
      </c>
      <c r="F202" s="1">
        <v>2</v>
      </c>
      <c r="G202" s="1" t="s">
        <v>22</v>
      </c>
      <c r="H202" s="1">
        <v>13</v>
      </c>
      <c r="I202" s="1">
        <v>1</v>
      </c>
      <c r="J202" s="1" t="s">
        <v>22</v>
      </c>
      <c r="K202" s="1">
        <v>4</v>
      </c>
      <c r="L202" s="1" t="s">
        <v>23</v>
      </c>
      <c r="M202" s="1" t="s">
        <v>24</v>
      </c>
      <c r="N202" s="1" t="s">
        <v>22</v>
      </c>
      <c r="O202" s="1">
        <v>1963.0799890000001</v>
      </c>
      <c r="P202" s="1">
        <v>2017.2716829999999</v>
      </c>
      <c r="Q202" s="2">
        <f t="shared" si="3"/>
        <v>2.7605443641451059E-2</v>
      </c>
      <c r="R202" s="1" t="s">
        <v>125</v>
      </c>
      <c r="S202" s="4">
        <v>20.27</v>
      </c>
      <c r="T202" s="5">
        <v>2.5749998167157168E-4</v>
      </c>
    </row>
    <row r="203" spans="1:20">
      <c r="A203" s="1" t="s">
        <v>129</v>
      </c>
      <c r="B203" s="1">
        <v>5</v>
      </c>
      <c r="C203" s="1">
        <v>3</v>
      </c>
      <c r="D203" s="1" t="s">
        <v>22</v>
      </c>
      <c r="E203" s="1">
        <v>14</v>
      </c>
      <c r="F203" s="1">
        <v>2</v>
      </c>
      <c r="G203" s="1" t="s">
        <v>21</v>
      </c>
      <c r="H203" s="1">
        <v>10</v>
      </c>
      <c r="I203" s="1">
        <v>6</v>
      </c>
      <c r="J203" s="1" t="s">
        <v>21</v>
      </c>
      <c r="K203" s="1">
        <v>1</v>
      </c>
      <c r="L203" s="1" t="s">
        <v>23</v>
      </c>
      <c r="M203" s="1" t="s">
        <v>24</v>
      </c>
      <c r="N203" s="1" t="s">
        <v>21</v>
      </c>
      <c r="O203" s="1">
        <v>893.47999100000004</v>
      </c>
      <c r="P203" s="1">
        <v>820.86809700000003</v>
      </c>
      <c r="Q203" s="2">
        <f t="shared" si="3"/>
        <v>8.126862910352517E-2</v>
      </c>
      <c r="R203" s="1" t="s">
        <v>125</v>
      </c>
      <c r="S203" s="4">
        <v>19.86</v>
      </c>
      <c r="T203" s="5">
        <v>2.5969999842345709E-4</v>
      </c>
    </row>
    <row r="204" spans="1:20">
      <c r="A204" s="1" t="s">
        <v>130</v>
      </c>
      <c r="B204" s="1">
        <v>20</v>
      </c>
      <c r="C204" s="1">
        <v>17</v>
      </c>
      <c r="D204" s="1" t="s">
        <v>21</v>
      </c>
      <c r="E204" s="1">
        <v>24</v>
      </c>
      <c r="F204" s="1">
        <v>17</v>
      </c>
      <c r="G204" s="1" t="s">
        <v>22</v>
      </c>
      <c r="H204" s="1">
        <v>9</v>
      </c>
      <c r="I204" s="1">
        <v>4</v>
      </c>
      <c r="J204" s="1" t="s">
        <v>21</v>
      </c>
      <c r="K204" s="1">
        <v>1</v>
      </c>
      <c r="L204" s="1" t="s">
        <v>23</v>
      </c>
      <c r="M204" s="1" t="s">
        <v>24</v>
      </c>
      <c r="N204" s="1" t="s">
        <v>22</v>
      </c>
      <c r="O204" s="1">
        <v>5046.4399569999996</v>
      </c>
      <c r="P204" s="1">
        <v>5097.1733789999998</v>
      </c>
      <c r="Q204" s="2">
        <f t="shared" si="3"/>
        <v>1.0053309349222928E-2</v>
      </c>
      <c r="R204" s="1" t="s">
        <v>125</v>
      </c>
      <c r="S204" s="4">
        <v>23.11</v>
      </c>
      <c r="T204" s="5">
        <v>2.7459999546408648E-4</v>
      </c>
    </row>
    <row r="205" spans="1:20">
      <c r="A205" s="1" t="s">
        <v>131</v>
      </c>
      <c r="B205" s="1">
        <v>6</v>
      </c>
      <c r="C205" s="1">
        <v>1</v>
      </c>
      <c r="D205" s="1" t="s">
        <v>22</v>
      </c>
      <c r="E205" s="1">
        <v>10</v>
      </c>
      <c r="F205" s="1">
        <v>6</v>
      </c>
      <c r="G205" s="1" t="s">
        <v>21</v>
      </c>
      <c r="H205" s="1">
        <v>5</v>
      </c>
      <c r="I205" s="1">
        <v>0</v>
      </c>
      <c r="J205" s="1" t="s">
        <v>21</v>
      </c>
      <c r="K205" s="1">
        <v>1</v>
      </c>
      <c r="L205" s="1" t="s">
        <v>23</v>
      </c>
      <c r="M205" s="1" t="s">
        <v>24</v>
      </c>
      <c r="N205" s="1" t="s">
        <v>21</v>
      </c>
      <c r="O205" s="1">
        <v>705.31999299999995</v>
      </c>
      <c r="P205" s="1">
        <v>694.25371900000005</v>
      </c>
      <c r="Q205" s="2">
        <f t="shared" si="3"/>
        <v>1.5689721133425899E-2</v>
      </c>
      <c r="R205" s="1" t="s">
        <v>125</v>
      </c>
      <c r="S205" s="4">
        <v>20.32</v>
      </c>
      <c r="T205" s="5">
        <v>2.3420003708451989E-4</v>
      </c>
    </row>
    <row r="206" spans="1:20">
      <c r="A206" s="1" t="s">
        <v>132</v>
      </c>
      <c r="B206" s="1">
        <v>20</v>
      </c>
      <c r="C206" s="1">
        <v>4</v>
      </c>
      <c r="D206" s="1" t="s">
        <v>21</v>
      </c>
      <c r="E206" s="1">
        <v>20</v>
      </c>
      <c r="F206" s="1">
        <v>3</v>
      </c>
      <c r="G206" s="1" t="s">
        <v>22</v>
      </c>
      <c r="H206" s="1">
        <v>6</v>
      </c>
      <c r="I206" s="1">
        <v>2</v>
      </c>
      <c r="J206" s="1" t="s">
        <v>21</v>
      </c>
      <c r="K206" s="1">
        <v>2</v>
      </c>
      <c r="L206" s="1" t="s">
        <v>23</v>
      </c>
      <c r="M206" s="1" t="s">
        <v>24</v>
      </c>
      <c r="N206" s="1" t="s">
        <v>22</v>
      </c>
      <c r="O206" s="1">
        <v>4433.2399690000002</v>
      </c>
      <c r="P206" s="1">
        <v>4358.9141140000002</v>
      </c>
      <c r="Q206" s="2">
        <f t="shared" si="3"/>
        <v>1.6765583528014077E-2</v>
      </c>
      <c r="R206" s="1" t="s">
        <v>125</v>
      </c>
      <c r="S206" s="4">
        <v>22.65</v>
      </c>
      <c r="T206" s="5">
        <v>2.6030000299215322E-4</v>
      </c>
    </row>
    <row r="207" spans="1:20">
      <c r="A207" s="1" t="s">
        <v>133</v>
      </c>
      <c r="B207" s="1">
        <v>4</v>
      </c>
      <c r="C207" s="1">
        <v>2</v>
      </c>
      <c r="D207" s="1" t="s">
        <v>22</v>
      </c>
      <c r="E207" s="1">
        <v>20</v>
      </c>
      <c r="F207" s="1">
        <v>6</v>
      </c>
      <c r="G207" s="1" t="s">
        <v>22</v>
      </c>
      <c r="H207" s="1">
        <v>12</v>
      </c>
      <c r="I207" s="1">
        <v>0</v>
      </c>
      <c r="J207" s="1" t="s">
        <v>22</v>
      </c>
      <c r="K207" s="1">
        <v>2</v>
      </c>
      <c r="L207" s="1" t="s">
        <v>23</v>
      </c>
      <c r="M207" s="1" t="s">
        <v>24</v>
      </c>
      <c r="N207" s="1" t="s">
        <v>22</v>
      </c>
      <c r="O207" s="1">
        <v>868.83999500000004</v>
      </c>
      <c r="P207" s="1">
        <v>747.85069499999997</v>
      </c>
      <c r="Q207" s="2">
        <f t="shared" si="3"/>
        <v>0.13925383349784681</v>
      </c>
      <c r="R207" s="1" t="s">
        <v>125</v>
      </c>
      <c r="S207" s="4">
        <v>19.78</v>
      </c>
      <c r="T207" s="5">
        <v>2.6210001669824118E-4</v>
      </c>
    </row>
    <row r="208" spans="1:20">
      <c r="A208" s="1" t="s">
        <v>134</v>
      </c>
      <c r="B208" s="1">
        <v>9</v>
      </c>
      <c r="C208" s="1">
        <v>3</v>
      </c>
      <c r="D208" s="1" t="s">
        <v>21</v>
      </c>
      <c r="E208" s="1">
        <v>20</v>
      </c>
      <c r="F208" s="1">
        <v>3</v>
      </c>
      <c r="G208" s="1" t="s">
        <v>21</v>
      </c>
      <c r="H208" s="1">
        <v>5</v>
      </c>
      <c r="I208" s="1">
        <v>0</v>
      </c>
      <c r="J208" s="1" t="s">
        <v>21</v>
      </c>
      <c r="K208" s="1">
        <v>2</v>
      </c>
      <c r="L208" s="1" t="s">
        <v>23</v>
      </c>
      <c r="M208" s="1" t="s">
        <v>24</v>
      </c>
      <c r="N208" s="1" t="s">
        <v>21</v>
      </c>
      <c r="O208" s="1">
        <v>2244.4799760000001</v>
      </c>
      <c r="P208" s="1">
        <v>2155.5863559999998</v>
      </c>
      <c r="Q208" s="2">
        <f t="shared" si="3"/>
        <v>3.9605441327403616E-2</v>
      </c>
      <c r="R208" s="1" t="s">
        <v>125</v>
      </c>
      <c r="S208" s="4">
        <v>20.8</v>
      </c>
      <c r="T208" s="5">
        <v>2.516999957151711E-4</v>
      </c>
    </row>
    <row r="209" spans="1:20">
      <c r="A209" s="1" t="s">
        <v>135</v>
      </c>
      <c r="B209" s="1">
        <v>8</v>
      </c>
      <c r="C209" s="1">
        <v>3</v>
      </c>
      <c r="D209" s="1" t="s">
        <v>21</v>
      </c>
      <c r="E209" s="1">
        <v>16</v>
      </c>
      <c r="F209" s="1">
        <v>8</v>
      </c>
      <c r="G209" s="1" t="s">
        <v>21</v>
      </c>
      <c r="H209" s="1">
        <v>15</v>
      </c>
      <c r="I209" s="1">
        <v>3</v>
      </c>
      <c r="J209" s="1" t="s">
        <v>21</v>
      </c>
      <c r="K209" s="1">
        <v>1</v>
      </c>
      <c r="L209" s="1" t="s">
        <v>23</v>
      </c>
      <c r="M209" s="1" t="s">
        <v>24</v>
      </c>
      <c r="N209" s="1" t="s">
        <v>22</v>
      </c>
      <c r="O209" s="1">
        <v>1617.27999</v>
      </c>
      <c r="P209" s="1">
        <v>1568.43768</v>
      </c>
      <c r="Q209" s="2">
        <f t="shared" si="3"/>
        <v>3.0200280904977991E-2</v>
      </c>
      <c r="R209" s="1" t="s">
        <v>125</v>
      </c>
      <c r="S209" s="4">
        <v>21.09</v>
      </c>
      <c r="T209" s="5">
        <v>2.4610001128166909E-4</v>
      </c>
    </row>
    <row r="210" spans="1:20">
      <c r="A210" s="1" t="s">
        <v>136</v>
      </c>
      <c r="B210" s="1">
        <v>20</v>
      </c>
      <c r="C210" s="1">
        <v>4</v>
      </c>
      <c r="D210" s="1" t="s">
        <v>21</v>
      </c>
      <c r="E210" s="1">
        <v>6</v>
      </c>
      <c r="F210" s="1">
        <v>2</v>
      </c>
      <c r="G210" s="1" t="s">
        <v>21</v>
      </c>
      <c r="H210" s="1">
        <v>10</v>
      </c>
      <c r="I210" s="1">
        <v>4</v>
      </c>
      <c r="J210" s="1" t="s">
        <v>21</v>
      </c>
      <c r="K210" s="1">
        <v>1</v>
      </c>
      <c r="L210" s="1" t="s">
        <v>23</v>
      </c>
      <c r="M210" s="1" t="s">
        <v>24</v>
      </c>
      <c r="N210" s="1" t="s">
        <v>21</v>
      </c>
      <c r="O210" s="1">
        <v>1390.199989</v>
      </c>
      <c r="P210" s="1">
        <v>1401.8304430000001</v>
      </c>
      <c r="Q210" s="2">
        <f t="shared" si="3"/>
        <v>8.3660294144917453E-3</v>
      </c>
      <c r="R210" s="1" t="s">
        <v>125</v>
      </c>
      <c r="S210" s="4">
        <v>20.77</v>
      </c>
      <c r="T210" s="5">
        <v>2.4560000747442251E-4</v>
      </c>
    </row>
    <row r="211" spans="1:20">
      <c r="A211" s="1" t="s">
        <v>137</v>
      </c>
      <c r="B211" s="1">
        <v>8</v>
      </c>
      <c r="C211" s="1">
        <v>2</v>
      </c>
      <c r="D211" s="1" t="s">
        <v>21</v>
      </c>
      <c r="E211" s="1">
        <v>16</v>
      </c>
      <c r="F211" s="1">
        <v>1</v>
      </c>
      <c r="G211" s="1" t="s">
        <v>22</v>
      </c>
      <c r="H211" s="1">
        <v>10</v>
      </c>
      <c r="I211" s="1">
        <v>2</v>
      </c>
      <c r="J211" s="1" t="s">
        <v>21</v>
      </c>
      <c r="K211" s="1">
        <v>1</v>
      </c>
      <c r="L211" s="1" t="s">
        <v>23</v>
      </c>
      <c r="M211" s="1" t="s">
        <v>24</v>
      </c>
      <c r="N211" s="1" t="s">
        <v>22</v>
      </c>
      <c r="O211" s="1">
        <v>1425.4799889999999</v>
      </c>
      <c r="P211" s="1">
        <v>1359.019865</v>
      </c>
      <c r="Q211" s="2">
        <f t="shared" si="3"/>
        <v>4.6622979286172185E-2</v>
      </c>
      <c r="R211" s="1" t="s">
        <v>125</v>
      </c>
      <c r="S211" s="4">
        <v>20.39</v>
      </c>
      <c r="T211" s="5">
        <v>2.3910001618787649E-4</v>
      </c>
    </row>
    <row r="212" spans="1:20">
      <c r="A212" s="1" t="s">
        <v>138</v>
      </c>
      <c r="B212" s="1">
        <v>9</v>
      </c>
      <c r="C212" s="1">
        <v>1</v>
      </c>
      <c r="D212" s="1" t="s">
        <v>22</v>
      </c>
      <c r="E212" s="1">
        <v>9</v>
      </c>
      <c r="F212" s="1">
        <v>5</v>
      </c>
      <c r="G212" s="1" t="s">
        <v>21</v>
      </c>
      <c r="H212" s="1">
        <v>4</v>
      </c>
      <c r="I212" s="1">
        <v>1</v>
      </c>
      <c r="J212" s="1" t="s">
        <v>21</v>
      </c>
      <c r="K212" s="1">
        <v>1</v>
      </c>
      <c r="L212" s="1" t="s">
        <v>23</v>
      </c>
      <c r="M212" s="1" t="s">
        <v>24</v>
      </c>
      <c r="N212" s="1" t="s">
        <v>22</v>
      </c>
      <c r="O212" s="1">
        <v>810.59999400000004</v>
      </c>
      <c r="P212" s="1">
        <v>876.50034800000003</v>
      </c>
      <c r="Q212" s="2">
        <f t="shared" si="3"/>
        <v>8.1298241411040514E-2</v>
      </c>
      <c r="R212" s="1" t="s">
        <v>125</v>
      </c>
      <c r="S212" s="4">
        <v>19.760000000000002</v>
      </c>
      <c r="T212" s="5">
        <v>2.3409997811540961E-4</v>
      </c>
    </row>
    <row r="213" spans="1:20">
      <c r="A213" s="1" t="s">
        <v>139</v>
      </c>
      <c r="B213" s="1">
        <v>20</v>
      </c>
      <c r="C213" s="1">
        <v>1</v>
      </c>
      <c r="D213" s="1" t="s">
        <v>21</v>
      </c>
      <c r="E213" s="1">
        <v>12</v>
      </c>
      <c r="F213" s="1">
        <v>7</v>
      </c>
      <c r="G213" s="1" t="s">
        <v>21</v>
      </c>
      <c r="H213" s="1">
        <v>8</v>
      </c>
      <c r="I213" s="1">
        <v>2</v>
      </c>
      <c r="J213" s="1" t="s">
        <v>21</v>
      </c>
      <c r="K213" s="1">
        <v>0</v>
      </c>
      <c r="L213" s="1" t="s">
        <v>23</v>
      </c>
      <c r="M213" s="1" t="s">
        <v>24</v>
      </c>
      <c r="N213" s="1" t="s">
        <v>21</v>
      </c>
      <c r="O213" s="1">
        <v>2632.2799770000001</v>
      </c>
      <c r="P213" s="1">
        <v>2600.596266</v>
      </c>
      <c r="Q213" s="2">
        <f t="shared" si="3"/>
        <v>1.2036603733965237E-2</v>
      </c>
      <c r="R213" s="1" t="s">
        <v>125</v>
      </c>
      <c r="S213" s="4">
        <v>22.88</v>
      </c>
      <c r="T213" s="5">
        <v>2.7149997185915709E-4</v>
      </c>
    </row>
    <row r="214" spans="1:20">
      <c r="A214" s="1" t="s">
        <v>140</v>
      </c>
      <c r="B214" s="1">
        <v>9</v>
      </c>
      <c r="C214" s="1">
        <v>4</v>
      </c>
      <c r="D214" s="1" t="s">
        <v>21</v>
      </c>
      <c r="E214" s="1">
        <v>24</v>
      </c>
      <c r="F214" s="1">
        <v>3</v>
      </c>
      <c r="G214" s="1" t="s">
        <v>21</v>
      </c>
      <c r="H214" s="1">
        <v>12</v>
      </c>
      <c r="I214" s="1">
        <v>0</v>
      </c>
      <c r="J214" s="1" t="s">
        <v>21</v>
      </c>
      <c r="K214" s="1">
        <v>0</v>
      </c>
      <c r="L214" s="1" t="s">
        <v>23</v>
      </c>
      <c r="M214" s="1" t="s">
        <v>24</v>
      </c>
      <c r="N214" s="1" t="s">
        <v>21</v>
      </c>
      <c r="O214" s="1">
        <v>2418.07998</v>
      </c>
      <c r="P214" s="1">
        <v>2365.8379030000001</v>
      </c>
      <c r="Q214" s="2">
        <f t="shared" si="3"/>
        <v>2.1604776282048321E-2</v>
      </c>
      <c r="R214" s="1" t="s">
        <v>125</v>
      </c>
      <c r="S214" s="4">
        <v>22.86</v>
      </c>
      <c r="T214" s="5">
        <v>2.5370001094415778E-4</v>
      </c>
    </row>
    <row r="215" spans="1:20">
      <c r="A215" s="1" t="s">
        <v>141</v>
      </c>
      <c r="B215" s="1">
        <v>9</v>
      </c>
      <c r="C215" s="1">
        <v>1</v>
      </c>
      <c r="D215" s="1" t="s">
        <v>22</v>
      </c>
      <c r="E215" s="1">
        <v>32</v>
      </c>
      <c r="F215" s="1">
        <v>16</v>
      </c>
      <c r="G215" s="1" t="s">
        <v>22</v>
      </c>
      <c r="H215" s="1">
        <v>16</v>
      </c>
      <c r="I215" s="1">
        <v>0</v>
      </c>
      <c r="J215" s="1" t="s">
        <v>22</v>
      </c>
      <c r="K215" s="1">
        <v>4</v>
      </c>
      <c r="L215" s="1" t="s">
        <v>23</v>
      </c>
      <c r="M215" s="1" t="s">
        <v>24</v>
      </c>
      <c r="N215" s="1" t="s">
        <v>21</v>
      </c>
      <c r="O215" s="1">
        <v>3176.8799600000002</v>
      </c>
      <c r="P215" s="1">
        <v>2837.9013460000001</v>
      </c>
      <c r="Q215" s="2">
        <f t="shared" si="3"/>
        <v>0.10670173826775629</v>
      </c>
      <c r="R215" s="1" t="s">
        <v>125</v>
      </c>
      <c r="S215" s="4">
        <v>21.6</v>
      </c>
      <c r="T215" s="5">
        <v>2.6970001636072988E-4</v>
      </c>
    </row>
    <row r="216" spans="1:20">
      <c r="A216" s="1" t="s">
        <v>142</v>
      </c>
      <c r="B216" s="1">
        <v>5</v>
      </c>
      <c r="C216" s="1">
        <v>2</v>
      </c>
      <c r="D216" s="1" t="s">
        <v>22</v>
      </c>
      <c r="E216" s="1">
        <v>16</v>
      </c>
      <c r="F216" s="1">
        <v>12</v>
      </c>
      <c r="G216" s="1" t="s">
        <v>22</v>
      </c>
      <c r="H216" s="1">
        <v>5</v>
      </c>
      <c r="I216" s="1">
        <v>2</v>
      </c>
      <c r="J216" s="1" t="s">
        <v>22</v>
      </c>
      <c r="K216" s="1">
        <v>3</v>
      </c>
      <c r="L216" s="1" t="s">
        <v>23</v>
      </c>
      <c r="M216" s="1" t="s">
        <v>24</v>
      </c>
      <c r="N216" s="1" t="s">
        <v>21</v>
      </c>
      <c r="O216" s="1">
        <v>786.79998999999998</v>
      </c>
      <c r="P216" s="1">
        <v>716.77400699999998</v>
      </c>
      <c r="Q216" s="2">
        <f t="shared" si="3"/>
        <v>8.9000996301486987E-2</v>
      </c>
      <c r="R216" s="1" t="s">
        <v>125</v>
      </c>
      <c r="S216" s="4">
        <v>19.14</v>
      </c>
      <c r="T216" s="5">
        <v>2.3579999106004829E-4</v>
      </c>
    </row>
    <row r="217" spans="1:20">
      <c r="A217" s="1" t="s">
        <v>143</v>
      </c>
      <c r="B217" s="1">
        <v>32</v>
      </c>
      <c r="C217" s="1">
        <v>16</v>
      </c>
      <c r="D217" s="1" t="s">
        <v>22</v>
      </c>
      <c r="E217" s="1">
        <v>10</v>
      </c>
      <c r="F217" s="1">
        <v>9</v>
      </c>
      <c r="G217" s="1" t="s">
        <v>22</v>
      </c>
      <c r="H217" s="1">
        <v>12</v>
      </c>
      <c r="I217" s="1">
        <v>0</v>
      </c>
      <c r="J217" s="1" t="s">
        <v>22</v>
      </c>
      <c r="K217" s="1">
        <v>0</v>
      </c>
      <c r="L217" s="1" t="s">
        <v>23</v>
      </c>
      <c r="M217" s="1" t="s">
        <v>24</v>
      </c>
      <c r="N217" s="1" t="s">
        <v>21</v>
      </c>
      <c r="O217" s="1">
        <v>2717.6799769999998</v>
      </c>
      <c r="P217" s="1">
        <v>2905.398369</v>
      </c>
      <c r="Q217" s="2">
        <f t="shared" si="3"/>
        <v>6.9073030521871567E-2</v>
      </c>
      <c r="R217" s="1" t="s">
        <v>125</v>
      </c>
      <c r="S217" s="4">
        <v>22</v>
      </c>
      <c r="T217" s="5">
        <v>2.6590004563331599E-4</v>
      </c>
    </row>
    <row r="218" spans="1:20">
      <c r="A218" s="1" t="s">
        <v>144</v>
      </c>
      <c r="B218" s="1">
        <v>8</v>
      </c>
      <c r="C218" s="1">
        <v>5</v>
      </c>
      <c r="D218" s="1" t="s">
        <v>21</v>
      </c>
      <c r="E218" s="1">
        <v>10</v>
      </c>
      <c r="F218" s="1">
        <v>8</v>
      </c>
      <c r="G218" s="1" t="s">
        <v>22</v>
      </c>
      <c r="H218" s="1">
        <v>18</v>
      </c>
      <c r="I218" s="1">
        <v>8</v>
      </c>
      <c r="J218" s="1" t="s">
        <v>21</v>
      </c>
      <c r="K218" s="1">
        <v>0</v>
      </c>
      <c r="L218" s="1" t="s">
        <v>23</v>
      </c>
      <c r="M218" s="1" t="s">
        <v>24</v>
      </c>
      <c r="N218" s="1" t="s">
        <v>21</v>
      </c>
      <c r="O218" s="1">
        <v>950.03999199999998</v>
      </c>
      <c r="P218" s="1">
        <v>886.19555000000003</v>
      </c>
      <c r="Q218" s="2">
        <f t="shared" si="3"/>
        <v>6.7201846803939549E-2</v>
      </c>
      <c r="R218" s="1" t="s">
        <v>125</v>
      </c>
      <c r="S218" s="4">
        <v>20.84</v>
      </c>
      <c r="T218" s="5">
        <v>2.5570002617314458E-4</v>
      </c>
    </row>
    <row r="219" spans="1:20">
      <c r="A219" s="1" t="s">
        <v>145</v>
      </c>
      <c r="B219" s="1">
        <v>10</v>
      </c>
      <c r="C219" s="1">
        <v>3</v>
      </c>
      <c r="D219" s="1" t="s">
        <v>21</v>
      </c>
      <c r="E219" s="1">
        <v>24</v>
      </c>
      <c r="F219" s="1">
        <v>10</v>
      </c>
      <c r="G219" s="1" t="s">
        <v>21</v>
      </c>
      <c r="H219" s="1">
        <v>8</v>
      </c>
      <c r="I219" s="1">
        <v>6</v>
      </c>
      <c r="J219" s="1" t="s">
        <v>21</v>
      </c>
      <c r="K219" s="1">
        <v>2</v>
      </c>
      <c r="L219" s="1" t="s">
        <v>23</v>
      </c>
      <c r="M219" s="1" t="s">
        <v>24</v>
      </c>
      <c r="N219" s="1" t="s">
        <v>21</v>
      </c>
      <c r="O219" s="1">
        <v>2959.5999689999999</v>
      </c>
      <c r="P219" s="1">
        <v>2849.2693359999998</v>
      </c>
      <c r="Q219" s="2">
        <f t="shared" si="3"/>
        <v>3.7278900579688454E-2</v>
      </c>
      <c r="R219" s="1" t="s">
        <v>125</v>
      </c>
      <c r="S219" s="4">
        <v>21.79</v>
      </c>
      <c r="T219" s="5">
        <v>2.631000243127346E-4</v>
      </c>
    </row>
    <row r="220" spans="1:20">
      <c r="A220" s="1" t="s">
        <v>146</v>
      </c>
      <c r="B220" s="1">
        <v>6</v>
      </c>
      <c r="C220" s="1">
        <v>4</v>
      </c>
      <c r="D220" s="1" t="s">
        <v>21</v>
      </c>
      <c r="E220" s="1">
        <v>5</v>
      </c>
      <c r="F220" s="1">
        <v>3</v>
      </c>
      <c r="G220" s="1" t="s">
        <v>22</v>
      </c>
      <c r="H220" s="1">
        <v>11</v>
      </c>
      <c r="I220" s="1">
        <v>8</v>
      </c>
      <c r="J220" s="1" t="s">
        <v>21</v>
      </c>
      <c r="K220" s="1">
        <v>6</v>
      </c>
      <c r="L220" s="1" t="s">
        <v>23</v>
      </c>
      <c r="M220" s="1" t="s">
        <v>24</v>
      </c>
      <c r="N220" s="1" t="s">
        <v>21</v>
      </c>
      <c r="O220" s="1">
        <v>786.51998500000002</v>
      </c>
      <c r="P220" s="1">
        <v>773.241353</v>
      </c>
      <c r="Q220" s="2">
        <f t="shared" si="3"/>
        <v>1.6882764905204559E-2</v>
      </c>
      <c r="R220" s="1" t="s">
        <v>125</v>
      </c>
      <c r="S220" s="4">
        <v>19.100000000000001</v>
      </c>
      <c r="T220" s="5">
        <v>2.3970002075657251E-4</v>
      </c>
    </row>
    <row r="221" spans="1:20">
      <c r="A221" s="1" t="s">
        <v>147</v>
      </c>
      <c r="B221" s="1">
        <v>24</v>
      </c>
      <c r="C221" s="1">
        <v>20</v>
      </c>
      <c r="D221" s="1" t="s">
        <v>21</v>
      </c>
      <c r="E221" s="1">
        <v>10</v>
      </c>
      <c r="F221" s="1">
        <v>4</v>
      </c>
      <c r="G221" s="1" t="s">
        <v>22</v>
      </c>
      <c r="H221" s="1">
        <v>10</v>
      </c>
      <c r="I221" s="1">
        <v>0</v>
      </c>
      <c r="J221" s="1" t="s">
        <v>21</v>
      </c>
      <c r="K221" s="1">
        <v>4</v>
      </c>
      <c r="L221" s="1" t="s">
        <v>23</v>
      </c>
      <c r="M221" s="1" t="s">
        <v>24</v>
      </c>
      <c r="N221" s="1" t="s">
        <v>22</v>
      </c>
      <c r="O221" s="1">
        <v>2925.999988</v>
      </c>
      <c r="P221" s="1">
        <v>2967.1480259999998</v>
      </c>
      <c r="Q221" s="2">
        <f t="shared" si="3"/>
        <v>1.406289752862426E-2</v>
      </c>
      <c r="R221" s="1" t="s">
        <v>125</v>
      </c>
      <c r="S221" s="4">
        <v>21.37</v>
      </c>
      <c r="T221" s="5">
        <v>2.5340000865980977E-4</v>
      </c>
    </row>
    <row r="222" spans="1:20">
      <c r="A222" s="1" t="s">
        <v>148</v>
      </c>
      <c r="B222" s="1">
        <v>9</v>
      </c>
      <c r="C222" s="1">
        <v>5</v>
      </c>
      <c r="D222" s="1" t="s">
        <v>22</v>
      </c>
      <c r="E222" s="1">
        <v>14</v>
      </c>
      <c r="F222" s="1">
        <v>5</v>
      </c>
      <c r="G222" s="1" t="s">
        <v>21</v>
      </c>
      <c r="H222" s="1">
        <v>10</v>
      </c>
      <c r="I222" s="1">
        <v>0</v>
      </c>
      <c r="J222" s="1" t="s">
        <v>21</v>
      </c>
      <c r="K222" s="1">
        <v>1</v>
      </c>
      <c r="L222" s="1" t="s">
        <v>23</v>
      </c>
      <c r="M222" s="1" t="s">
        <v>24</v>
      </c>
      <c r="N222" s="1" t="s">
        <v>22</v>
      </c>
      <c r="O222" s="1">
        <v>1442.55999</v>
      </c>
      <c r="P222" s="1">
        <v>1433.2367300000001</v>
      </c>
      <c r="Q222" s="2">
        <f t="shared" si="3"/>
        <v>6.4629963846424797E-3</v>
      </c>
      <c r="R222" s="1" t="s">
        <v>125</v>
      </c>
      <c r="S222" s="4">
        <v>20.57</v>
      </c>
      <c r="T222" s="5">
        <v>2.3879995569586751E-4</v>
      </c>
    </row>
    <row r="223" spans="1:20">
      <c r="A223" s="1" t="s">
        <v>149</v>
      </c>
      <c r="B223" s="1">
        <v>4</v>
      </c>
      <c r="C223" s="1">
        <v>2</v>
      </c>
      <c r="D223" s="1" t="s">
        <v>22</v>
      </c>
      <c r="E223" s="1">
        <v>24</v>
      </c>
      <c r="F223" s="1">
        <v>19</v>
      </c>
      <c r="G223" s="1" t="s">
        <v>21</v>
      </c>
      <c r="H223" s="1">
        <v>7</v>
      </c>
      <c r="I223" s="1">
        <v>4</v>
      </c>
      <c r="J223" s="1" t="s">
        <v>21</v>
      </c>
      <c r="K223" s="1">
        <v>4</v>
      </c>
      <c r="L223" s="1" t="s">
        <v>23</v>
      </c>
      <c r="M223" s="1" t="s">
        <v>24</v>
      </c>
      <c r="N223" s="1" t="s">
        <v>22</v>
      </c>
      <c r="O223" s="1">
        <v>1475.8799959999999</v>
      </c>
      <c r="P223" s="1">
        <v>1365.574016</v>
      </c>
      <c r="Q223" s="2">
        <f t="shared" si="3"/>
        <v>7.4739125334686005E-2</v>
      </c>
      <c r="R223" s="1" t="s">
        <v>125</v>
      </c>
      <c r="S223" s="4">
        <v>20.37</v>
      </c>
      <c r="T223" s="5">
        <v>2.6579998666420579E-4</v>
      </c>
    </row>
    <row r="224" spans="1:20">
      <c r="A224" s="1" t="s">
        <v>150</v>
      </c>
      <c r="B224" s="1">
        <v>5</v>
      </c>
      <c r="C224" s="1">
        <v>3</v>
      </c>
      <c r="D224" s="1" t="s">
        <v>22</v>
      </c>
      <c r="E224" s="1">
        <v>24</v>
      </c>
      <c r="F224" s="1">
        <v>12</v>
      </c>
      <c r="G224" s="1" t="s">
        <v>21</v>
      </c>
      <c r="H224" s="1">
        <v>7</v>
      </c>
      <c r="I224" s="1">
        <v>3</v>
      </c>
      <c r="J224" s="1" t="s">
        <v>21</v>
      </c>
      <c r="K224" s="1">
        <v>6</v>
      </c>
      <c r="L224" s="1" t="s">
        <v>23</v>
      </c>
      <c r="M224" s="1" t="s">
        <v>24</v>
      </c>
      <c r="N224" s="1" t="s">
        <v>21</v>
      </c>
      <c r="O224" s="1">
        <v>1846.319974</v>
      </c>
      <c r="P224" s="1">
        <v>1732.8065099999999</v>
      </c>
      <c r="Q224" s="2">
        <f t="shared" si="3"/>
        <v>6.1480927249070706E-2</v>
      </c>
      <c r="R224" s="1" t="s">
        <v>125</v>
      </c>
      <c r="S224" s="4">
        <v>19.97</v>
      </c>
      <c r="T224" s="5">
        <v>2.4729996221140032E-4</v>
      </c>
    </row>
    <row r="225" spans="1:20">
      <c r="A225" s="1" t="s">
        <v>151</v>
      </c>
      <c r="B225" s="1">
        <v>5</v>
      </c>
      <c r="C225" s="1">
        <v>3</v>
      </c>
      <c r="D225" s="1" t="s">
        <v>21</v>
      </c>
      <c r="E225" s="1">
        <v>16</v>
      </c>
      <c r="F225" s="1">
        <v>11</v>
      </c>
      <c r="G225" s="1" t="s">
        <v>21</v>
      </c>
      <c r="H225" s="1">
        <v>7</v>
      </c>
      <c r="I225" s="1">
        <v>2</v>
      </c>
      <c r="J225" s="1" t="s">
        <v>21</v>
      </c>
      <c r="K225" s="1">
        <v>6</v>
      </c>
      <c r="L225" s="1" t="s">
        <v>23</v>
      </c>
      <c r="M225" s="1" t="s">
        <v>24</v>
      </c>
      <c r="N225" s="1" t="s">
        <v>21</v>
      </c>
      <c r="O225" s="1">
        <v>1361.6399799999999</v>
      </c>
      <c r="P225" s="1">
        <v>1313.4108530000001</v>
      </c>
      <c r="Q225" s="2">
        <f t="shared" si="3"/>
        <v>3.5419881692956637E-2</v>
      </c>
      <c r="R225" s="1" t="s">
        <v>125</v>
      </c>
      <c r="S225" s="4">
        <v>20.170000000000002</v>
      </c>
      <c r="T225" s="5">
        <v>2.5380001170560718E-4</v>
      </c>
    </row>
    <row r="226" spans="1:20">
      <c r="A226" s="1" t="s">
        <v>152</v>
      </c>
      <c r="B226" s="1">
        <v>12</v>
      </c>
      <c r="C226" s="1">
        <v>3</v>
      </c>
      <c r="D226" s="1" t="s">
        <v>22</v>
      </c>
      <c r="E226" s="1">
        <v>24</v>
      </c>
      <c r="F226" s="1">
        <v>9</v>
      </c>
      <c r="G226" s="1" t="s">
        <v>22</v>
      </c>
      <c r="H226" s="1">
        <v>11</v>
      </c>
      <c r="I226" s="1">
        <v>3</v>
      </c>
      <c r="J226" s="1" t="s">
        <v>22</v>
      </c>
      <c r="K226" s="1">
        <v>3</v>
      </c>
      <c r="L226" s="1" t="s">
        <v>23</v>
      </c>
      <c r="M226" s="1" t="s">
        <v>24</v>
      </c>
      <c r="N226" s="1" t="s">
        <v>22</v>
      </c>
      <c r="O226" s="1">
        <v>2890.9999779999998</v>
      </c>
      <c r="P226" s="1">
        <v>1755.3025580000001</v>
      </c>
      <c r="Q226" s="2">
        <f t="shared" si="3"/>
        <v>0.39283895836819677</v>
      </c>
      <c r="R226" s="1" t="s">
        <v>125</v>
      </c>
      <c r="S226" s="4">
        <v>20.81</v>
      </c>
      <c r="T226" s="5">
        <v>2.4770002346485848E-4</v>
      </c>
    </row>
    <row r="227" spans="1:20">
      <c r="A227" s="1" t="s">
        <v>153</v>
      </c>
      <c r="B227" s="1">
        <v>32</v>
      </c>
      <c r="C227" s="1">
        <v>5</v>
      </c>
      <c r="D227" s="1" t="s">
        <v>21</v>
      </c>
      <c r="E227" s="1">
        <v>6</v>
      </c>
      <c r="F227" s="1">
        <v>2</v>
      </c>
      <c r="G227" s="1" t="s">
        <v>21</v>
      </c>
      <c r="H227" s="1">
        <v>10</v>
      </c>
      <c r="I227" s="1">
        <v>0</v>
      </c>
      <c r="J227" s="1" t="s">
        <v>21</v>
      </c>
      <c r="K227" s="1">
        <v>2</v>
      </c>
      <c r="L227" s="1" t="s">
        <v>23</v>
      </c>
      <c r="M227" s="1" t="s">
        <v>24</v>
      </c>
      <c r="N227" s="1" t="s">
        <v>22</v>
      </c>
      <c r="O227" s="1">
        <v>2334.0799919999999</v>
      </c>
      <c r="P227" s="1">
        <v>2350.0927900000002</v>
      </c>
      <c r="Q227" s="2">
        <f t="shared" si="3"/>
        <v>6.8604323994394629E-3</v>
      </c>
      <c r="R227" s="1" t="s">
        <v>125</v>
      </c>
      <c r="S227" s="4">
        <v>21.63</v>
      </c>
      <c r="T227" s="5">
        <v>2.5899999309331179E-4</v>
      </c>
    </row>
    <row r="228" spans="1:20">
      <c r="A228" s="1" t="s">
        <v>154</v>
      </c>
      <c r="B228" s="1">
        <v>6</v>
      </c>
      <c r="C228" s="1">
        <v>0</v>
      </c>
      <c r="D228" s="1" t="s">
        <v>21</v>
      </c>
      <c r="E228" s="1">
        <v>24</v>
      </c>
      <c r="F228" s="1">
        <v>9</v>
      </c>
      <c r="G228" s="1" t="s">
        <v>22</v>
      </c>
      <c r="H228" s="1">
        <v>9</v>
      </c>
      <c r="I228" s="1">
        <v>4</v>
      </c>
      <c r="J228" s="1" t="s">
        <v>21</v>
      </c>
      <c r="K228" s="1">
        <v>2</v>
      </c>
      <c r="L228" s="1" t="s">
        <v>23</v>
      </c>
      <c r="M228" s="1" t="s">
        <v>24</v>
      </c>
      <c r="N228" s="1" t="s">
        <v>21</v>
      </c>
      <c r="O228" s="1">
        <v>1794.239977</v>
      </c>
      <c r="P228" s="1">
        <v>1642.7854649999999</v>
      </c>
      <c r="Q228" s="2">
        <f t="shared" si="3"/>
        <v>8.4411513477274408E-2</v>
      </c>
      <c r="R228" s="1" t="s">
        <v>125</v>
      </c>
      <c r="S228" s="4">
        <v>20.95</v>
      </c>
      <c r="T228" s="5">
        <v>2.5639997329562902E-4</v>
      </c>
    </row>
    <row r="229" spans="1:20">
      <c r="A229" s="1" t="s">
        <v>155</v>
      </c>
      <c r="B229" s="1">
        <v>24</v>
      </c>
      <c r="C229" s="1">
        <v>16</v>
      </c>
      <c r="D229" s="1" t="s">
        <v>21</v>
      </c>
      <c r="E229" s="1">
        <v>12</v>
      </c>
      <c r="F229" s="1">
        <v>11</v>
      </c>
      <c r="G229" s="1" t="s">
        <v>21</v>
      </c>
      <c r="H229" s="1">
        <v>6</v>
      </c>
      <c r="I229" s="1">
        <v>4</v>
      </c>
      <c r="J229" s="1" t="s">
        <v>21</v>
      </c>
      <c r="K229" s="1">
        <v>6</v>
      </c>
      <c r="L229" s="1" t="s">
        <v>23</v>
      </c>
      <c r="M229" s="1" t="s">
        <v>24</v>
      </c>
      <c r="N229" s="1" t="s">
        <v>22</v>
      </c>
      <c r="O229" s="1">
        <v>3485.4399830000002</v>
      </c>
      <c r="P229" s="1">
        <v>3528.7932519999999</v>
      </c>
      <c r="Q229" s="2">
        <f t="shared" si="3"/>
        <v>1.2438392057086736E-2</v>
      </c>
      <c r="R229" s="1" t="s">
        <v>125</v>
      </c>
      <c r="S229" s="4">
        <v>21.08</v>
      </c>
      <c r="T229" s="5">
        <v>2.5640003150328988E-4</v>
      </c>
    </row>
    <row r="230" spans="1:20">
      <c r="A230" s="1" t="s">
        <v>156</v>
      </c>
      <c r="B230" s="1">
        <v>12</v>
      </c>
      <c r="C230" s="1">
        <v>0</v>
      </c>
      <c r="D230" s="1" t="s">
        <v>22</v>
      </c>
      <c r="E230" s="1">
        <v>9</v>
      </c>
      <c r="F230" s="1">
        <v>3</v>
      </c>
      <c r="G230" s="1" t="s">
        <v>22</v>
      </c>
      <c r="H230" s="1">
        <v>5</v>
      </c>
      <c r="I230" s="1">
        <v>0</v>
      </c>
      <c r="J230" s="1" t="s">
        <v>22</v>
      </c>
      <c r="K230" s="1">
        <v>4</v>
      </c>
      <c r="L230" s="1" t="s">
        <v>23</v>
      </c>
      <c r="M230" s="1" t="s">
        <v>24</v>
      </c>
      <c r="N230" s="1" t="s">
        <v>22</v>
      </c>
      <c r="O230" s="1">
        <v>376.03999900000002</v>
      </c>
      <c r="P230" s="1">
        <v>376.39862599999998</v>
      </c>
      <c r="Q230" s="2">
        <f t="shared" si="3"/>
        <v>9.5369375851943826E-4</v>
      </c>
      <c r="R230" s="1" t="s">
        <v>125</v>
      </c>
      <c r="S230" s="4">
        <v>19.649999999999999</v>
      </c>
      <c r="T230" s="5">
        <v>2.377999480813742E-4</v>
      </c>
    </row>
    <row r="231" spans="1:20">
      <c r="A231" s="1" t="s">
        <v>157</v>
      </c>
      <c r="B231" s="1">
        <v>5</v>
      </c>
      <c r="C231" s="1">
        <v>3</v>
      </c>
      <c r="D231" s="1" t="s">
        <v>21</v>
      </c>
      <c r="E231" s="1">
        <v>14</v>
      </c>
      <c r="F231" s="1">
        <v>3</v>
      </c>
      <c r="G231" s="1" t="s">
        <v>22</v>
      </c>
      <c r="H231" s="1">
        <v>6</v>
      </c>
      <c r="I231" s="1">
        <v>2</v>
      </c>
      <c r="J231" s="1" t="s">
        <v>21</v>
      </c>
      <c r="K231" s="1">
        <v>6</v>
      </c>
      <c r="L231" s="1" t="s">
        <v>23</v>
      </c>
      <c r="M231" s="1" t="s">
        <v>24</v>
      </c>
      <c r="N231" s="1" t="s">
        <v>21</v>
      </c>
      <c r="O231" s="1">
        <v>1084.9999829999999</v>
      </c>
      <c r="P231" s="1">
        <v>1017.80304</v>
      </c>
      <c r="Q231" s="2">
        <f t="shared" si="3"/>
        <v>6.1932667329820522E-2</v>
      </c>
      <c r="R231" s="1" t="s">
        <v>125</v>
      </c>
      <c r="S231" s="4">
        <v>19.59</v>
      </c>
      <c r="T231" s="5">
        <v>2.400000230409205E-4</v>
      </c>
    </row>
    <row r="232" spans="1:20">
      <c r="Q232" s="6">
        <f>AVERAGE(Q2:Q231)</f>
        <v>7.0925625358550737E-2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workbookViewId="0">
      <pane ySplit="1" topLeftCell="A2" activePane="bottomLeft" state="frozen"/>
      <selection pane="bottomLeft" activeCell="G102" sqref="G102"/>
    </sheetView>
  </sheetViews>
  <sheetFormatPr defaultRowHeight="14"/>
  <cols>
    <col min="1" max="1" width="6.6640625" customWidth="1"/>
    <col min="2" max="2" width="5" customWidth="1"/>
    <col min="3" max="3" width="6.75" customWidth="1"/>
    <col min="4" max="4" width="72.1640625" customWidth="1"/>
    <col min="5" max="5" width="15" customWidth="1"/>
    <col min="6" max="6" width="8.5" customWidth="1"/>
    <col min="7" max="7" width="6" customWidth="1"/>
    <col min="8" max="8" width="4.4140625" customWidth="1"/>
    <col min="9" max="9" width="9.9140625" customWidth="1"/>
  </cols>
  <sheetData>
    <row r="1" spans="1:10">
      <c r="A1" s="3" t="s">
        <v>0</v>
      </c>
      <c r="B1" s="3" t="s">
        <v>158</v>
      </c>
      <c r="C1" s="3" t="s">
        <v>10</v>
      </c>
      <c r="D1" s="3" t="s">
        <v>13</v>
      </c>
      <c r="E1" s="3" t="s">
        <v>14</v>
      </c>
      <c r="F1" s="3" t="s">
        <v>159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>
      <c r="A2" s="1" t="s">
        <v>20</v>
      </c>
      <c r="B2" s="1">
        <v>5</v>
      </c>
      <c r="C2" s="1">
        <v>16</v>
      </c>
      <c r="D2" s="1" t="s">
        <v>22</v>
      </c>
      <c r="E2" s="1">
        <v>470.40000900000001</v>
      </c>
      <c r="F2" s="1">
        <v>470.4</v>
      </c>
      <c r="G2" s="2">
        <f t="shared" ref="G2:G33" si="0">ABS(F2-E2)/E2</f>
        <v>1.9132652767701378E-8</v>
      </c>
      <c r="H2" s="1" t="s">
        <v>25</v>
      </c>
      <c r="I2" s="4">
        <v>18.809999999999999</v>
      </c>
      <c r="J2" s="5">
        <v>1.2000091373920441E-6</v>
      </c>
    </row>
    <row r="3" spans="1:10">
      <c r="A3" s="1" t="s">
        <v>26</v>
      </c>
      <c r="B3" s="1">
        <v>9</v>
      </c>
      <c r="C3" s="1">
        <v>5</v>
      </c>
      <c r="D3" s="1" t="s">
        <v>160</v>
      </c>
      <c r="E3" s="1">
        <v>287.27999599999998</v>
      </c>
      <c r="F3" s="1">
        <v>287.27999999999997</v>
      </c>
      <c r="G3" s="2">
        <f t="shared" si="0"/>
        <v>1.3923698292939864E-8</v>
      </c>
      <c r="H3" s="1" t="s">
        <v>25</v>
      </c>
      <c r="I3" s="4">
        <v>18.5</v>
      </c>
      <c r="J3" s="5">
        <v>1.5000114217400551E-6</v>
      </c>
    </row>
    <row r="4" spans="1:10">
      <c r="A4" s="1" t="s">
        <v>27</v>
      </c>
      <c r="B4" s="1">
        <v>3</v>
      </c>
      <c r="C4" s="1">
        <v>1</v>
      </c>
      <c r="D4" s="1" t="s">
        <v>21</v>
      </c>
      <c r="E4" s="1">
        <v>20.159998999999999</v>
      </c>
      <c r="F4" s="1">
        <v>20.16</v>
      </c>
      <c r="G4" s="2">
        <f t="shared" si="0"/>
        <v>4.9603177114639561E-8</v>
      </c>
      <c r="H4" s="1" t="s">
        <v>25</v>
      </c>
      <c r="I4" s="4">
        <v>18.63</v>
      </c>
      <c r="J4" s="5">
        <v>1.1000083759427071E-6</v>
      </c>
    </row>
    <row r="5" spans="1:10">
      <c r="A5" s="1" t="s">
        <v>28</v>
      </c>
      <c r="B5" s="1">
        <v>8</v>
      </c>
      <c r="C5" s="1">
        <v>5</v>
      </c>
      <c r="D5" s="1" t="s">
        <v>161</v>
      </c>
      <c r="E5" s="1">
        <v>248.63999899999999</v>
      </c>
      <c r="F5" s="1">
        <v>248.64</v>
      </c>
      <c r="G5" s="2">
        <f t="shared" si="0"/>
        <v>4.0218790279002643E-9</v>
      </c>
      <c r="H5" s="1" t="s">
        <v>25</v>
      </c>
      <c r="I5" s="4">
        <v>18.52</v>
      </c>
      <c r="J5" s="5">
        <v>1.5000114217400551E-6</v>
      </c>
    </row>
    <row r="6" spans="1:10">
      <c r="A6" s="1" t="s">
        <v>29</v>
      </c>
      <c r="B6" s="1">
        <v>4</v>
      </c>
      <c r="C6" s="1">
        <v>1</v>
      </c>
      <c r="D6" s="1" t="s">
        <v>21</v>
      </c>
      <c r="E6" s="1">
        <v>26.879999000000002</v>
      </c>
      <c r="F6" s="1">
        <v>26.88</v>
      </c>
      <c r="G6" s="2">
        <f t="shared" si="0"/>
        <v>3.7202382242471162E-8</v>
      </c>
      <c r="H6" s="1" t="s">
        <v>25</v>
      </c>
      <c r="I6" s="4">
        <v>18.329999999999998</v>
      </c>
      <c r="J6" s="5">
        <v>1.1000083759427071E-6</v>
      </c>
    </row>
    <row r="7" spans="1:10">
      <c r="A7" s="1" t="s">
        <v>30</v>
      </c>
      <c r="B7" s="1">
        <v>2</v>
      </c>
      <c r="C7" s="1">
        <v>4</v>
      </c>
      <c r="D7" s="1" t="s">
        <v>162</v>
      </c>
      <c r="E7" s="1">
        <v>50.4</v>
      </c>
      <c r="F7" s="1">
        <v>50.4</v>
      </c>
      <c r="G7" s="2">
        <f t="shared" si="0"/>
        <v>0</v>
      </c>
      <c r="H7" s="1" t="s">
        <v>25</v>
      </c>
      <c r="I7" s="4">
        <v>18.71</v>
      </c>
      <c r="J7" s="5">
        <v>1.4000106602907181E-6</v>
      </c>
    </row>
    <row r="8" spans="1:10">
      <c r="A8" s="1" t="s">
        <v>31</v>
      </c>
      <c r="B8" s="1">
        <v>7</v>
      </c>
      <c r="C8" s="1">
        <v>1</v>
      </c>
      <c r="D8" s="1" t="s">
        <v>22</v>
      </c>
      <c r="E8" s="1">
        <v>41.160001000000001</v>
      </c>
      <c r="F8" s="1">
        <v>41.16</v>
      </c>
      <c r="G8" s="2">
        <f t="shared" si="0"/>
        <v>2.4295431979719099E-8</v>
      </c>
      <c r="H8" s="1" t="s">
        <v>25</v>
      </c>
      <c r="I8" s="4">
        <v>18.489999999999998</v>
      </c>
      <c r="J8" s="5">
        <v>1.1000083759427071E-6</v>
      </c>
    </row>
    <row r="9" spans="1:10">
      <c r="A9" s="1" t="s">
        <v>32</v>
      </c>
      <c r="B9" s="1">
        <v>12</v>
      </c>
      <c r="C9" s="1">
        <v>5</v>
      </c>
      <c r="D9" s="1" t="s">
        <v>160</v>
      </c>
      <c r="E9" s="1">
        <v>383.03999499999998</v>
      </c>
      <c r="F9" s="1">
        <v>383.04</v>
      </c>
      <c r="G9" s="2">
        <f t="shared" si="0"/>
        <v>1.305346728667233E-8</v>
      </c>
      <c r="H9" s="1" t="s">
        <v>25</v>
      </c>
      <c r="I9" s="4">
        <v>18.52</v>
      </c>
      <c r="J9" s="5">
        <v>1.4000106602907181E-6</v>
      </c>
    </row>
    <row r="10" spans="1:10">
      <c r="A10" s="1" t="s">
        <v>33</v>
      </c>
      <c r="B10" s="1">
        <v>1</v>
      </c>
      <c r="C10" s="1">
        <v>3</v>
      </c>
      <c r="D10" s="1" t="s">
        <v>22</v>
      </c>
      <c r="E10" s="1">
        <v>17.64</v>
      </c>
      <c r="F10" s="1">
        <v>17.64</v>
      </c>
      <c r="G10" s="2">
        <f t="shared" si="0"/>
        <v>0</v>
      </c>
      <c r="H10" s="1" t="s">
        <v>25</v>
      </c>
      <c r="I10" s="4">
        <v>18.72</v>
      </c>
      <c r="J10" s="5">
        <v>1.1000083759427071E-6</v>
      </c>
    </row>
    <row r="11" spans="1:10">
      <c r="A11" s="1" t="s">
        <v>34</v>
      </c>
      <c r="B11" s="1">
        <v>7</v>
      </c>
      <c r="C11" s="1">
        <v>4</v>
      </c>
      <c r="D11" s="1" t="s">
        <v>163</v>
      </c>
      <c r="E11" s="1">
        <v>176.39999900000001</v>
      </c>
      <c r="F11" s="1">
        <v>176.4</v>
      </c>
      <c r="G11" s="2">
        <f t="shared" si="0"/>
        <v>5.6689342581869439E-9</v>
      </c>
      <c r="H11" s="1" t="s">
        <v>25</v>
      </c>
      <c r="I11" s="4">
        <v>18.98</v>
      </c>
      <c r="J11" s="5">
        <v>1.4000106602907181E-6</v>
      </c>
    </row>
    <row r="12" spans="1:10">
      <c r="A12" s="1" t="s">
        <v>35</v>
      </c>
      <c r="B12" s="1">
        <v>40</v>
      </c>
      <c r="C12" s="1">
        <v>3</v>
      </c>
      <c r="D12" s="1" t="s">
        <v>22</v>
      </c>
      <c r="E12" s="1">
        <v>705.60001399999999</v>
      </c>
      <c r="F12" s="1">
        <v>705.6</v>
      </c>
      <c r="G12" s="2">
        <f t="shared" si="0"/>
        <v>1.9841269397499471E-8</v>
      </c>
      <c r="H12" s="1" t="s">
        <v>25</v>
      </c>
      <c r="I12" s="4">
        <v>18.77</v>
      </c>
      <c r="J12" s="5">
        <v>1.099950168281794E-6</v>
      </c>
    </row>
    <row r="13" spans="1:10">
      <c r="A13" s="1" t="s">
        <v>36</v>
      </c>
      <c r="B13" s="1">
        <v>5</v>
      </c>
      <c r="C13" s="1">
        <v>4</v>
      </c>
      <c r="D13" s="1" t="s">
        <v>164</v>
      </c>
      <c r="E13" s="1">
        <v>125.999999</v>
      </c>
      <c r="F13" s="1">
        <v>126</v>
      </c>
      <c r="G13" s="2">
        <f t="shared" si="0"/>
        <v>7.9365079794583382E-9</v>
      </c>
      <c r="H13" s="1" t="s">
        <v>25</v>
      </c>
      <c r="I13" s="4">
        <v>18.48</v>
      </c>
      <c r="J13" s="5">
        <v>1.4000106602907181E-6</v>
      </c>
    </row>
    <row r="14" spans="1:10">
      <c r="A14" s="1" t="s">
        <v>37</v>
      </c>
      <c r="B14" s="1">
        <v>2</v>
      </c>
      <c r="C14" s="1">
        <v>2</v>
      </c>
      <c r="D14" s="1" t="s">
        <v>22</v>
      </c>
      <c r="E14" s="1">
        <v>23.52</v>
      </c>
      <c r="F14" s="1">
        <v>23.52</v>
      </c>
      <c r="G14" s="2">
        <f t="shared" si="0"/>
        <v>0</v>
      </c>
      <c r="H14" s="1" t="s">
        <v>25</v>
      </c>
      <c r="I14" s="4">
        <v>18.62</v>
      </c>
      <c r="J14" s="5">
        <v>1.1000083759427071E-6</v>
      </c>
    </row>
    <row r="15" spans="1:10">
      <c r="A15" s="1" t="s">
        <v>38</v>
      </c>
      <c r="B15" s="1">
        <v>32</v>
      </c>
      <c r="C15" s="1">
        <v>5</v>
      </c>
      <c r="D15" s="1" t="s">
        <v>160</v>
      </c>
      <c r="E15" s="1">
        <v>1021.439987</v>
      </c>
      <c r="F15" s="1">
        <v>1021.44</v>
      </c>
      <c r="G15" s="2">
        <f t="shared" si="0"/>
        <v>1.2727130566962025E-8</v>
      </c>
      <c r="H15" s="1" t="s">
        <v>25</v>
      </c>
      <c r="I15" s="4">
        <v>18.91</v>
      </c>
      <c r="J15" s="5">
        <v>1.4000106602907181E-6</v>
      </c>
    </row>
    <row r="16" spans="1:10">
      <c r="A16" s="1" t="s">
        <v>39</v>
      </c>
      <c r="B16" s="1">
        <v>9</v>
      </c>
      <c r="C16" s="1">
        <v>3</v>
      </c>
      <c r="D16" s="1" t="s">
        <v>22</v>
      </c>
      <c r="E16" s="1">
        <v>158.76000300000001</v>
      </c>
      <c r="F16" s="1">
        <v>158.76</v>
      </c>
      <c r="G16" s="2">
        <f t="shared" si="0"/>
        <v>1.8896447242114484E-8</v>
      </c>
      <c r="H16" s="1" t="s">
        <v>25</v>
      </c>
      <c r="I16" s="4">
        <v>18.559999999999999</v>
      </c>
      <c r="J16" s="5">
        <v>1.1000083759427071E-6</v>
      </c>
    </row>
    <row r="17" spans="1:10">
      <c r="A17" s="1" t="s">
        <v>40</v>
      </c>
      <c r="B17" s="1">
        <v>64</v>
      </c>
      <c r="C17" s="1">
        <v>2</v>
      </c>
      <c r="D17" s="1" t="s">
        <v>165</v>
      </c>
      <c r="E17" s="1">
        <v>806.39999399999999</v>
      </c>
      <c r="F17" s="1">
        <v>806.4</v>
      </c>
      <c r="G17" s="2">
        <f t="shared" si="0"/>
        <v>7.4404762270514799E-9</v>
      </c>
      <c r="H17" s="1" t="s">
        <v>25</v>
      </c>
      <c r="I17" s="4">
        <v>18.899999999999999</v>
      </c>
      <c r="J17" s="5">
        <v>1.3000098988413811E-6</v>
      </c>
    </row>
    <row r="18" spans="1:10">
      <c r="A18" s="1" t="s">
        <v>41</v>
      </c>
      <c r="B18" s="1">
        <v>64</v>
      </c>
      <c r="C18" s="1">
        <v>1</v>
      </c>
      <c r="D18" s="1" t="s">
        <v>22</v>
      </c>
      <c r="E18" s="1">
        <v>376.32000699999998</v>
      </c>
      <c r="F18" s="1">
        <v>376.32</v>
      </c>
      <c r="G18" s="2">
        <f t="shared" si="0"/>
        <v>1.8601190083222708E-8</v>
      </c>
      <c r="H18" s="1" t="s">
        <v>25</v>
      </c>
      <c r="I18" s="4">
        <v>18.7</v>
      </c>
      <c r="J18" s="5">
        <v>1.1000083759427071E-6</v>
      </c>
    </row>
    <row r="19" spans="1:10">
      <c r="A19" s="1" t="s">
        <v>42</v>
      </c>
      <c r="B19" s="1">
        <v>14</v>
      </c>
      <c r="C19" s="1">
        <v>3</v>
      </c>
      <c r="D19" s="1" t="s">
        <v>166</v>
      </c>
      <c r="E19" s="1">
        <v>270.47999600000003</v>
      </c>
      <c r="F19" s="1">
        <v>270.48</v>
      </c>
      <c r="G19" s="2">
        <f t="shared" si="0"/>
        <v>1.4788524286657304E-8</v>
      </c>
      <c r="H19" s="1" t="s">
        <v>25</v>
      </c>
      <c r="I19" s="4">
        <v>18.559999999999999</v>
      </c>
      <c r="J19" s="5">
        <v>1.3000098988413811E-6</v>
      </c>
    </row>
    <row r="20" spans="1:10">
      <c r="A20" s="1" t="s">
        <v>43</v>
      </c>
      <c r="B20" s="1">
        <v>8</v>
      </c>
      <c r="C20" s="1">
        <v>10</v>
      </c>
      <c r="D20" s="1" t="s">
        <v>22</v>
      </c>
      <c r="E20" s="1">
        <v>470.40000900000001</v>
      </c>
      <c r="F20" s="1">
        <v>470.4</v>
      </c>
      <c r="G20" s="2">
        <f t="shared" si="0"/>
        <v>1.9132652767701378E-8</v>
      </c>
      <c r="H20" s="1" t="s">
        <v>25</v>
      </c>
      <c r="I20" s="4">
        <v>18.37</v>
      </c>
      <c r="J20" s="5">
        <v>1.1000083759427071E-6</v>
      </c>
    </row>
    <row r="21" spans="1:10">
      <c r="A21" s="1" t="s">
        <v>44</v>
      </c>
      <c r="B21" s="1">
        <v>3</v>
      </c>
      <c r="C21" s="1">
        <v>3</v>
      </c>
      <c r="D21" s="1" t="s">
        <v>167</v>
      </c>
      <c r="E21" s="1">
        <v>55.44</v>
      </c>
      <c r="F21" s="1">
        <v>55.44</v>
      </c>
      <c r="G21" s="2">
        <f t="shared" si="0"/>
        <v>0</v>
      </c>
      <c r="H21" s="1" t="s">
        <v>25</v>
      </c>
      <c r="I21" s="4">
        <v>18.16</v>
      </c>
      <c r="J21" s="5">
        <v>1.3000098988413811E-6</v>
      </c>
    </row>
    <row r="22" spans="1:10">
      <c r="A22" s="1" t="s">
        <v>45</v>
      </c>
      <c r="B22" s="1">
        <v>14</v>
      </c>
      <c r="C22" s="1">
        <v>1</v>
      </c>
      <c r="D22" s="1" t="s">
        <v>21</v>
      </c>
      <c r="E22" s="1">
        <v>94.079997000000006</v>
      </c>
      <c r="F22" s="1">
        <v>94.08</v>
      </c>
      <c r="G22" s="2">
        <f t="shared" si="0"/>
        <v>3.1887756038360927E-8</v>
      </c>
      <c r="H22" s="1" t="s">
        <v>25</v>
      </c>
      <c r="I22" s="4">
        <v>18.86</v>
      </c>
      <c r="J22" s="5">
        <v>1.1000083759427071E-6</v>
      </c>
    </row>
    <row r="23" spans="1:10">
      <c r="A23" s="1" t="s">
        <v>46</v>
      </c>
      <c r="B23" s="1">
        <v>24</v>
      </c>
      <c r="C23" s="1">
        <v>16</v>
      </c>
      <c r="D23" s="1" t="s">
        <v>168</v>
      </c>
      <c r="E23" s="1">
        <v>2479.6799580000002</v>
      </c>
      <c r="F23" s="1">
        <v>2479.6799999999998</v>
      </c>
      <c r="G23" s="2">
        <f t="shared" si="0"/>
        <v>1.6937669529120144E-8</v>
      </c>
      <c r="H23" s="1" t="s">
        <v>25</v>
      </c>
      <c r="I23" s="4">
        <v>19.34</v>
      </c>
      <c r="J23" s="5">
        <v>2.1000159904360771E-6</v>
      </c>
    </row>
    <row r="24" spans="1:10">
      <c r="A24" s="1" t="s">
        <v>47</v>
      </c>
      <c r="B24" s="1">
        <v>24</v>
      </c>
      <c r="C24" s="1">
        <v>5</v>
      </c>
      <c r="D24" s="1" t="s">
        <v>22</v>
      </c>
      <c r="E24" s="1">
        <v>705.60001399999999</v>
      </c>
      <c r="F24" s="1">
        <v>705.6</v>
      </c>
      <c r="G24" s="2">
        <f t="shared" si="0"/>
        <v>1.9841269397499471E-8</v>
      </c>
      <c r="H24" s="1" t="s">
        <v>25</v>
      </c>
      <c r="I24" s="4">
        <v>18.39</v>
      </c>
      <c r="J24" s="5">
        <v>1.1000083759427071E-6</v>
      </c>
    </row>
    <row r="25" spans="1:10">
      <c r="A25" s="1" t="s">
        <v>48</v>
      </c>
      <c r="B25" s="1">
        <v>10</v>
      </c>
      <c r="C25" s="1">
        <v>16</v>
      </c>
      <c r="D25" s="1" t="s">
        <v>169</v>
      </c>
      <c r="E25" s="1">
        <v>991.19999900000005</v>
      </c>
      <c r="F25" s="1">
        <v>991.2</v>
      </c>
      <c r="G25" s="2">
        <f t="shared" si="0"/>
        <v>1.008878125992858E-9</v>
      </c>
      <c r="H25" s="1" t="s">
        <v>25</v>
      </c>
      <c r="I25" s="4">
        <v>18.59</v>
      </c>
      <c r="J25" s="5">
        <v>2.1000159904360771E-6</v>
      </c>
    </row>
    <row r="26" spans="1:10">
      <c r="A26" s="1" t="s">
        <v>49</v>
      </c>
      <c r="B26" s="1">
        <v>20</v>
      </c>
      <c r="C26" s="1">
        <v>2</v>
      </c>
      <c r="D26" s="1" t="s">
        <v>22</v>
      </c>
      <c r="E26" s="1">
        <v>235.200005</v>
      </c>
      <c r="F26" s="1">
        <v>235.2</v>
      </c>
      <c r="G26" s="2">
        <f t="shared" si="0"/>
        <v>2.1258503016604624E-8</v>
      </c>
      <c r="H26" s="1" t="s">
        <v>25</v>
      </c>
      <c r="I26" s="4">
        <v>18.600000000000001</v>
      </c>
      <c r="J26" s="5">
        <v>1.0000076144933701E-6</v>
      </c>
    </row>
    <row r="27" spans="1:10">
      <c r="A27" s="1" t="s">
        <v>50</v>
      </c>
      <c r="B27" s="1">
        <v>48</v>
      </c>
      <c r="C27" s="1">
        <v>6</v>
      </c>
      <c r="D27" s="1" t="s">
        <v>170</v>
      </c>
      <c r="E27" s="1">
        <v>1814.3999859999999</v>
      </c>
      <c r="F27" s="1">
        <v>1814.4</v>
      </c>
      <c r="G27" s="2">
        <f t="shared" si="0"/>
        <v>7.7160495480884959E-9</v>
      </c>
      <c r="H27" s="1" t="s">
        <v>25</v>
      </c>
      <c r="I27" s="4">
        <v>19.059999999999999</v>
      </c>
      <c r="J27" s="5">
        <v>1.6000121831893921E-6</v>
      </c>
    </row>
    <row r="28" spans="1:10">
      <c r="A28" s="1" t="s">
        <v>51</v>
      </c>
      <c r="B28" s="1">
        <v>16</v>
      </c>
      <c r="C28" s="1">
        <v>4</v>
      </c>
      <c r="D28" s="1" t="s">
        <v>22</v>
      </c>
      <c r="E28" s="1">
        <v>376.32000699999998</v>
      </c>
      <c r="F28" s="1">
        <v>376.32</v>
      </c>
      <c r="G28" s="2">
        <f t="shared" si="0"/>
        <v>1.8601190083222708E-8</v>
      </c>
      <c r="H28" s="1" t="s">
        <v>25</v>
      </c>
      <c r="I28" s="4">
        <v>18.75</v>
      </c>
      <c r="J28" s="5">
        <v>1.1000083759427071E-6</v>
      </c>
    </row>
    <row r="29" spans="1:10">
      <c r="A29" s="1" t="s">
        <v>52</v>
      </c>
      <c r="B29" s="1">
        <v>40</v>
      </c>
      <c r="C29" s="1">
        <v>8</v>
      </c>
      <c r="D29" s="1" t="s">
        <v>171</v>
      </c>
      <c r="E29" s="1">
        <v>1982.3999980000001</v>
      </c>
      <c r="F29" s="1">
        <v>1982.4</v>
      </c>
      <c r="G29" s="2">
        <f t="shared" si="0"/>
        <v>1.008878125992858E-9</v>
      </c>
      <c r="H29" s="1" t="s">
        <v>25</v>
      </c>
      <c r="I29" s="4">
        <v>18.89</v>
      </c>
      <c r="J29" s="5">
        <v>1.6000121831893921E-6</v>
      </c>
    </row>
    <row r="30" spans="1:10">
      <c r="A30" s="1" t="s">
        <v>53</v>
      </c>
      <c r="B30" s="1">
        <v>32</v>
      </c>
      <c r="C30" s="1">
        <v>6</v>
      </c>
      <c r="D30" s="1" t="s">
        <v>22</v>
      </c>
      <c r="E30" s="1">
        <v>1128.960022</v>
      </c>
      <c r="F30" s="1">
        <v>1128.96</v>
      </c>
      <c r="G30" s="2">
        <f t="shared" si="0"/>
        <v>1.9486961022305658E-8</v>
      </c>
      <c r="H30" s="1" t="s">
        <v>25</v>
      </c>
      <c r="I30" s="4">
        <v>18.88</v>
      </c>
      <c r="J30" s="5">
        <v>1.1000083759427071E-6</v>
      </c>
    </row>
    <row r="31" spans="1:10">
      <c r="A31" s="1" t="s">
        <v>54</v>
      </c>
      <c r="B31" s="1">
        <v>16</v>
      </c>
      <c r="C31" s="1">
        <v>6</v>
      </c>
      <c r="D31" s="1" t="s">
        <v>172</v>
      </c>
      <c r="E31" s="1">
        <v>618.23999000000003</v>
      </c>
      <c r="F31" s="1">
        <v>618.24</v>
      </c>
      <c r="G31" s="2">
        <f t="shared" si="0"/>
        <v>1.6174948460956767E-8</v>
      </c>
      <c r="H31" s="1" t="s">
        <v>25</v>
      </c>
      <c r="I31" s="4">
        <v>18.559999999999999</v>
      </c>
      <c r="J31" s="5">
        <v>1.5000114217400551E-6</v>
      </c>
    </row>
    <row r="32" spans="1:10">
      <c r="A32" s="1" t="s">
        <v>55</v>
      </c>
      <c r="B32" s="1">
        <v>6</v>
      </c>
      <c r="C32" s="1">
        <v>6</v>
      </c>
      <c r="D32" s="1" t="s">
        <v>22</v>
      </c>
      <c r="E32" s="1">
        <v>211.680004</v>
      </c>
      <c r="F32" s="1">
        <v>211.68</v>
      </c>
      <c r="G32" s="2">
        <f t="shared" si="0"/>
        <v>1.8896447063091378E-8</v>
      </c>
      <c r="H32" s="1" t="s">
        <v>25</v>
      </c>
      <c r="I32" s="4">
        <v>18.43</v>
      </c>
      <c r="J32" s="5">
        <v>1.1000083759427071E-6</v>
      </c>
    </row>
    <row r="33" spans="1:10">
      <c r="A33" s="1" t="s">
        <v>56</v>
      </c>
      <c r="B33" s="1">
        <v>6</v>
      </c>
      <c r="C33" s="1">
        <v>10</v>
      </c>
      <c r="D33" s="1" t="s">
        <v>173</v>
      </c>
      <c r="E33" s="1">
        <v>372.95999899999998</v>
      </c>
      <c r="F33" s="1">
        <v>372.96</v>
      </c>
      <c r="G33" s="2">
        <f t="shared" si="0"/>
        <v>2.681252681672285E-9</v>
      </c>
      <c r="H33" s="1" t="s">
        <v>25</v>
      </c>
      <c r="I33" s="4">
        <v>18.579999999999998</v>
      </c>
      <c r="J33" s="5">
        <v>1.8000137060880661E-6</v>
      </c>
    </row>
    <row r="34" spans="1:10">
      <c r="A34" s="1" t="s">
        <v>57</v>
      </c>
      <c r="B34" s="1">
        <v>10</v>
      </c>
      <c r="C34" s="1">
        <v>3</v>
      </c>
      <c r="D34" s="1" t="s">
        <v>21</v>
      </c>
      <c r="E34" s="1">
        <v>201.59999400000001</v>
      </c>
      <c r="F34" s="1">
        <v>201.6</v>
      </c>
      <c r="G34" s="2">
        <f t="shared" ref="G34:G65" si="1">ABS(F34-E34)/E34</f>
        <v>2.9761905572534174E-8</v>
      </c>
      <c r="H34" s="1" t="s">
        <v>25</v>
      </c>
      <c r="I34" s="4">
        <v>18.36</v>
      </c>
      <c r="J34" s="5">
        <v>1.1000083759427071E-6</v>
      </c>
    </row>
    <row r="35" spans="1:10">
      <c r="A35" s="1" t="s">
        <v>58</v>
      </c>
      <c r="B35" s="1">
        <v>1</v>
      </c>
      <c r="C35" s="1">
        <v>10</v>
      </c>
      <c r="D35" s="1" t="s">
        <v>174</v>
      </c>
      <c r="E35" s="1">
        <v>64.679998999999995</v>
      </c>
      <c r="F35" s="1">
        <v>64.680000000000007</v>
      </c>
      <c r="G35" s="2">
        <f t="shared" si="1"/>
        <v>1.54607301661538E-8</v>
      </c>
      <c r="H35" s="1" t="s">
        <v>25</v>
      </c>
      <c r="I35" s="4">
        <v>18.73</v>
      </c>
      <c r="J35" s="5">
        <v>1.7000129446387291E-6</v>
      </c>
    </row>
    <row r="36" spans="1:10">
      <c r="A36" s="1" t="s">
        <v>59</v>
      </c>
      <c r="B36" s="1">
        <v>12</v>
      </c>
      <c r="C36" s="1">
        <v>1</v>
      </c>
      <c r="D36" s="1" t="s">
        <v>22</v>
      </c>
      <c r="E36" s="1">
        <v>70.560001</v>
      </c>
      <c r="F36" s="1">
        <v>70.56</v>
      </c>
      <c r="G36" s="2">
        <f t="shared" si="1"/>
        <v>1.4172335364270228E-8</v>
      </c>
      <c r="H36" s="1" t="s">
        <v>25</v>
      </c>
      <c r="I36" s="4">
        <v>18.84</v>
      </c>
      <c r="J36" s="5">
        <v>1.1000083759427071E-6</v>
      </c>
    </row>
    <row r="37" spans="1:10">
      <c r="A37" s="1" t="s">
        <v>60</v>
      </c>
      <c r="B37" s="1">
        <v>4</v>
      </c>
      <c r="C37" s="1">
        <v>16</v>
      </c>
      <c r="D37" s="1" t="s">
        <v>175</v>
      </c>
      <c r="E37" s="1">
        <v>403.199997</v>
      </c>
      <c r="F37" s="1">
        <v>403.2</v>
      </c>
      <c r="G37" s="2">
        <f t="shared" si="1"/>
        <v>7.4404762270514799E-9</v>
      </c>
      <c r="H37" s="1" t="s">
        <v>25</v>
      </c>
      <c r="I37" s="4">
        <v>18.8</v>
      </c>
      <c r="J37" s="5">
        <v>2.0000152289867401E-6</v>
      </c>
    </row>
    <row r="38" spans="1:10">
      <c r="A38" s="1" t="s">
        <v>61</v>
      </c>
      <c r="B38" s="1">
        <v>5</v>
      </c>
      <c r="C38" s="1">
        <v>3</v>
      </c>
      <c r="D38" s="1" t="s">
        <v>21</v>
      </c>
      <c r="E38" s="1">
        <v>100.799997</v>
      </c>
      <c r="F38" s="1">
        <v>100.8</v>
      </c>
      <c r="G38" s="2">
        <f t="shared" si="1"/>
        <v>2.9761905572534174E-8</v>
      </c>
      <c r="H38" s="1" t="s">
        <v>25</v>
      </c>
      <c r="I38" s="4">
        <v>18.8</v>
      </c>
      <c r="J38" s="5">
        <v>1.1000083759427071E-6</v>
      </c>
    </row>
    <row r="39" spans="1:10">
      <c r="A39" s="1" t="s">
        <v>62</v>
      </c>
      <c r="B39" s="1">
        <v>20</v>
      </c>
      <c r="C39" s="1">
        <v>5</v>
      </c>
      <c r="D39" s="1" t="s">
        <v>176</v>
      </c>
      <c r="E39" s="1">
        <v>655.19998599999997</v>
      </c>
      <c r="F39" s="1">
        <v>655.20000000000005</v>
      </c>
      <c r="G39" s="2">
        <f t="shared" si="1"/>
        <v>2.1367521943659256E-8</v>
      </c>
      <c r="H39" s="1" t="s">
        <v>25</v>
      </c>
      <c r="I39" s="4">
        <v>18.920000000000002</v>
      </c>
      <c r="J39" s="5">
        <v>1.4000106602907181E-6</v>
      </c>
    </row>
    <row r="40" spans="1:10">
      <c r="A40" s="1" t="s">
        <v>63</v>
      </c>
      <c r="B40" s="1">
        <v>3</v>
      </c>
      <c r="C40" s="1">
        <v>10</v>
      </c>
      <c r="D40" s="1" t="s">
        <v>21</v>
      </c>
      <c r="E40" s="1">
        <v>201.59999400000001</v>
      </c>
      <c r="F40" s="1">
        <v>201.6</v>
      </c>
      <c r="G40" s="2">
        <f t="shared" si="1"/>
        <v>2.9761905572534174E-8</v>
      </c>
      <c r="H40" s="1" t="s">
        <v>25</v>
      </c>
      <c r="I40" s="4">
        <v>18.64</v>
      </c>
      <c r="J40" s="5">
        <v>1.1000083759427071E-6</v>
      </c>
    </row>
    <row r="41" spans="1:10">
      <c r="A41" s="1" t="s">
        <v>64</v>
      </c>
      <c r="B41" s="1">
        <v>9</v>
      </c>
      <c r="C41" s="1">
        <v>8</v>
      </c>
      <c r="D41" s="1" t="s">
        <v>177</v>
      </c>
      <c r="E41" s="1">
        <v>453.59999699999997</v>
      </c>
      <c r="F41" s="1">
        <v>453.6</v>
      </c>
      <c r="G41" s="2">
        <f t="shared" si="1"/>
        <v>6.6137567661164404E-9</v>
      </c>
      <c r="H41" s="1" t="s">
        <v>25</v>
      </c>
      <c r="I41" s="4">
        <v>18.84</v>
      </c>
      <c r="J41" s="5">
        <v>1.6000121831893921E-6</v>
      </c>
    </row>
    <row r="42" spans="1:10">
      <c r="A42" s="1" t="s">
        <v>65</v>
      </c>
      <c r="B42" s="1">
        <v>4</v>
      </c>
      <c r="C42" s="1">
        <v>5</v>
      </c>
      <c r="D42" s="1" t="s">
        <v>22</v>
      </c>
      <c r="E42" s="1">
        <v>117.600002</v>
      </c>
      <c r="F42" s="1">
        <v>117.6</v>
      </c>
      <c r="G42" s="2">
        <f t="shared" si="1"/>
        <v>1.7006802509759652E-8</v>
      </c>
      <c r="H42" s="1" t="s">
        <v>25</v>
      </c>
      <c r="I42" s="4">
        <v>18.93</v>
      </c>
      <c r="J42" s="5">
        <v>1.1000083759427071E-6</v>
      </c>
    </row>
    <row r="43" spans="1:10">
      <c r="A43" s="1" t="s">
        <v>66</v>
      </c>
      <c r="B43" s="1">
        <v>8</v>
      </c>
      <c r="C43" s="1">
        <v>6</v>
      </c>
      <c r="D43" s="1" t="s">
        <v>178</v>
      </c>
      <c r="E43" s="1">
        <v>302.39999799999998</v>
      </c>
      <c r="F43" s="1">
        <v>302.39999999999998</v>
      </c>
      <c r="G43" s="2">
        <f t="shared" si="1"/>
        <v>6.6137566408002609E-9</v>
      </c>
      <c r="H43" s="1" t="s">
        <v>25</v>
      </c>
      <c r="I43" s="4">
        <v>18.350000000000001</v>
      </c>
      <c r="J43" s="5">
        <v>1.5000114217400551E-6</v>
      </c>
    </row>
    <row r="44" spans="1:10">
      <c r="A44" s="1" t="s">
        <v>67</v>
      </c>
      <c r="B44" s="1">
        <v>7</v>
      </c>
      <c r="C44" s="1">
        <v>8</v>
      </c>
      <c r="D44" s="1" t="s">
        <v>21</v>
      </c>
      <c r="E44" s="1">
        <v>376.31998800000002</v>
      </c>
      <c r="F44" s="1">
        <v>376.32</v>
      </c>
      <c r="G44" s="2">
        <f t="shared" si="1"/>
        <v>3.1887756038360927E-8</v>
      </c>
      <c r="H44" s="1" t="s">
        <v>25</v>
      </c>
      <c r="I44" s="4">
        <v>18.989999999999998</v>
      </c>
      <c r="J44" s="5">
        <v>1.1000083759427071E-6</v>
      </c>
    </row>
    <row r="45" spans="1:10">
      <c r="A45" s="1" t="s">
        <v>68</v>
      </c>
      <c r="B45" s="1">
        <v>12</v>
      </c>
      <c r="C45" s="1">
        <v>10</v>
      </c>
      <c r="D45" s="1" t="s">
        <v>179</v>
      </c>
      <c r="E45" s="1">
        <v>755.99999400000002</v>
      </c>
      <c r="F45" s="1">
        <v>756</v>
      </c>
      <c r="G45" s="2">
        <f t="shared" si="1"/>
        <v>7.9365079794583382E-9</v>
      </c>
      <c r="H45" s="1" t="s">
        <v>25</v>
      </c>
      <c r="I45" s="4">
        <v>18.66</v>
      </c>
      <c r="J45" s="5">
        <v>1.7000129446387291E-6</v>
      </c>
    </row>
    <row r="46" spans="1:10">
      <c r="A46" s="1" t="s">
        <v>69</v>
      </c>
      <c r="B46" s="1">
        <v>1</v>
      </c>
      <c r="C46" s="1">
        <v>16</v>
      </c>
      <c r="D46" s="1" t="s">
        <v>21</v>
      </c>
      <c r="E46" s="1">
        <v>107.519997</v>
      </c>
      <c r="F46" s="1">
        <v>107.52</v>
      </c>
      <c r="G46" s="2">
        <f t="shared" si="1"/>
        <v>2.7901786422350141E-8</v>
      </c>
      <c r="H46" s="1" t="s">
        <v>25</v>
      </c>
      <c r="I46" s="4">
        <v>18.86</v>
      </c>
      <c r="J46" s="5">
        <v>1.1000083759427071E-6</v>
      </c>
    </row>
    <row r="47" spans="1:10">
      <c r="A47" s="1" t="s">
        <v>70</v>
      </c>
      <c r="B47" s="1">
        <v>7</v>
      </c>
      <c r="C47" s="1">
        <v>2</v>
      </c>
      <c r="D47" s="1" t="s">
        <v>165</v>
      </c>
      <c r="E47" s="1">
        <v>88.199999000000005</v>
      </c>
      <c r="F47" s="1">
        <v>88.2</v>
      </c>
      <c r="G47" s="2">
        <f t="shared" si="1"/>
        <v>1.1337868580647519E-8</v>
      </c>
      <c r="H47" s="1" t="s">
        <v>25</v>
      </c>
      <c r="I47" s="4">
        <v>18.62</v>
      </c>
      <c r="J47" s="5">
        <v>1.3000098988413811E-6</v>
      </c>
    </row>
    <row r="48" spans="1:10">
      <c r="A48" s="1" t="s">
        <v>71</v>
      </c>
      <c r="B48" s="1">
        <v>2</v>
      </c>
      <c r="C48" s="1">
        <v>6</v>
      </c>
      <c r="D48" s="1" t="s">
        <v>21</v>
      </c>
      <c r="E48" s="1">
        <v>80.639996999999994</v>
      </c>
      <c r="F48" s="1">
        <v>80.64</v>
      </c>
      <c r="G48" s="2">
        <f t="shared" si="1"/>
        <v>3.7202382418697055E-8</v>
      </c>
      <c r="H48" s="1" t="s">
        <v>25</v>
      </c>
      <c r="I48" s="4">
        <v>18.43</v>
      </c>
      <c r="J48" s="5">
        <v>1.1000083759427071E-6</v>
      </c>
    </row>
    <row r="49" spans="1:10">
      <c r="A49" s="1" t="s">
        <v>72</v>
      </c>
      <c r="B49" s="1">
        <v>5</v>
      </c>
      <c r="C49" s="1">
        <v>16</v>
      </c>
      <c r="D49" s="1" t="s">
        <v>180</v>
      </c>
      <c r="E49" s="1">
        <v>491.40000099999997</v>
      </c>
      <c r="F49" s="1">
        <v>491.4</v>
      </c>
      <c r="G49" s="2">
        <f t="shared" si="1"/>
        <v>2.0350020257229157E-9</v>
      </c>
      <c r="H49" s="1" t="s">
        <v>25</v>
      </c>
      <c r="I49" s="4">
        <v>18.22</v>
      </c>
      <c r="J49" s="5">
        <v>2.1000159904360771E-6</v>
      </c>
    </row>
    <row r="50" spans="1:10">
      <c r="A50" s="1" t="s">
        <v>73</v>
      </c>
      <c r="B50" s="1">
        <v>9</v>
      </c>
      <c r="C50" s="1">
        <v>4</v>
      </c>
      <c r="D50" s="1" t="s">
        <v>22</v>
      </c>
      <c r="E50" s="1">
        <v>211.680004</v>
      </c>
      <c r="F50" s="1">
        <v>211.68</v>
      </c>
      <c r="G50" s="2">
        <f t="shared" si="1"/>
        <v>1.8896447063091378E-8</v>
      </c>
      <c r="H50" s="1" t="s">
        <v>25</v>
      </c>
      <c r="I50" s="4">
        <v>18.41</v>
      </c>
      <c r="J50" s="5">
        <v>1.1000083759427071E-6</v>
      </c>
    </row>
    <row r="51" spans="1:10">
      <c r="A51" s="1" t="s">
        <v>74</v>
      </c>
      <c r="B51" s="1">
        <v>32</v>
      </c>
      <c r="C51" s="1">
        <v>4</v>
      </c>
      <c r="D51" s="1" t="s">
        <v>163</v>
      </c>
      <c r="E51" s="1">
        <v>806.39999399999999</v>
      </c>
      <c r="F51" s="1">
        <v>806.4</v>
      </c>
      <c r="G51" s="2">
        <f t="shared" si="1"/>
        <v>7.4404762270514799E-9</v>
      </c>
      <c r="H51" s="1" t="s">
        <v>25</v>
      </c>
      <c r="I51" s="4">
        <v>18.61</v>
      </c>
      <c r="J51" s="5">
        <v>1.4000106602907181E-6</v>
      </c>
    </row>
    <row r="52" spans="1:10">
      <c r="A52" s="1" t="s">
        <v>75</v>
      </c>
      <c r="B52" s="1">
        <v>64</v>
      </c>
      <c r="C52" s="1">
        <v>4</v>
      </c>
      <c r="D52" s="1" t="s">
        <v>22</v>
      </c>
      <c r="E52" s="1">
        <v>1505.280029</v>
      </c>
      <c r="F52" s="1">
        <v>1505.28</v>
      </c>
      <c r="G52" s="2">
        <f t="shared" si="1"/>
        <v>1.9265518363207404E-8</v>
      </c>
      <c r="H52" s="1" t="s">
        <v>25</v>
      </c>
      <c r="I52" s="4">
        <v>18.71</v>
      </c>
      <c r="J52" s="5">
        <v>1.1000083759427071E-6</v>
      </c>
    </row>
    <row r="53" spans="1:10">
      <c r="A53" s="1" t="s">
        <v>76</v>
      </c>
      <c r="B53" s="1">
        <v>64</v>
      </c>
      <c r="C53" s="1">
        <v>4</v>
      </c>
      <c r="D53" s="1" t="s">
        <v>164</v>
      </c>
      <c r="E53" s="1">
        <v>1612.799988</v>
      </c>
      <c r="F53" s="1">
        <v>1612.8</v>
      </c>
      <c r="G53" s="2">
        <f t="shared" si="1"/>
        <v>7.4404762270514799E-9</v>
      </c>
      <c r="H53" s="1" t="s">
        <v>25</v>
      </c>
      <c r="I53" s="4">
        <v>18.62</v>
      </c>
      <c r="J53" s="5">
        <v>1.4000106602907181E-6</v>
      </c>
    </row>
    <row r="54" spans="1:10">
      <c r="A54" s="1" t="s">
        <v>77</v>
      </c>
      <c r="B54" s="1">
        <v>8</v>
      </c>
      <c r="C54" s="1">
        <v>0</v>
      </c>
      <c r="D54" s="1" t="s">
        <v>22</v>
      </c>
      <c r="E54" s="1">
        <v>8.9600000000000009</v>
      </c>
      <c r="F54" s="1">
        <v>8.9600000000000009</v>
      </c>
      <c r="G54" s="2">
        <f t="shared" si="1"/>
        <v>0</v>
      </c>
      <c r="H54" s="1" t="s">
        <v>25</v>
      </c>
      <c r="I54" s="4">
        <v>18.32</v>
      </c>
      <c r="J54" s="5">
        <v>1.0000076144933701E-6</v>
      </c>
    </row>
    <row r="55" spans="1:10">
      <c r="A55" s="1" t="s">
        <v>78</v>
      </c>
      <c r="B55" s="1">
        <v>14</v>
      </c>
      <c r="C55" s="1">
        <v>4</v>
      </c>
      <c r="D55" s="1" t="s">
        <v>164</v>
      </c>
      <c r="E55" s="1">
        <v>352.79999700000002</v>
      </c>
      <c r="F55" s="1">
        <v>352.8</v>
      </c>
      <c r="G55" s="2">
        <f t="shared" si="1"/>
        <v>8.5034014113830283E-9</v>
      </c>
      <c r="H55" s="1" t="s">
        <v>25</v>
      </c>
      <c r="I55" s="4">
        <v>18.579999999999998</v>
      </c>
      <c r="J55" s="5">
        <v>1.4000106602907181E-6</v>
      </c>
    </row>
    <row r="56" spans="1:10">
      <c r="A56" s="1" t="s">
        <v>79</v>
      </c>
      <c r="B56" s="1">
        <v>14</v>
      </c>
      <c r="C56" s="1">
        <v>16</v>
      </c>
      <c r="D56" s="1" t="s">
        <v>21</v>
      </c>
      <c r="E56" s="1">
        <v>1505.279953</v>
      </c>
      <c r="F56" s="1">
        <v>1505.28</v>
      </c>
      <c r="G56" s="2">
        <f t="shared" si="1"/>
        <v>3.1223427842344516E-8</v>
      </c>
      <c r="H56" s="1" t="s">
        <v>25</v>
      </c>
      <c r="I56" s="4">
        <v>18.84</v>
      </c>
      <c r="J56" s="5">
        <v>1.1000083759427071E-6</v>
      </c>
    </row>
    <row r="57" spans="1:10">
      <c r="A57" s="1" t="s">
        <v>80</v>
      </c>
      <c r="B57" s="1">
        <v>3</v>
      </c>
      <c r="C57" s="1">
        <v>8</v>
      </c>
      <c r="D57" s="1" t="s">
        <v>177</v>
      </c>
      <c r="E57" s="1">
        <v>151.19999899999999</v>
      </c>
      <c r="F57" s="1">
        <v>151.19999999999999</v>
      </c>
      <c r="G57" s="2">
        <f t="shared" si="1"/>
        <v>6.6137566408002609E-9</v>
      </c>
      <c r="H57" s="1" t="s">
        <v>25</v>
      </c>
      <c r="I57" s="4">
        <v>18.41</v>
      </c>
      <c r="J57" s="5">
        <v>1.6000121831893921E-6</v>
      </c>
    </row>
    <row r="58" spans="1:10">
      <c r="A58" s="1" t="s">
        <v>81</v>
      </c>
      <c r="B58" s="1">
        <v>24</v>
      </c>
      <c r="C58" s="1">
        <v>6</v>
      </c>
      <c r="D58" s="1" t="s">
        <v>22</v>
      </c>
      <c r="E58" s="1">
        <v>846.72001599999999</v>
      </c>
      <c r="F58" s="1">
        <v>846.72</v>
      </c>
      <c r="G58" s="2">
        <f t="shared" si="1"/>
        <v>1.8896447063091378E-8</v>
      </c>
      <c r="H58" s="1" t="s">
        <v>25</v>
      </c>
      <c r="I58" s="4">
        <v>18.600000000000001</v>
      </c>
      <c r="J58" s="5">
        <v>1.1000083759427071E-6</v>
      </c>
    </row>
    <row r="59" spans="1:10">
      <c r="A59" s="1" t="s">
        <v>82</v>
      </c>
      <c r="B59" s="1">
        <v>24</v>
      </c>
      <c r="C59" s="1">
        <v>16</v>
      </c>
      <c r="D59" s="1" t="s">
        <v>181</v>
      </c>
      <c r="E59" s="1">
        <v>2419.1999820000001</v>
      </c>
      <c r="F59" s="1">
        <v>2419.1999999999998</v>
      </c>
      <c r="G59" s="2">
        <f t="shared" si="1"/>
        <v>7.440476133064345E-9</v>
      </c>
      <c r="H59" s="1" t="s">
        <v>25</v>
      </c>
      <c r="I59" s="4">
        <v>19.010000000000002</v>
      </c>
      <c r="J59" s="5">
        <v>2.0000152289867401E-6</v>
      </c>
    </row>
    <row r="60" spans="1:10">
      <c r="A60" s="1" t="s">
        <v>83</v>
      </c>
      <c r="B60" s="1">
        <v>20</v>
      </c>
      <c r="C60" s="1">
        <v>0</v>
      </c>
      <c r="D60" s="1" t="s">
        <v>22</v>
      </c>
      <c r="E60" s="1">
        <v>22.4</v>
      </c>
      <c r="F60" s="1">
        <v>22.4</v>
      </c>
      <c r="G60" s="2">
        <f t="shared" si="1"/>
        <v>0</v>
      </c>
      <c r="H60" s="1" t="s">
        <v>25</v>
      </c>
      <c r="I60" s="4">
        <v>18.55</v>
      </c>
      <c r="J60" s="5">
        <v>1.0000076144933701E-6</v>
      </c>
    </row>
    <row r="61" spans="1:10">
      <c r="A61" s="1" t="s">
        <v>84</v>
      </c>
      <c r="B61" s="1">
        <v>10</v>
      </c>
      <c r="C61" s="1">
        <v>6</v>
      </c>
      <c r="D61" s="1" t="s">
        <v>182</v>
      </c>
      <c r="E61" s="1">
        <v>386.39999399999999</v>
      </c>
      <c r="F61" s="1">
        <v>386.4</v>
      </c>
      <c r="G61" s="2">
        <f t="shared" si="1"/>
        <v>1.5527950512471946E-8</v>
      </c>
      <c r="H61" s="1" t="s">
        <v>25</v>
      </c>
      <c r="I61" s="4">
        <v>18.670000000000002</v>
      </c>
      <c r="J61" s="5">
        <v>1.6000121831893921E-6</v>
      </c>
    </row>
    <row r="62" spans="1:10">
      <c r="A62" s="1" t="s">
        <v>85</v>
      </c>
      <c r="B62" s="1">
        <v>16</v>
      </c>
      <c r="C62" s="1">
        <v>1</v>
      </c>
      <c r="D62" s="1" t="s">
        <v>22</v>
      </c>
      <c r="E62" s="1">
        <v>94.080001999999993</v>
      </c>
      <c r="F62" s="1">
        <v>94.08</v>
      </c>
      <c r="G62" s="2">
        <f t="shared" si="1"/>
        <v>2.1258502895764029E-8</v>
      </c>
      <c r="H62" s="1" t="s">
        <v>25</v>
      </c>
      <c r="I62" s="4">
        <v>18.45</v>
      </c>
      <c r="J62" s="5">
        <v>1.1000083759427071E-6</v>
      </c>
    </row>
    <row r="63" spans="1:10">
      <c r="A63" s="1" t="s">
        <v>86</v>
      </c>
      <c r="B63" s="1">
        <v>48</v>
      </c>
      <c r="C63" s="1">
        <v>4</v>
      </c>
      <c r="D63" s="1" t="s">
        <v>163</v>
      </c>
      <c r="E63" s="1">
        <v>1209.599991</v>
      </c>
      <c r="F63" s="1">
        <v>1209.5999999999999</v>
      </c>
      <c r="G63" s="2">
        <f t="shared" si="1"/>
        <v>7.440476133064345E-9</v>
      </c>
      <c r="H63" s="1" t="s">
        <v>25</v>
      </c>
      <c r="I63" s="4">
        <v>18.649999999999999</v>
      </c>
      <c r="J63" s="5">
        <v>1.4000106602907181E-6</v>
      </c>
    </row>
    <row r="64" spans="1:10">
      <c r="A64" s="1" t="s">
        <v>87</v>
      </c>
      <c r="B64" s="1">
        <v>48</v>
      </c>
      <c r="C64" s="1">
        <v>10</v>
      </c>
      <c r="D64" s="1" t="s">
        <v>22</v>
      </c>
      <c r="E64" s="1">
        <v>2822.4000550000001</v>
      </c>
      <c r="F64" s="1">
        <v>2822.4</v>
      </c>
      <c r="G64" s="2">
        <f t="shared" si="1"/>
        <v>1.9486961062585857E-8</v>
      </c>
      <c r="H64" s="1" t="s">
        <v>25</v>
      </c>
      <c r="I64" s="4">
        <v>19.22</v>
      </c>
      <c r="J64" s="5">
        <v>1.1000083759427071E-6</v>
      </c>
    </row>
    <row r="65" spans="1:10">
      <c r="A65" s="1" t="s">
        <v>88</v>
      </c>
      <c r="B65" s="1">
        <v>40</v>
      </c>
      <c r="C65" s="1">
        <v>5</v>
      </c>
      <c r="D65" s="1" t="s">
        <v>183</v>
      </c>
      <c r="E65" s="1">
        <v>1209.6000100000001</v>
      </c>
      <c r="F65" s="1">
        <v>1209.5999999999999</v>
      </c>
      <c r="G65" s="2">
        <f t="shared" si="1"/>
        <v>8.2671958659508456E-9</v>
      </c>
      <c r="H65" s="1" t="s">
        <v>25</v>
      </c>
      <c r="I65" s="4">
        <v>18.510000000000002</v>
      </c>
      <c r="J65" s="5">
        <v>1.4000106602907181E-6</v>
      </c>
    </row>
    <row r="66" spans="1:10">
      <c r="A66" s="1" t="s">
        <v>89</v>
      </c>
      <c r="B66" s="1">
        <v>32</v>
      </c>
      <c r="C66" s="1">
        <v>5</v>
      </c>
      <c r="D66" s="1" t="s">
        <v>22</v>
      </c>
      <c r="E66" s="1">
        <v>940.80001800000002</v>
      </c>
      <c r="F66" s="1">
        <v>940.8</v>
      </c>
      <c r="G66" s="2">
        <f t="shared" ref="G66:G97" si="2">ABS(F66-E66)/E66</f>
        <v>1.9132652767701378E-8</v>
      </c>
      <c r="H66" s="1" t="s">
        <v>25</v>
      </c>
      <c r="I66" s="4">
        <v>18.670000000000002</v>
      </c>
      <c r="J66" s="5">
        <v>1.1000083759427071E-6</v>
      </c>
    </row>
    <row r="67" spans="1:10">
      <c r="A67" s="1" t="s">
        <v>90</v>
      </c>
      <c r="B67" s="1">
        <v>16</v>
      </c>
      <c r="C67" s="1">
        <v>10</v>
      </c>
      <c r="D67" s="1" t="s">
        <v>174</v>
      </c>
      <c r="E67" s="1">
        <v>1034.8799819999999</v>
      </c>
      <c r="F67" s="1">
        <v>1034.8800000000001</v>
      </c>
      <c r="G67" s="2">
        <f t="shared" si="2"/>
        <v>1.7393321443073431E-8</v>
      </c>
      <c r="H67" s="1" t="s">
        <v>25</v>
      </c>
      <c r="I67" s="4">
        <v>19.13</v>
      </c>
      <c r="J67" s="5">
        <v>1.7999554984271531E-6</v>
      </c>
    </row>
    <row r="68" spans="1:10">
      <c r="A68" s="1" t="s">
        <v>91</v>
      </c>
      <c r="B68" s="1">
        <v>6</v>
      </c>
      <c r="C68" s="1">
        <v>16</v>
      </c>
      <c r="D68" s="1" t="s">
        <v>21</v>
      </c>
      <c r="E68" s="1">
        <v>645.11998000000006</v>
      </c>
      <c r="F68" s="1">
        <v>645.12</v>
      </c>
      <c r="G68" s="2">
        <f t="shared" si="2"/>
        <v>3.1001985009834688E-8</v>
      </c>
      <c r="H68" s="1" t="s">
        <v>25</v>
      </c>
      <c r="I68" s="4">
        <v>18.78</v>
      </c>
      <c r="J68" s="5">
        <v>1.1000083759427071E-6</v>
      </c>
    </row>
    <row r="69" spans="1:10">
      <c r="A69" s="1" t="s">
        <v>92</v>
      </c>
      <c r="B69" s="1">
        <v>6</v>
      </c>
      <c r="C69" s="1">
        <v>6</v>
      </c>
      <c r="D69" s="1" t="s">
        <v>172</v>
      </c>
      <c r="E69" s="1">
        <v>231.83999600000001</v>
      </c>
      <c r="F69" s="1">
        <v>231.84</v>
      </c>
      <c r="G69" s="2">
        <f t="shared" si="2"/>
        <v>1.7253278376958611E-8</v>
      </c>
      <c r="H69" s="1" t="s">
        <v>25</v>
      </c>
      <c r="I69" s="4">
        <v>18.309999999999999</v>
      </c>
      <c r="J69" s="5">
        <v>1.6000121831893921E-6</v>
      </c>
    </row>
    <row r="70" spans="1:10">
      <c r="A70" s="1" t="s">
        <v>93</v>
      </c>
      <c r="B70" s="1">
        <v>10</v>
      </c>
      <c r="C70" s="1">
        <v>1</v>
      </c>
      <c r="D70" s="1" t="s">
        <v>21</v>
      </c>
      <c r="E70" s="1">
        <v>67.199997999999994</v>
      </c>
      <c r="F70" s="1">
        <v>67.2</v>
      </c>
      <c r="G70" s="2">
        <f t="shared" si="2"/>
        <v>2.9761905784005237E-8</v>
      </c>
      <c r="H70" s="1" t="s">
        <v>25</v>
      </c>
      <c r="I70" s="4">
        <v>18.54</v>
      </c>
      <c r="J70" s="5">
        <v>1.1000083759427071E-6</v>
      </c>
    </row>
    <row r="71" spans="1:10">
      <c r="A71" s="1" t="s">
        <v>94</v>
      </c>
      <c r="B71" s="1">
        <v>1</v>
      </c>
      <c r="C71" s="1">
        <v>6</v>
      </c>
      <c r="D71" s="1" t="s">
        <v>184</v>
      </c>
      <c r="E71" s="1">
        <v>36.96</v>
      </c>
      <c r="F71" s="1">
        <v>36.96</v>
      </c>
      <c r="G71" s="2">
        <f t="shared" si="2"/>
        <v>0</v>
      </c>
      <c r="H71" s="1" t="s">
        <v>25</v>
      </c>
      <c r="I71" s="4">
        <v>18.54</v>
      </c>
      <c r="J71" s="5">
        <v>1.6000121831893921E-6</v>
      </c>
    </row>
    <row r="72" spans="1:10">
      <c r="A72" s="1" t="s">
        <v>95</v>
      </c>
      <c r="B72" s="1">
        <v>12</v>
      </c>
      <c r="C72" s="1">
        <v>5</v>
      </c>
      <c r="D72" s="1" t="s">
        <v>22</v>
      </c>
      <c r="E72" s="1">
        <v>352.80000699999999</v>
      </c>
      <c r="F72" s="1">
        <v>352.8</v>
      </c>
      <c r="G72" s="2">
        <f t="shared" si="2"/>
        <v>1.9841269397499471E-8</v>
      </c>
      <c r="H72" s="1" t="s">
        <v>25</v>
      </c>
      <c r="I72" s="4">
        <v>18.75</v>
      </c>
      <c r="J72" s="5">
        <v>1.1000083759427071E-6</v>
      </c>
    </row>
    <row r="73" spans="1:10">
      <c r="A73" s="1" t="s">
        <v>96</v>
      </c>
      <c r="B73" s="1">
        <v>4</v>
      </c>
      <c r="C73" s="1">
        <v>5</v>
      </c>
      <c r="D73" s="1" t="s">
        <v>185</v>
      </c>
      <c r="E73" s="1">
        <v>127.679998</v>
      </c>
      <c r="F73" s="1">
        <v>127.68</v>
      </c>
      <c r="G73" s="2">
        <f t="shared" si="2"/>
        <v>1.5664160718120785E-8</v>
      </c>
      <c r="H73" s="1" t="s">
        <v>25</v>
      </c>
      <c r="I73" s="4">
        <v>18.489999999999998</v>
      </c>
      <c r="J73" s="5">
        <v>1.5000114217400551E-6</v>
      </c>
    </row>
    <row r="74" spans="1:10">
      <c r="A74" s="1" t="s">
        <v>97</v>
      </c>
      <c r="B74" s="1">
        <v>5</v>
      </c>
      <c r="C74" s="1">
        <v>10</v>
      </c>
      <c r="D74" s="1" t="s">
        <v>22</v>
      </c>
      <c r="E74" s="1">
        <v>294.00000599999998</v>
      </c>
      <c r="F74" s="1">
        <v>294</v>
      </c>
      <c r="G74" s="2">
        <f t="shared" si="2"/>
        <v>2.0408162797287346E-8</v>
      </c>
      <c r="H74" s="1" t="s">
        <v>25</v>
      </c>
      <c r="I74" s="4">
        <v>18.989999999999998</v>
      </c>
      <c r="J74" s="5">
        <v>1.1000083759427071E-6</v>
      </c>
    </row>
    <row r="75" spans="1:10">
      <c r="A75" s="1" t="s">
        <v>98</v>
      </c>
      <c r="B75" s="1">
        <v>20</v>
      </c>
      <c r="C75" s="1">
        <v>4</v>
      </c>
      <c r="D75" s="1" t="s">
        <v>186</v>
      </c>
      <c r="E75" s="1">
        <v>520.79998999999998</v>
      </c>
      <c r="F75" s="1">
        <v>520.79999999999995</v>
      </c>
      <c r="G75" s="2">
        <f t="shared" si="2"/>
        <v>1.9201229198856987E-8</v>
      </c>
      <c r="H75" s="1" t="s">
        <v>25</v>
      </c>
      <c r="I75" s="4">
        <v>19.12</v>
      </c>
      <c r="J75" s="5">
        <v>1.4000106602907181E-6</v>
      </c>
    </row>
    <row r="76" spans="1:10">
      <c r="A76" s="1" t="s">
        <v>99</v>
      </c>
      <c r="B76" s="1">
        <v>3</v>
      </c>
      <c r="C76" s="1">
        <v>16</v>
      </c>
      <c r="D76" s="1" t="s">
        <v>22</v>
      </c>
      <c r="E76" s="1">
        <v>282.240005</v>
      </c>
      <c r="F76" s="1">
        <v>282.24</v>
      </c>
      <c r="G76" s="2">
        <f t="shared" si="2"/>
        <v>1.7715419142570572E-8</v>
      </c>
      <c r="H76" s="1" t="s">
        <v>25</v>
      </c>
      <c r="I76" s="4">
        <v>18.920000000000002</v>
      </c>
      <c r="J76" s="5">
        <v>1.1000083759427071E-6</v>
      </c>
    </row>
    <row r="77" spans="1:10">
      <c r="A77" s="1" t="s">
        <v>100</v>
      </c>
      <c r="B77" s="1">
        <v>9</v>
      </c>
      <c r="C77" s="1">
        <v>4</v>
      </c>
      <c r="D77" s="1" t="s">
        <v>187</v>
      </c>
      <c r="E77" s="1">
        <v>226.79999799999999</v>
      </c>
      <c r="F77" s="1">
        <v>226.8</v>
      </c>
      <c r="G77" s="2">
        <f t="shared" si="2"/>
        <v>8.8183423324906501E-9</v>
      </c>
      <c r="H77" s="1" t="s">
        <v>25</v>
      </c>
      <c r="I77" s="4">
        <v>18.89</v>
      </c>
      <c r="J77" s="5">
        <v>1.4000106602907181E-6</v>
      </c>
    </row>
    <row r="78" spans="1:10">
      <c r="A78" s="1" t="s">
        <v>101</v>
      </c>
      <c r="B78" s="1">
        <v>4</v>
      </c>
      <c r="C78" s="1">
        <v>3</v>
      </c>
      <c r="D78" s="1" t="s">
        <v>22</v>
      </c>
      <c r="E78" s="1">
        <v>70.560001</v>
      </c>
      <c r="F78" s="1">
        <v>70.56</v>
      </c>
      <c r="G78" s="2">
        <f t="shared" si="2"/>
        <v>1.4172335364270228E-8</v>
      </c>
      <c r="H78" s="1" t="s">
        <v>25</v>
      </c>
      <c r="I78" s="4">
        <v>19.03</v>
      </c>
      <c r="J78" s="5">
        <v>1.1000083759427071E-6</v>
      </c>
    </row>
    <row r="79" spans="1:10">
      <c r="A79" s="1" t="s">
        <v>102</v>
      </c>
      <c r="B79" s="1">
        <v>8</v>
      </c>
      <c r="C79" s="1">
        <v>3</v>
      </c>
      <c r="D79" s="1" t="s">
        <v>188</v>
      </c>
      <c r="E79" s="1">
        <v>147.84</v>
      </c>
      <c r="F79" s="1">
        <v>147.84</v>
      </c>
      <c r="G79" s="2">
        <f t="shared" si="2"/>
        <v>0</v>
      </c>
      <c r="H79" s="1" t="s">
        <v>25</v>
      </c>
      <c r="I79" s="4">
        <v>18.829999999999998</v>
      </c>
      <c r="J79" s="5">
        <v>1.3000098988413811E-6</v>
      </c>
    </row>
    <row r="80" spans="1:10">
      <c r="A80" s="1" t="s">
        <v>103</v>
      </c>
      <c r="B80" s="1">
        <v>7</v>
      </c>
      <c r="C80" s="1">
        <v>5</v>
      </c>
      <c r="D80" s="1" t="s">
        <v>22</v>
      </c>
      <c r="E80" s="1">
        <v>205.800004</v>
      </c>
      <c r="F80" s="1">
        <v>205.8</v>
      </c>
      <c r="G80" s="2">
        <f t="shared" si="2"/>
        <v>1.9436345540114619E-8</v>
      </c>
      <c r="H80" s="1" t="s">
        <v>25</v>
      </c>
      <c r="I80" s="4">
        <v>18.71</v>
      </c>
      <c r="J80" s="5">
        <v>1.1000083759427071E-6</v>
      </c>
    </row>
    <row r="81" spans="1:10">
      <c r="A81" s="1" t="s">
        <v>104</v>
      </c>
      <c r="B81" s="1">
        <v>2</v>
      </c>
      <c r="C81" s="1">
        <v>16</v>
      </c>
      <c r="D81" s="1" t="s">
        <v>169</v>
      </c>
      <c r="E81" s="1">
        <v>198.24</v>
      </c>
      <c r="F81" s="1">
        <v>198.24</v>
      </c>
      <c r="G81" s="2">
        <f t="shared" si="2"/>
        <v>0</v>
      </c>
      <c r="H81" s="1" t="s">
        <v>25</v>
      </c>
      <c r="I81" s="4">
        <v>18.66</v>
      </c>
      <c r="J81" s="5">
        <v>2.1000159904360771E-6</v>
      </c>
    </row>
    <row r="82" spans="1:10">
      <c r="A82" s="1" t="s">
        <v>105</v>
      </c>
      <c r="B82" s="1">
        <v>1</v>
      </c>
      <c r="C82" s="1">
        <v>3</v>
      </c>
      <c r="D82" s="1" t="s">
        <v>21</v>
      </c>
      <c r="E82" s="1">
        <v>20.159998999999999</v>
      </c>
      <c r="F82" s="1">
        <v>20.16</v>
      </c>
      <c r="G82" s="2">
        <f t="shared" si="2"/>
        <v>4.9603177114639561E-8</v>
      </c>
      <c r="H82" s="1" t="s">
        <v>25</v>
      </c>
      <c r="I82" s="4">
        <v>18.91</v>
      </c>
      <c r="J82" s="5">
        <v>1.1000083759427071E-6</v>
      </c>
    </row>
    <row r="83" spans="1:10">
      <c r="A83" s="1" t="s">
        <v>106</v>
      </c>
      <c r="B83" s="1">
        <v>12</v>
      </c>
      <c r="C83" s="1">
        <v>4</v>
      </c>
      <c r="D83" s="1" t="s">
        <v>163</v>
      </c>
      <c r="E83" s="1">
        <v>302.39999799999998</v>
      </c>
      <c r="F83" s="1">
        <v>302.39999999999998</v>
      </c>
      <c r="G83" s="2">
        <f t="shared" si="2"/>
        <v>6.6137566408002609E-9</v>
      </c>
      <c r="H83" s="1" t="s">
        <v>25</v>
      </c>
      <c r="I83" s="4">
        <v>18.96</v>
      </c>
      <c r="J83" s="5">
        <v>1.4000106602907181E-6</v>
      </c>
    </row>
    <row r="84" spans="1:10">
      <c r="A84" s="1" t="s">
        <v>107</v>
      </c>
      <c r="B84" s="1">
        <v>40</v>
      </c>
      <c r="C84" s="1">
        <v>10</v>
      </c>
      <c r="D84" s="1" t="s">
        <v>22</v>
      </c>
      <c r="E84" s="1">
        <v>2352.0000460000001</v>
      </c>
      <c r="F84" s="1">
        <v>2352</v>
      </c>
      <c r="G84" s="2">
        <f t="shared" si="2"/>
        <v>1.9557822794036986E-8</v>
      </c>
      <c r="H84" s="1" t="s">
        <v>25</v>
      </c>
      <c r="I84" s="4">
        <v>18.91</v>
      </c>
      <c r="J84" s="5">
        <v>1.1000083759427071E-6</v>
      </c>
    </row>
    <row r="85" spans="1:10">
      <c r="A85" s="1" t="s">
        <v>108</v>
      </c>
      <c r="B85" s="1">
        <v>7</v>
      </c>
      <c r="C85" s="1">
        <v>6</v>
      </c>
      <c r="D85" s="1" t="s">
        <v>178</v>
      </c>
      <c r="E85" s="1">
        <v>264.59999800000003</v>
      </c>
      <c r="F85" s="1">
        <v>264.60000000000002</v>
      </c>
      <c r="G85" s="2">
        <f t="shared" si="2"/>
        <v>7.5585790251989538E-9</v>
      </c>
      <c r="H85" s="1" t="s">
        <v>25</v>
      </c>
      <c r="I85" s="4">
        <v>19.05</v>
      </c>
      <c r="J85" s="5">
        <v>1.5000114217400551E-6</v>
      </c>
    </row>
    <row r="86" spans="1:10">
      <c r="A86" s="1" t="s">
        <v>109</v>
      </c>
      <c r="B86" s="1">
        <v>2</v>
      </c>
      <c r="C86" s="1">
        <v>2</v>
      </c>
      <c r="D86" s="1" t="s">
        <v>21</v>
      </c>
      <c r="E86" s="1">
        <v>26.879999000000002</v>
      </c>
      <c r="F86" s="1">
        <v>26.88</v>
      </c>
      <c r="G86" s="2">
        <f t="shared" si="2"/>
        <v>3.7202382242471162E-8</v>
      </c>
      <c r="H86" s="1" t="s">
        <v>25</v>
      </c>
      <c r="I86" s="4">
        <v>18.84</v>
      </c>
      <c r="J86" s="5">
        <v>1.1000083759427071E-6</v>
      </c>
    </row>
    <row r="87" spans="1:10">
      <c r="A87" s="1" t="s">
        <v>110</v>
      </c>
      <c r="B87" s="1">
        <v>5</v>
      </c>
      <c r="C87" s="1">
        <v>10</v>
      </c>
      <c r="D87" s="1" t="s">
        <v>179</v>
      </c>
      <c r="E87" s="1">
        <v>314.99999800000001</v>
      </c>
      <c r="F87" s="1">
        <v>315</v>
      </c>
      <c r="G87" s="2">
        <f t="shared" si="2"/>
        <v>6.3492063734885652E-9</v>
      </c>
      <c r="H87" s="1" t="s">
        <v>25</v>
      </c>
      <c r="I87" s="4">
        <v>18.8</v>
      </c>
      <c r="J87" s="5">
        <v>1.7000129446387291E-6</v>
      </c>
    </row>
    <row r="88" spans="1:10">
      <c r="A88" s="1" t="s">
        <v>111</v>
      </c>
      <c r="B88" s="1">
        <v>64</v>
      </c>
      <c r="C88" s="1">
        <v>8</v>
      </c>
      <c r="D88" s="1" t="s">
        <v>21</v>
      </c>
      <c r="E88" s="1">
        <v>3440.639893</v>
      </c>
      <c r="F88" s="1">
        <v>3440.64</v>
      </c>
      <c r="G88" s="2">
        <f t="shared" si="2"/>
        <v>3.1098866249045669E-8</v>
      </c>
      <c r="H88" s="1" t="s">
        <v>25</v>
      </c>
      <c r="I88" s="4">
        <v>19.47</v>
      </c>
      <c r="J88" s="5">
        <v>1.1000083759427071E-6</v>
      </c>
    </row>
    <row r="89" spans="1:10">
      <c r="A89" s="1" t="s">
        <v>112</v>
      </c>
      <c r="B89" s="1">
        <v>32</v>
      </c>
      <c r="C89" s="1">
        <v>5</v>
      </c>
      <c r="D89" s="1" t="s">
        <v>183</v>
      </c>
      <c r="E89" s="1">
        <v>967.68000800000004</v>
      </c>
      <c r="F89" s="1">
        <v>967.68</v>
      </c>
      <c r="G89" s="2">
        <f t="shared" si="2"/>
        <v>8.2671957954604957E-9</v>
      </c>
      <c r="H89" s="1" t="s">
        <v>25</v>
      </c>
      <c r="I89" s="4">
        <v>18.8</v>
      </c>
      <c r="J89" s="5">
        <v>1.5000114217400551E-6</v>
      </c>
    </row>
    <row r="90" spans="1:10">
      <c r="A90" s="1" t="s">
        <v>113</v>
      </c>
      <c r="B90" s="1">
        <v>8</v>
      </c>
      <c r="C90" s="1">
        <v>6</v>
      </c>
      <c r="D90" s="1" t="s">
        <v>22</v>
      </c>
      <c r="E90" s="1">
        <v>282.240005</v>
      </c>
      <c r="F90" s="1">
        <v>282.24</v>
      </c>
      <c r="G90" s="2">
        <f t="shared" si="2"/>
        <v>1.7715419142570572E-8</v>
      </c>
      <c r="H90" s="1" t="s">
        <v>25</v>
      </c>
      <c r="I90" s="4">
        <v>18.559999999999999</v>
      </c>
      <c r="J90" s="5">
        <v>1.1000083759427071E-6</v>
      </c>
    </row>
    <row r="91" spans="1:10">
      <c r="A91" s="1" t="s">
        <v>114</v>
      </c>
      <c r="B91" s="1">
        <v>64</v>
      </c>
      <c r="C91" s="1">
        <v>16</v>
      </c>
      <c r="D91" s="1" t="s">
        <v>175</v>
      </c>
      <c r="E91" s="1">
        <v>6451.1999509999996</v>
      </c>
      <c r="F91" s="1">
        <v>6451.2</v>
      </c>
      <c r="G91" s="2">
        <f t="shared" si="2"/>
        <v>7.595486202493525E-9</v>
      </c>
      <c r="H91" s="1" t="s">
        <v>25</v>
      </c>
      <c r="I91" s="4">
        <v>19.52</v>
      </c>
      <c r="J91" s="5">
        <v>2.0999577827751641E-6</v>
      </c>
    </row>
    <row r="92" spans="1:10">
      <c r="A92" s="1" t="s">
        <v>115</v>
      </c>
      <c r="B92" s="1">
        <v>14</v>
      </c>
      <c r="C92" s="1">
        <v>6</v>
      </c>
      <c r="D92" s="1" t="s">
        <v>21</v>
      </c>
      <c r="E92" s="1">
        <v>564.47998199999995</v>
      </c>
      <c r="F92" s="1">
        <v>564.48</v>
      </c>
      <c r="G92" s="2">
        <f t="shared" si="2"/>
        <v>3.1887756239761942E-8</v>
      </c>
      <c r="H92" s="1" t="s">
        <v>25</v>
      </c>
      <c r="I92" s="4">
        <v>19.04</v>
      </c>
      <c r="J92" s="5">
        <v>1.1000083759427071E-6</v>
      </c>
    </row>
    <row r="93" spans="1:10">
      <c r="A93" s="1" t="s">
        <v>116</v>
      </c>
      <c r="B93" s="1">
        <v>14</v>
      </c>
      <c r="C93" s="1">
        <v>6</v>
      </c>
      <c r="D93" s="1" t="s">
        <v>182</v>
      </c>
      <c r="E93" s="1">
        <v>540.95999099999995</v>
      </c>
      <c r="F93" s="1">
        <v>540.96</v>
      </c>
      <c r="G93" s="2">
        <f t="shared" si="2"/>
        <v>1.6637090063401793E-8</v>
      </c>
      <c r="H93" s="1" t="s">
        <v>25</v>
      </c>
      <c r="I93" s="4">
        <v>18.329999999999998</v>
      </c>
      <c r="J93" s="5">
        <v>1.6000121831893921E-6</v>
      </c>
    </row>
    <row r="94" spans="1:10">
      <c r="A94" s="1" t="s">
        <v>117</v>
      </c>
      <c r="B94" s="1">
        <v>24</v>
      </c>
      <c r="C94" s="1">
        <v>0</v>
      </c>
      <c r="D94" s="1" t="s">
        <v>22</v>
      </c>
      <c r="E94" s="1">
        <v>26.88</v>
      </c>
      <c r="F94" s="1">
        <v>26.88</v>
      </c>
      <c r="G94" s="2">
        <f t="shared" si="2"/>
        <v>0</v>
      </c>
      <c r="H94" s="1" t="s">
        <v>25</v>
      </c>
      <c r="I94" s="4">
        <v>18.239999999999998</v>
      </c>
      <c r="J94" s="5">
        <v>1.0000076144933701E-6</v>
      </c>
    </row>
    <row r="95" spans="1:10">
      <c r="A95" s="1" t="s">
        <v>118</v>
      </c>
      <c r="B95" s="1">
        <v>3</v>
      </c>
      <c r="C95" s="1">
        <v>3</v>
      </c>
      <c r="D95" s="1" t="s">
        <v>189</v>
      </c>
      <c r="E95" s="1">
        <v>57.959999000000003</v>
      </c>
      <c r="F95" s="1">
        <v>57.96</v>
      </c>
      <c r="G95" s="2">
        <f t="shared" si="2"/>
        <v>1.7253278376958611E-8</v>
      </c>
      <c r="H95" s="1" t="s">
        <v>25</v>
      </c>
      <c r="I95" s="4">
        <v>18.45</v>
      </c>
      <c r="J95" s="5">
        <v>1.4000106602907181E-6</v>
      </c>
    </row>
    <row r="96" spans="1:10">
      <c r="A96" s="1" t="s">
        <v>119</v>
      </c>
      <c r="B96" s="1">
        <v>20</v>
      </c>
      <c r="C96" s="1">
        <v>16</v>
      </c>
      <c r="D96" s="1" t="s">
        <v>22</v>
      </c>
      <c r="E96" s="1">
        <v>1881.6000369999999</v>
      </c>
      <c r="F96" s="1">
        <v>1881.6</v>
      </c>
      <c r="G96" s="2">
        <f t="shared" si="2"/>
        <v>1.9664115270354249E-8</v>
      </c>
      <c r="H96" s="1" t="s">
        <v>25</v>
      </c>
      <c r="I96" s="4">
        <v>18.739999999999998</v>
      </c>
      <c r="J96" s="5">
        <v>1.1000083759427071E-6</v>
      </c>
    </row>
    <row r="97" spans="1:10">
      <c r="A97" s="1" t="s">
        <v>120</v>
      </c>
      <c r="B97" s="1">
        <v>24</v>
      </c>
      <c r="C97" s="1">
        <v>10</v>
      </c>
      <c r="D97" s="1" t="s">
        <v>179</v>
      </c>
      <c r="E97" s="1">
        <v>1511.9999889999999</v>
      </c>
      <c r="F97" s="1">
        <v>1512</v>
      </c>
      <c r="G97" s="2">
        <f t="shared" si="2"/>
        <v>7.27513238488159E-9</v>
      </c>
      <c r="H97" s="1" t="s">
        <v>25</v>
      </c>
      <c r="I97" s="4">
        <v>18.829999999999998</v>
      </c>
      <c r="J97" s="5">
        <v>1.7000129446387291E-6</v>
      </c>
    </row>
    <row r="98" spans="1:10">
      <c r="A98" s="1" t="s">
        <v>121</v>
      </c>
      <c r="B98" s="1">
        <v>16</v>
      </c>
      <c r="C98" s="1">
        <v>8</v>
      </c>
      <c r="D98" s="1" t="s">
        <v>21</v>
      </c>
      <c r="E98" s="1">
        <v>860.15997300000004</v>
      </c>
      <c r="F98" s="1">
        <v>860.16</v>
      </c>
      <c r="G98" s="2">
        <f t="shared" ref="G98:G129" si="3">ABS(F98-E98)/E98</f>
        <v>3.1389509834621834E-8</v>
      </c>
      <c r="H98" s="1" t="s">
        <v>25</v>
      </c>
      <c r="I98" s="4">
        <v>18.899999999999999</v>
      </c>
      <c r="J98" s="5">
        <v>1.1000083759427071E-6</v>
      </c>
    </row>
    <row r="99" spans="1:10">
      <c r="A99" s="1" t="s">
        <v>122</v>
      </c>
      <c r="B99" s="1">
        <v>10</v>
      </c>
      <c r="C99" s="1">
        <v>8</v>
      </c>
      <c r="D99" s="1" t="s">
        <v>190</v>
      </c>
      <c r="E99" s="1">
        <v>520.79998999999998</v>
      </c>
      <c r="F99" s="1">
        <v>520.79999999999995</v>
      </c>
      <c r="G99" s="2">
        <f t="shared" si="3"/>
        <v>1.9201229198856987E-8</v>
      </c>
      <c r="H99" s="1" t="s">
        <v>25</v>
      </c>
      <c r="I99" s="4">
        <v>18.55</v>
      </c>
      <c r="J99" s="5">
        <v>1.7000129446387291E-6</v>
      </c>
    </row>
    <row r="100" spans="1:10">
      <c r="A100" s="1" t="s">
        <v>123</v>
      </c>
      <c r="B100" s="1">
        <v>48</v>
      </c>
      <c r="C100" s="1">
        <v>16</v>
      </c>
      <c r="D100" s="1" t="s">
        <v>22</v>
      </c>
      <c r="E100" s="1">
        <v>4515.8400879999999</v>
      </c>
      <c r="F100" s="1">
        <v>4515.84</v>
      </c>
      <c r="G100" s="2">
        <f t="shared" si="3"/>
        <v>1.9486961022305658E-8</v>
      </c>
      <c r="H100" s="1" t="s">
        <v>25</v>
      </c>
      <c r="I100" s="4">
        <v>19.510000000000002</v>
      </c>
      <c r="J100" s="5">
        <v>1.1000083759427071E-6</v>
      </c>
    </row>
    <row r="101" spans="1:10">
      <c r="A101" s="1" t="s">
        <v>124</v>
      </c>
      <c r="B101" s="1">
        <v>48</v>
      </c>
      <c r="C101" s="1">
        <v>4</v>
      </c>
      <c r="D101" s="1" t="s">
        <v>187</v>
      </c>
      <c r="E101" s="1">
        <v>1209.599991</v>
      </c>
      <c r="F101" s="1">
        <v>1209.5999999999999</v>
      </c>
      <c r="G101" s="2">
        <f t="shared" si="3"/>
        <v>7.440476133064345E-9</v>
      </c>
      <c r="H101" s="1" t="s">
        <v>25</v>
      </c>
      <c r="I101" s="4">
        <v>18.899999999999999</v>
      </c>
      <c r="J101" s="5">
        <v>1.4000106602907181E-6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2"/>
  <sheetViews>
    <sheetView workbookViewId="0">
      <pane ySplit="1" topLeftCell="A127" activePane="bottomLeft" state="frozen"/>
      <selection pane="bottomLeft" activeCell="N143" sqref="N143"/>
    </sheetView>
  </sheetViews>
  <sheetFormatPr defaultRowHeight="14"/>
  <cols>
    <col min="1" max="1" width="6.6640625" customWidth="1"/>
    <col min="2" max="2" width="11.6640625" customWidth="1"/>
    <col min="3" max="3" width="12.25" customWidth="1"/>
    <col min="4" max="4" width="17" customWidth="1"/>
    <col min="5" max="5" width="13.5" customWidth="1"/>
    <col min="6" max="6" width="14.25" customWidth="1"/>
    <col min="7" max="7" width="18.9140625" customWidth="1"/>
    <col min="8" max="8" width="9.9140625" customWidth="1"/>
    <col min="9" max="9" width="9.75" customWidth="1"/>
    <col min="10" max="10" width="6.75" customWidth="1"/>
    <col min="11" max="11" width="9.1640625" customWidth="1"/>
    <col min="12" max="12" width="15" customWidth="1"/>
    <col min="13" max="13" width="11.1640625" customWidth="1"/>
    <col min="14" max="14" width="6" customWidth="1"/>
    <col min="15" max="15" width="4.4140625" customWidth="1"/>
    <col min="16" max="16" width="9.9140625" customWidth="1"/>
  </cols>
  <sheetData>
    <row r="1" spans="1:17">
      <c r="A1" s="3" t="s">
        <v>0</v>
      </c>
      <c r="B1" s="3" t="s">
        <v>191</v>
      </c>
      <c r="C1" s="3" t="s">
        <v>192</v>
      </c>
      <c r="D1" s="3" t="s">
        <v>193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12</v>
      </c>
      <c r="J1" s="3" t="s">
        <v>10</v>
      </c>
      <c r="K1" s="3" t="s">
        <v>13</v>
      </c>
      <c r="L1" s="3" t="s">
        <v>14</v>
      </c>
      <c r="M1" s="3" t="s">
        <v>194</v>
      </c>
      <c r="N1" s="3" t="s">
        <v>16</v>
      </c>
      <c r="O1" s="3" t="s">
        <v>17</v>
      </c>
      <c r="P1" s="3" t="s">
        <v>18</v>
      </c>
      <c r="Q1" s="3" t="s">
        <v>19</v>
      </c>
    </row>
    <row r="2" spans="1:17">
      <c r="A2" s="1" t="s">
        <v>20</v>
      </c>
      <c r="B2" s="1">
        <v>4</v>
      </c>
      <c r="C2" s="1">
        <v>0</v>
      </c>
      <c r="D2" s="1" t="s">
        <v>21</v>
      </c>
      <c r="E2" s="1">
        <v>10</v>
      </c>
      <c r="F2" s="1">
        <v>0</v>
      </c>
      <c r="G2" s="1" t="s">
        <v>21</v>
      </c>
      <c r="H2" s="1" t="s">
        <v>23</v>
      </c>
      <c r="I2" s="1" t="s">
        <v>24</v>
      </c>
      <c r="J2" s="1">
        <v>3</v>
      </c>
      <c r="K2" s="1" t="s">
        <v>21</v>
      </c>
      <c r="L2" s="1">
        <v>201.59999400000001</v>
      </c>
      <c r="M2" s="1">
        <v>201.6</v>
      </c>
      <c r="N2" s="2">
        <f t="shared" ref="N2:N33" si="0">ABS(M2-L2)/L2</f>
        <v>2.9761905572534174E-8</v>
      </c>
      <c r="O2" s="1" t="s">
        <v>25</v>
      </c>
      <c r="P2" s="4">
        <v>18.3</v>
      </c>
      <c r="Q2" s="5">
        <v>4.9999798648059368E-6</v>
      </c>
    </row>
    <row r="3" spans="1:17">
      <c r="A3" s="1" t="s">
        <v>26</v>
      </c>
      <c r="B3" s="1">
        <v>10</v>
      </c>
      <c r="C3" s="1">
        <v>3</v>
      </c>
      <c r="D3" s="1" t="s">
        <v>22</v>
      </c>
      <c r="E3" s="1">
        <v>5</v>
      </c>
      <c r="F3" s="1">
        <v>1</v>
      </c>
      <c r="G3" s="1" t="s">
        <v>21</v>
      </c>
      <c r="H3" s="1" t="s">
        <v>23</v>
      </c>
      <c r="I3" s="1" t="s">
        <v>24</v>
      </c>
      <c r="J3" s="1">
        <v>6</v>
      </c>
      <c r="K3" s="1" t="s">
        <v>22</v>
      </c>
      <c r="L3" s="1">
        <v>176.400003</v>
      </c>
      <c r="M3" s="1">
        <v>176.4</v>
      </c>
      <c r="N3" s="2">
        <f t="shared" si="0"/>
        <v>1.7006802388919053E-8</v>
      </c>
      <c r="O3" s="1" t="s">
        <v>25</v>
      </c>
      <c r="P3" s="4">
        <v>20.21</v>
      </c>
      <c r="Q3" s="5">
        <v>4.3999752961099148E-6</v>
      </c>
    </row>
    <row r="4" spans="1:17">
      <c r="A4" s="1" t="s">
        <v>27</v>
      </c>
      <c r="B4" s="1">
        <v>8</v>
      </c>
      <c r="C4" s="1">
        <v>0</v>
      </c>
      <c r="D4" s="1" t="s">
        <v>22</v>
      </c>
      <c r="E4" s="1">
        <v>12</v>
      </c>
      <c r="F4" s="1">
        <v>3</v>
      </c>
      <c r="G4" s="1" t="s">
        <v>22</v>
      </c>
      <c r="H4" s="1" t="s">
        <v>23</v>
      </c>
      <c r="I4" s="1" t="s">
        <v>24</v>
      </c>
      <c r="J4" s="1">
        <v>4</v>
      </c>
      <c r="K4" s="1" t="s">
        <v>22</v>
      </c>
      <c r="L4" s="1">
        <v>191.520004</v>
      </c>
      <c r="M4" s="1">
        <v>191.52</v>
      </c>
      <c r="N4" s="2">
        <f t="shared" si="0"/>
        <v>2.0885546712399664E-8</v>
      </c>
      <c r="O4" s="1" t="s">
        <v>25</v>
      </c>
      <c r="P4" s="4">
        <v>19.48</v>
      </c>
      <c r="Q4" s="5">
        <v>5.0999806262552738E-6</v>
      </c>
    </row>
    <row r="5" spans="1:17">
      <c r="A5" s="1" t="s">
        <v>28</v>
      </c>
      <c r="B5" s="1">
        <v>14</v>
      </c>
      <c r="C5" s="1">
        <v>3</v>
      </c>
      <c r="D5" s="1" t="s">
        <v>21</v>
      </c>
      <c r="E5" s="1">
        <v>5</v>
      </c>
      <c r="F5" s="1">
        <v>0</v>
      </c>
      <c r="G5" s="1" t="s">
        <v>21</v>
      </c>
      <c r="H5" s="1" t="s">
        <v>23</v>
      </c>
      <c r="I5" s="1" t="s">
        <v>24</v>
      </c>
      <c r="J5" s="1">
        <v>4</v>
      </c>
      <c r="K5" s="1" t="s">
        <v>21</v>
      </c>
      <c r="L5" s="1">
        <v>134.39999599999999</v>
      </c>
      <c r="M5" s="1">
        <v>134.4</v>
      </c>
      <c r="N5" s="2">
        <f t="shared" si="0"/>
        <v>2.9761905784005237E-8</v>
      </c>
      <c r="O5" s="1" t="s">
        <v>25</v>
      </c>
      <c r="P5" s="4">
        <v>19.100000000000001</v>
      </c>
      <c r="Q5" s="5">
        <v>4.6999775804579258E-6</v>
      </c>
    </row>
    <row r="6" spans="1:17">
      <c r="A6" s="1" t="s">
        <v>29</v>
      </c>
      <c r="B6" s="1">
        <v>9</v>
      </c>
      <c r="C6" s="1">
        <v>6</v>
      </c>
      <c r="D6" s="1" t="s">
        <v>22</v>
      </c>
      <c r="E6" s="1">
        <v>9</v>
      </c>
      <c r="F6" s="1">
        <v>1</v>
      </c>
      <c r="G6" s="1" t="s">
        <v>21</v>
      </c>
      <c r="H6" s="1" t="s">
        <v>23</v>
      </c>
      <c r="I6" s="1" t="s">
        <v>24</v>
      </c>
      <c r="J6" s="1">
        <v>0</v>
      </c>
      <c r="K6" s="1" t="s">
        <v>21</v>
      </c>
      <c r="L6" s="1">
        <v>8.68</v>
      </c>
      <c r="M6" s="1">
        <v>8.68</v>
      </c>
      <c r="N6" s="2">
        <f t="shared" si="0"/>
        <v>0</v>
      </c>
      <c r="O6" s="1" t="s">
        <v>25</v>
      </c>
      <c r="P6" s="4">
        <v>19.3</v>
      </c>
      <c r="Q6" s="5">
        <v>4.7000357881188393E-6</v>
      </c>
    </row>
    <row r="7" spans="1:17">
      <c r="A7" s="1" t="s">
        <v>30</v>
      </c>
      <c r="B7" s="1">
        <v>12</v>
      </c>
      <c r="C7" s="1">
        <v>6</v>
      </c>
      <c r="D7" s="1" t="s">
        <v>22</v>
      </c>
      <c r="E7" s="1">
        <v>5</v>
      </c>
      <c r="F7" s="1">
        <v>0</v>
      </c>
      <c r="G7" s="1" t="s">
        <v>21</v>
      </c>
      <c r="H7" s="1" t="s">
        <v>23</v>
      </c>
      <c r="I7" s="1" t="s">
        <v>24</v>
      </c>
      <c r="J7" s="1">
        <v>3</v>
      </c>
      <c r="K7" s="1" t="s">
        <v>22</v>
      </c>
      <c r="L7" s="1">
        <v>88.200001999999998</v>
      </c>
      <c r="M7" s="1">
        <v>88.2</v>
      </c>
      <c r="N7" s="2">
        <f t="shared" si="0"/>
        <v>2.2675736390011482E-8</v>
      </c>
      <c r="O7" s="1" t="s">
        <v>25</v>
      </c>
      <c r="P7" s="4">
        <v>18.91</v>
      </c>
      <c r="Q7" s="5">
        <v>4.3999752961099148E-6</v>
      </c>
    </row>
    <row r="8" spans="1:17">
      <c r="A8" s="1" t="s">
        <v>31</v>
      </c>
      <c r="B8" s="1">
        <v>12</v>
      </c>
      <c r="C8" s="1">
        <v>2</v>
      </c>
      <c r="D8" s="1" t="s">
        <v>21</v>
      </c>
      <c r="E8" s="1">
        <v>10</v>
      </c>
      <c r="F8" s="1">
        <v>2</v>
      </c>
      <c r="G8" s="1" t="s">
        <v>21</v>
      </c>
      <c r="H8" s="1" t="s">
        <v>23</v>
      </c>
      <c r="I8" s="1" t="s">
        <v>24</v>
      </c>
      <c r="J8" s="1">
        <v>2</v>
      </c>
      <c r="K8" s="1" t="s">
        <v>21</v>
      </c>
      <c r="L8" s="1">
        <v>134.39999599999999</v>
      </c>
      <c r="M8" s="1">
        <v>134.4</v>
      </c>
      <c r="N8" s="2">
        <f t="shared" si="0"/>
        <v>2.9761905784005237E-8</v>
      </c>
      <c r="O8" s="1" t="s">
        <v>25</v>
      </c>
      <c r="P8" s="4">
        <v>19.45</v>
      </c>
      <c r="Q8" s="5">
        <v>4.7000357881188393E-6</v>
      </c>
    </row>
    <row r="9" spans="1:17">
      <c r="A9" s="1" t="s">
        <v>32</v>
      </c>
      <c r="B9" s="1">
        <v>6</v>
      </c>
      <c r="C9" s="1">
        <v>1</v>
      </c>
      <c r="D9" s="1" t="s">
        <v>22</v>
      </c>
      <c r="E9" s="1">
        <v>16</v>
      </c>
      <c r="F9" s="1">
        <v>8</v>
      </c>
      <c r="G9" s="1" t="s">
        <v>21</v>
      </c>
      <c r="H9" s="1" t="s">
        <v>23</v>
      </c>
      <c r="I9" s="1" t="s">
        <v>24</v>
      </c>
      <c r="J9" s="1">
        <v>1</v>
      </c>
      <c r="K9" s="1" t="s">
        <v>21</v>
      </c>
      <c r="L9" s="1">
        <v>48.719997999999997</v>
      </c>
      <c r="M9" s="1">
        <v>48.72</v>
      </c>
      <c r="N9" s="2">
        <f t="shared" si="0"/>
        <v>4.1050904847243895E-8</v>
      </c>
      <c r="O9" s="1" t="s">
        <v>25</v>
      </c>
      <c r="P9" s="4">
        <v>19.71</v>
      </c>
      <c r="Q9" s="5">
        <v>5.1999813877046108E-6</v>
      </c>
    </row>
    <row r="10" spans="1:17">
      <c r="A10" s="1" t="s">
        <v>33</v>
      </c>
      <c r="B10" s="1">
        <v>8</v>
      </c>
      <c r="C10" s="1">
        <v>4</v>
      </c>
      <c r="D10" s="1" t="s">
        <v>22</v>
      </c>
      <c r="E10" s="1">
        <v>5</v>
      </c>
      <c r="F10" s="1">
        <v>3</v>
      </c>
      <c r="G10" s="1" t="s">
        <v>22</v>
      </c>
      <c r="H10" s="1" t="s">
        <v>23</v>
      </c>
      <c r="I10" s="1" t="s">
        <v>24</v>
      </c>
      <c r="J10" s="1">
        <v>6</v>
      </c>
      <c r="K10" s="1" t="s">
        <v>22</v>
      </c>
      <c r="L10" s="1">
        <v>176.400003</v>
      </c>
      <c r="M10" s="1">
        <v>176.4</v>
      </c>
      <c r="N10" s="2">
        <f t="shared" si="0"/>
        <v>1.7006802388919053E-8</v>
      </c>
      <c r="O10" s="1" t="s">
        <v>25</v>
      </c>
      <c r="P10" s="4">
        <v>19.11</v>
      </c>
      <c r="Q10" s="5">
        <v>4.5999768190085888E-6</v>
      </c>
    </row>
    <row r="11" spans="1:17">
      <c r="A11" s="1" t="s">
        <v>34</v>
      </c>
      <c r="B11" s="1">
        <v>8</v>
      </c>
      <c r="C11" s="1">
        <v>1</v>
      </c>
      <c r="D11" s="1" t="s">
        <v>22</v>
      </c>
      <c r="E11" s="1">
        <v>5</v>
      </c>
      <c r="F11" s="1">
        <v>1</v>
      </c>
      <c r="G11" s="1" t="s">
        <v>21</v>
      </c>
      <c r="H11" s="1" t="s">
        <v>23</v>
      </c>
      <c r="I11" s="1" t="s">
        <v>24</v>
      </c>
      <c r="J11" s="1">
        <v>2</v>
      </c>
      <c r="K11" s="1" t="s">
        <v>22</v>
      </c>
      <c r="L11" s="1">
        <v>58.800001000000002</v>
      </c>
      <c r="M11" s="1">
        <v>58.8</v>
      </c>
      <c r="N11" s="2">
        <f t="shared" si="0"/>
        <v>1.7006802509759652E-8</v>
      </c>
      <c r="O11" s="1" t="s">
        <v>25</v>
      </c>
      <c r="P11" s="4">
        <v>18.989999999999998</v>
      </c>
      <c r="Q11" s="5">
        <v>4.2000319808721542E-6</v>
      </c>
    </row>
    <row r="12" spans="1:17">
      <c r="A12" s="1" t="s">
        <v>35</v>
      </c>
      <c r="B12" s="1">
        <v>5</v>
      </c>
      <c r="C12" s="1">
        <v>2</v>
      </c>
      <c r="D12" s="1" t="s">
        <v>22</v>
      </c>
      <c r="E12" s="1">
        <v>6</v>
      </c>
      <c r="F12" s="1">
        <v>1</v>
      </c>
      <c r="G12" s="1" t="s">
        <v>22</v>
      </c>
      <c r="H12" s="1" t="s">
        <v>23</v>
      </c>
      <c r="I12" s="1" t="s">
        <v>24</v>
      </c>
      <c r="J12" s="1">
        <v>2</v>
      </c>
      <c r="K12" s="1" t="s">
        <v>22</v>
      </c>
      <c r="L12" s="1">
        <v>48.720001000000003</v>
      </c>
      <c r="M12" s="1">
        <v>48.72</v>
      </c>
      <c r="N12" s="2">
        <f t="shared" si="0"/>
        <v>2.0525451232660484E-8</v>
      </c>
      <c r="O12" s="1" t="s">
        <v>25</v>
      </c>
      <c r="P12" s="4">
        <v>19.350000000000001</v>
      </c>
      <c r="Q12" s="5">
        <v>4.6999775804579258E-6</v>
      </c>
    </row>
    <row r="13" spans="1:17">
      <c r="A13" s="1" t="s">
        <v>36</v>
      </c>
      <c r="B13" s="1">
        <v>12</v>
      </c>
      <c r="C13" s="1">
        <v>2</v>
      </c>
      <c r="D13" s="1" t="s">
        <v>22</v>
      </c>
      <c r="E13" s="1">
        <v>5</v>
      </c>
      <c r="F13" s="1">
        <v>1</v>
      </c>
      <c r="G13" s="1" t="s">
        <v>22</v>
      </c>
      <c r="H13" s="1" t="s">
        <v>23</v>
      </c>
      <c r="I13" s="1" t="s">
        <v>24</v>
      </c>
      <c r="J13" s="1">
        <v>4</v>
      </c>
      <c r="K13" s="1" t="s">
        <v>22</v>
      </c>
      <c r="L13" s="1">
        <v>117.600002</v>
      </c>
      <c r="M13" s="1">
        <v>117.6</v>
      </c>
      <c r="N13" s="2">
        <f t="shared" si="0"/>
        <v>1.7006802509759652E-8</v>
      </c>
      <c r="O13" s="1" t="s">
        <v>25</v>
      </c>
      <c r="P13" s="4">
        <v>19.329999999999998</v>
      </c>
      <c r="Q13" s="5">
        <v>4.5000342652201653E-6</v>
      </c>
    </row>
    <row r="14" spans="1:17">
      <c r="A14" s="1" t="s">
        <v>37</v>
      </c>
      <c r="B14" s="1">
        <v>6</v>
      </c>
      <c r="C14" s="1">
        <v>2</v>
      </c>
      <c r="D14" s="1" t="s">
        <v>21</v>
      </c>
      <c r="E14" s="1">
        <v>8</v>
      </c>
      <c r="F14" s="1">
        <v>1</v>
      </c>
      <c r="G14" s="1" t="s">
        <v>21</v>
      </c>
      <c r="H14" s="1" t="s">
        <v>23</v>
      </c>
      <c r="I14" s="1" t="s">
        <v>24</v>
      </c>
      <c r="J14" s="1">
        <v>2</v>
      </c>
      <c r="K14" s="1" t="s">
        <v>21</v>
      </c>
      <c r="L14" s="1">
        <v>107.519997</v>
      </c>
      <c r="M14" s="1">
        <v>107.52</v>
      </c>
      <c r="N14" s="2">
        <f t="shared" si="0"/>
        <v>2.7901786422350141E-8</v>
      </c>
      <c r="O14" s="1" t="s">
        <v>25</v>
      </c>
      <c r="P14" s="4">
        <v>19.32</v>
      </c>
      <c r="Q14" s="5">
        <v>4.5999768190085888E-6</v>
      </c>
    </row>
    <row r="15" spans="1:17">
      <c r="A15" s="1" t="s">
        <v>38</v>
      </c>
      <c r="B15" s="1">
        <v>10</v>
      </c>
      <c r="C15" s="1">
        <v>0</v>
      </c>
      <c r="D15" s="1" t="s">
        <v>21</v>
      </c>
      <c r="E15" s="1">
        <v>16</v>
      </c>
      <c r="F15" s="1">
        <v>8</v>
      </c>
      <c r="G15" s="1" t="s">
        <v>21</v>
      </c>
      <c r="H15" s="1" t="s">
        <v>23</v>
      </c>
      <c r="I15" s="1" t="s">
        <v>24</v>
      </c>
      <c r="J15" s="1">
        <v>1</v>
      </c>
      <c r="K15" s="1" t="s">
        <v>22</v>
      </c>
      <c r="L15" s="1">
        <v>53.760001000000003</v>
      </c>
      <c r="M15" s="1">
        <v>53.76</v>
      </c>
      <c r="N15" s="2">
        <f t="shared" si="0"/>
        <v>1.8601190215392111E-8</v>
      </c>
      <c r="O15" s="1" t="s">
        <v>25</v>
      </c>
      <c r="P15" s="4">
        <v>19.309999999999999</v>
      </c>
      <c r="Q15" s="5">
        <v>4.9000373110175133E-6</v>
      </c>
    </row>
    <row r="16" spans="1:17">
      <c r="A16" s="1" t="s">
        <v>39</v>
      </c>
      <c r="B16" s="1">
        <v>5</v>
      </c>
      <c r="C16" s="1">
        <v>4</v>
      </c>
      <c r="D16" s="1" t="s">
        <v>22</v>
      </c>
      <c r="E16" s="1">
        <v>12</v>
      </c>
      <c r="F16" s="1">
        <v>1</v>
      </c>
      <c r="G16" s="1" t="s">
        <v>22</v>
      </c>
      <c r="H16" s="1" t="s">
        <v>23</v>
      </c>
      <c r="I16" s="1" t="s">
        <v>24</v>
      </c>
      <c r="J16" s="1">
        <v>0</v>
      </c>
      <c r="K16" s="1" t="s">
        <v>22</v>
      </c>
      <c r="L16" s="1">
        <v>10.64</v>
      </c>
      <c r="M16" s="1">
        <v>10.64</v>
      </c>
      <c r="N16" s="2">
        <f t="shared" si="0"/>
        <v>0</v>
      </c>
      <c r="O16" s="1" t="s">
        <v>25</v>
      </c>
      <c r="P16" s="4">
        <v>18.670000000000002</v>
      </c>
      <c r="Q16" s="5">
        <v>4.6000350266695023E-6</v>
      </c>
    </row>
    <row r="17" spans="1:17">
      <c r="A17" s="1" t="s">
        <v>40</v>
      </c>
      <c r="B17" s="1">
        <v>12</v>
      </c>
      <c r="C17" s="1">
        <v>1</v>
      </c>
      <c r="D17" s="1" t="s">
        <v>21</v>
      </c>
      <c r="E17" s="1">
        <v>16</v>
      </c>
      <c r="F17" s="1">
        <v>0</v>
      </c>
      <c r="G17" s="1" t="s">
        <v>21</v>
      </c>
      <c r="H17" s="1" t="s">
        <v>23</v>
      </c>
      <c r="I17" s="1" t="s">
        <v>24</v>
      </c>
      <c r="J17" s="1">
        <v>0</v>
      </c>
      <c r="K17" s="1" t="s">
        <v>21</v>
      </c>
      <c r="L17" s="1">
        <v>17.920000000000002</v>
      </c>
      <c r="M17" s="1">
        <v>17.920000000000002</v>
      </c>
      <c r="N17" s="2">
        <f t="shared" si="0"/>
        <v>0</v>
      </c>
      <c r="O17" s="1" t="s">
        <v>25</v>
      </c>
      <c r="P17" s="4">
        <v>18.87</v>
      </c>
      <c r="Q17" s="5">
        <v>4.7999783419072628E-6</v>
      </c>
    </row>
    <row r="18" spans="1:17">
      <c r="A18" s="1" t="s">
        <v>41</v>
      </c>
      <c r="B18" s="1">
        <v>14</v>
      </c>
      <c r="C18" s="1">
        <v>4</v>
      </c>
      <c r="D18" s="1" t="s">
        <v>22</v>
      </c>
      <c r="E18" s="1">
        <v>10</v>
      </c>
      <c r="F18" s="1">
        <v>4</v>
      </c>
      <c r="G18" s="1" t="s">
        <v>21</v>
      </c>
      <c r="H18" s="1" t="s">
        <v>23</v>
      </c>
      <c r="I18" s="1" t="s">
        <v>24</v>
      </c>
      <c r="J18" s="1">
        <v>6</v>
      </c>
      <c r="K18" s="1" t="s">
        <v>22</v>
      </c>
      <c r="L18" s="1">
        <v>352.80000699999999</v>
      </c>
      <c r="M18" s="1">
        <v>352.8</v>
      </c>
      <c r="N18" s="2">
        <f t="shared" si="0"/>
        <v>1.9841269397499471E-8</v>
      </c>
      <c r="O18" s="1" t="s">
        <v>25</v>
      </c>
      <c r="P18" s="4">
        <v>19.399999999999999</v>
      </c>
      <c r="Q18" s="5">
        <v>4.3999752961099148E-6</v>
      </c>
    </row>
    <row r="19" spans="1:17">
      <c r="A19" s="1" t="s">
        <v>42</v>
      </c>
      <c r="B19" s="1">
        <v>8</v>
      </c>
      <c r="C19" s="1">
        <v>2</v>
      </c>
      <c r="D19" s="1" t="s">
        <v>21</v>
      </c>
      <c r="E19" s="1">
        <v>12</v>
      </c>
      <c r="F19" s="1">
        <v>8</v>
      </c>
      <c r="G19" s="1" t="s">
        <v>21</v>
      </c>
      <c r="H19" s="1" t="s">
        <v>23</v>
      </c>
      <c r="I19" s="1" t="s">
        <v>24</v>
      </c>
      <c r="J19" s="1">
        <v>1</v>
      </c>
      <c r="K19" s="1" t="s">
        <v>21</v>
      </c>
      <c r="L19" s="1">
        <v>45.359999000000002</v>
      </c>
      <c r="M19" s="1">
        <v>45.36</v>
      </c>
      <c r="N19" s="2">
        <f t="shared" si="0"/>
        <v>2.2045855809548025E-8</v>
      </c>
      <c r="O19" s="1" t="s">
        <v>25</v>
      </c>
      <c r="P19" s="4">
        <v>18.73</v>
      </c>
      <c r="Q19" s="5">
        <v>4.7999783419072628E-6</v>
      </c>
    </row>
    <row r="20" spans="1:17">
      <c r="A20" s="1" t="s">
        <v>43</v>
      </c>
      <c r="B20" s="1">
        <v>5</v>
      </c>
      <c r="C20" s="1">
        <v>4</v>
      </c>
      <c r="D20" s="1" t="s">
        <v>21</v>
      </c>
      <c r="E20" s="1">
        <v>16</v>
      </c>
      <c r="F20" s="1">
        <v>4</v>
      </c>
      <c r="G20" s="1" t="s">
        <v>22</v>
      </c>
      <c r="H20" s="1" t="s">
        <v>23</v>
      </c>
      <c r="I20" s="1" t="s">
        <v>24</v>
      </c>
      <c r="J20" s="1">
        <v>1</v>
      </c>
      <c r="K20" s="1" t="s">
        <v>21</v>
      </c>
      <c r="L20" s="1">
        <v>107.519997</v>
      </c>
      <c r="M20" s="1">
        <v>107.52</v>
      </c>
      <c r="N20" s="2">
        <f t="shared" si="0"/>
        <v>2.7901786422350141E-8</v>
      </c>
      <c r="O20" s="1" t="s">
        <v>25</v>
      </c>
      <c r="P20" s="4">
        <v>19.11</v>
      </c>
      <c r="Q20" s="5">
        <v>4.5999768190085888E-6</v>
      </c>
    </row>
    <row r="21" spans="1:17">
      <c r="A21" s="1" t="s">
        <v>44</v>
      </c>
      <c r="B21" s="1">
        <v>4</v>
      </c>
      <c r="C21" s="1">
        <v>2</v>
      </c>
      <c r="D21" s="1" t="s">
        <v>22</v>
      </c>
      <c r="E21" s="1">
        <v>16</v>
      </c>
      <c r="F21" s="1">
        <v>2</v>
      </c>
      <c r="G21" s="1" t="s">
        <v>22</v>
      </c>
      <c r="H21" s="1" t="s">
        <v>23</v>
      </c>
      <c r="I21" s="1" t="s">
        <v>24</v>
      </c>
      <c r="J21" s="1">
        <v>6</v>
      </c>
      <c r="K21" s="1" t="s">
        <v>22</v>
      </c>
      <c r="L21" s="1">
        <v>151.20000200000001</v>
      </c>
      <c r="M21" s="1">
        <v>151.19999999999999</v>
      </c>
      <c r="N21" s="2">
        <f t="shared" si="0"/>
        <v>1.3227513207124129E-8</v>
      </c>
      <c r="O21" s="1" t="s">
        <v>25</v>
      </c>
      <c r="P21" s="4">
        <v>19.61</v>
      </c>
      <c r="Q21" s="5">
        <v>4.5000342652201653E-6</v>
      </c>
    </row>
    <row r="22" spans="1:17">
      <c r="A22" s="1" t="s">
        <v>45</v>
      </c>
      <c r="B22" s="1">
        <v>5</v>
      </c>
      <c r="C22" s="1">
        <v>0</v>
      </c>
      <c r="D22" s="1" t="s">
        <v>22</v>
      </c>
      <c r="E22" s="1">
        <v>10</v>
      </c>
      <c r="F22" s="1">
        <v>6</v>
      </c>
      <c r="G22" s="1" t="s">
        <v>21</v>
      </c>
      <c r="H22" s="1" t="s">
        <v>23</v>
      </c>
      <c r="I22" s="1" t="s">
        <v>24</v>
      </c>
      <c r="J22" s="1">
        <v>2</v>
      </c>
      <c r="K22" s="1" t="s">
        <v>21</v>
      </c>
      <c r="L22" s="1">
        <v>58.799998000000002</v>
      </c>
      <c r="M22" s="1">
        <v>58.8</v>
      </c>
      <c r="N22" s="2">
        <f t="shared" si="0"/>
        <v>3.4013606513226159E-8</v>
      </c>
      <c r="O22" s="1" t="s">
        <v>25</v>
      </c>
      <c r="P22" s="4">
        <v>19.21</v>
      </c>
      <c r="Q22" s="5">
        <v>4.4999760575592518E-6</v>
      </c>
    </row>
    <row r="23" spans="1:17">
      <c r="A23" s="1" t="s">
        <v>46</v>
      </c>
      <c r="B23" s="1">
        <v>12</v>
      </c>
      <c r="C23" s="1">
        <v>3</v>
      </c>
      <c r="D23" s="1" t="s">
        <v>21</v>
      </c>
      <c r="E23" s="1">
        <v>16</v>
      </c>
      <c r="F23" s="1">
        <v>3</v>
      </c>
      <c r="G23" s="1" t="s">
        <v>22</v>
      </c>
      <c r="H23" s="1" t="s">
        <v>23</v>
      </c>
      <c r="I23" s="1" t="s">
        <v>24</v>
      </c>
      <c r="J23" s="1">
        <v>1</v>
      </c>
      <c r="K23" s="1" t="s">
        <v>21</v>
      </c>
      <c r="L23" s="1">
        <v>107.519997</v>
      </c>
      <c r="M23" s="1">
        <v>107.52</v>
      </c>
      <c r="N23" s="2">
        <f t="shared" si="0"/>
        <v>2.7901786422350141E-8</v>
      </c>
      <c r="O23" s="1" t="s">
        <v>25</v>
      </c>
      <c r="P23" s="4">
        <v>19.12</v>
      </c>
      <c r="Q23" s="5">
        <v>4.8000365495681763E-6</v>
      </c>
    </row>
    <row r="24" spans="1:17">
      <c r="A24" s="1" t="s">
        <v>47</v>
      </c>
      <c r="B24" s="1">
        <v>10</v>
      </c>
      <c r="C24" s="1">
        <v>4</v>
      </c>
      <c r="D24" s="1" t="s">
        <v>22</v>
      </c>
      <c r="E24" s="1">
        <v>16</v>
      </c>
      <c r="F24" s="1">
        <v>6</v>
      </c>
      <c r="G24" s="1" t="s">
        <v>21</v>
      </c>
      <c r="H24" s="1" t="s">
        <v>23</v>
      </c>
      <c r="I24" s="1" t="s">
        <v>24</v>
      </c>
      <c r="J24" s="1">
        <v>2</v>
      </c>
      <c r="K24" s="1" t="s">
        <v>22</v>
      </c>
      <c r="L24" s="1">
        <v>122.640002</v>
      </c>
      <c r="M24" s="1">
        <v>122.64</v>
      </c>
      <c r="N24" s="2">
        <f t="shared" si="0"/>
        <v>1.6307892713100946E-8</v>
      </c>
      <c r="O24" s="1" t="s">
        <v>25</v>
      </c>
      <c r="P24" s="4">
        <v>19.32</v>
      </c>
      <c r="Q24" s="5">
        <v>5.2999821491539478E-6</v>
      </c>
    </row>
    <row r="25" spans="1:17">
      <c r="A25" s="1" t="s">
        <v>48</v>
      </c>
      <c r="B25" s="1">
        <v>14</v>
      </c>
      <c r="C25" s="1">
        <v>1</v>
      </c>
      <c r="D25" s="1" t="s">
        <v>22</v>
      </c>
      <c r="E25" s="1">
        <v>6</v>
      </c>
      <c r="F25" s="1">
        <v>4</v>
      </c>
      <c r="G25" s="1" t="s">
        <v>21</v>
      </c>
      <c r="H25" s="1" t="s">
        <v>23</v>
      </c>
      <c r="I25" s="1" t="s">
        <v>24</v>
      </c>
      <c r="J25" s="1">
        <v>1</v>
      </c>
      <c r="K25" s="1" t="s">
        <v>22</v>
      </c>
      <c r="L25" s="1">
        <v>20.16</v>
      </c>
      <c r="M25" s="1">
        <v>20.16</v>
      </c>
      <c r="N25" s="2">
        <f t="shared" si="0"/>
        <v>0</v>
      </c>
      <c r="O25" s="1" t="s">
        <v>25</v>
      </c>
      <c r="P25" s="4">
        <v>19.18</v>
      </c>
      <c r="Q25" s="5">
        <v>4.4999760575592518E-6</v>
      </c>
    </row>
    <row r="26" spans="1:17">
      <c r="A26" s="1" t="s">
        <v>49</v>
      </c>
      <c r="B26" s="1">
        <v>5</v>
      </c>
      <c r="C26" s="1">
        <v>1</v>
      </c>
      <c r="D26" s="1" t="s">
        <v>22</v>
      </c>
      <c r="E26" s="1">
        <v>12</v>
      </c>
      <c r="F26" s="1">
        <v>0</v>
      </c>
      <c r="G26" s="1" t="s">
        <v>22</v>
      </c>
      <c r="H26" s="1" t="s">
        <v>23</v>
      </c>
      <c r="I26" s="1" t="s">
        <v>24</v>
      </c>
      <c r="J26" s="1">
        <v>3</v>
      </c>
      <c r="K26" s="1" t="s">
        <v>21</v>
      </c>
      <c r="L26" s="1">
        <v>87.359997000000007</v>
      </c>
      <c r="M26" s="1">
        <v>87.36</v>
      </c>
      <c r="N26" s="2">
        <f t="shared" si="0"/>
        <v>3.4340660433238427E-8</v>
      </c>
      <c r="O26" s="1" t="s">
        <v>25</v>
      </c>
      <c r="P26" s="4">
        <v>19.47</v>
      </c>
      <c r="Q26" s="5">
        <v>4.6000350266695023E-6</v>
      </c>
    </row>
    <row r="27" spans="1:17">
      <c r="A27" s="1" t="s">
        <v>50</v>
      </c>
      <c r="B27" s="1">
        <v>6</v>
      </c>
      <c r="C27" s="1">
        <v>4</v>
      </c>
      <c r="D27" s="1" t="s">
        <v>22</v>
      </c>
      <c r="E27" s="1">
        <v>10</v>
      </c>
      <c r="F27" s="1">
        <v>3</v>
      </c>
      <c r="G27" s="1" t="s">
        <v>22</v>
      </c>
      <c r="H27" s="1" t="s">
        <v>23</v>
      </c>
      <c r="I27" s="1" t="s">
        <v>24</v>
      </c>
      <c r="J27" s="1">
        <v>4</v>
      </c>
      <c r="K27" s="1" t="s">
        <v>22</v>
      </c>
      <c r="L27" s="1">
        <v>121.80000200000001</v>
      </c>
      <c r="M27" s="1">
        <v>121.8</v>
      </c>
      <c r="N27" s="2">
        <f t="shared" si="0"/>
        <v>1.642036105353545E-8</v>
      </c>
      <c r="O27" s="1" t="s">
        <v>25</v>
      </c>
      <c r="P27" s="4">
        <v>19.600000000000001</v>
      </c>
      <c r="Q27" s="5">
        <v>4.6000350266695023E-6</v>
      </c>
    </row>
    <row r="28" spans="1:17">
      <c r="A28" s="1" t="s">
        <v>51</v>
      </c>
      <c r="B28" s="1">
        <v>12</v>
      </c>
      <c r="C28" s="1">
        <v>0</v>
      </c>
      <c r="D28" s="1" t="s">
        <v>22</v>
      </c>
      <c r="E28" s="1">
        <v>6</v>
      </c>
      <c r="F28" s="1">
        <v>3</v>
      </c>
      <c r="G28" s="1" t="s">
        <v>21</v>
      </c>
      <c r="H28" s="1" t="s">
        <v>23</v>
      </c>
      <c r="I28" s="1" t="s">
        <v>24</v>
      </c>
      <c r="J28" s="1">
        <v>2</v>
      </c>
      <c r="K28" s="1" t="s">
        <v>22</v>
      </c>
      <c r="L28" s="1">
        <v>37.800001000000002</v>
      </c>
      <c r="M28" s="1">
        <v>37.799999999999997</v>
      </c>
      <c r="N28" s="2">
        <f t="shared" si="0"/>
        <v>2.6455025876339793E-8</v>
      </c>
      <c r="O28" s="1" t="s">
        <v>25</v>
      </c>
      <c r="P28" s="4">
        <v>19.39</v>
      </c>
      <c r="Q28" s="5">
        <v>4.4999760575592518E-6</v>
      </c>
    </row>
    <row r="29" spans="1:17">
      <c r="A29" s="1" t="s">
        <v>52</v>
      </c>
      <c r="B29" s="1">
        <v>9</v>
      </c>
      <c r="C29" s="1">
        <v>1</v>
      </c>
      <c r="D29" s="1" t="s">
        <v>22</v>
      </c>
      <c r="E29" s="1">
        <v>8</v>
      </c>
      <c r="F29" s="1">
        <v>0</v>
      </c>
      <c r="G29" s="1" t="s">
        <v>22</v>
      </c>
      <c r="H29" s="1" t="s">
        <v>23</v>
      </c>
      <c r="I29" s="1" t="s">
        <v>24</v>
      </c>
      <c r="J29" s="1">
        <v>0</v>
      </c>
      <c r="K29" s="1" t="s">
        <v>22</v>
      </c>
      <c r="L29" s="1">
        <v>8.9600000000000009</v>
      </c>
      <c r="M29" s="1">
        <v>8.9600000000000009</v>
      </c>
      <c r="N29" s="2">
        <f t="shared" si="0"/>
        <v>0</v>
      </c>
      <c r="O29" s="1" t="s">
        <v>25</v>
      </c>
      <c r="P29" s="4">
        <v>19.260000000000002</v>
      </c>
      <c r="Q29" s="5">
        <v>4.7999783419072628E-6</v>
      </c>
    </row>
    <row r="30" spans="1:17">
      <c r="A30" s="1" t="s">
        <v>53</v>
      </c>
      <c r="B30" s="1">
        <v>4</v>
      </c>
      <c r="C30" s="1">
        <v>2</v>
      </c>
      <c r="D30" s="1" t="s">
        <v>21</v>
      </c>
      <c r="E30" s="1">
        <v>10</v>
      </c>
      <c r="F30" s="1">
        <v>6</v>
      </c>
      <c r="G30" s="1" t="s">
        <v>22</v>
      </c>
      <c r="H30" s="1" t="s">
        <v>23</v>
      </c>
      <c r="I30" s="1" t="s">
        <v>24</v>
      </c>
      <c r="J30" s="1">
        <v>1</v>
      </c>
      <c r="K30" s="1" t="s">
        <v>21</v>
      </c>
      <c r="L30" s="1">
        <v>43.679999000000002</v>
      </c>
      <c r="M30" s="1">
        <v>43.68</v>
      </c>
      <c r="N30" s="2">
        <f t="shared" si="0"/>
        <v>2.289377336009652E-8</v>
      </c>
      <c r="O30" s="1" t="s">
        <v>25</v>
      </c>
      <c r="P30" s="4">
        <v>19.2</v>
      </c>
      <c r="Q30" s="5">
        <v>4.8000365495681763E-6</v>
      </c>
    </row>
    <row r="31" spans="1:17">
      <c r="A31" s="1" t="s">
        <v>54</v>
      </c>
      <c r="B31" s="1">
        <v>6</v>
      </c>
      <c r="C31" s="1">
        <v>1</v>
      </c>
      <c r="D31" s="1" t="s">
        <v>21</v>
      </c>
      <c r="E31" s="1">
        <v>6</v>
      </c>
      <c r="F31" s="1">
        <v>4</v>
      </c>
      <c r="G31" s="1" t="s">
        <v>22</v>
      </c>
      <c r="H31" s="1" t="s">
        <v>23</v>
      </c>
      <c r="I31" s="1" t="s">
        <v>24</v>
      </c>
      <c r="J31" s="1">
        <v>1</v>
      </c>
      <c r="K31" s="1" t="s">
        <v>21</v>
      </c>
      <c r="L31" s="1">
        <v>22.679998999999999</v>
      </c>
      <c r="M31" s="1">
        <v>22.68</v>
      </c>
      <c r="N31" s="2">
        <f t="shared" si="0"/>
        <v>4.4091712747780826E-8</v>
      </c>
      <c r="O31" s="1" t="s">
        <v>25</v>
      </c>
      <c r="P31" s="4">
        <v>19.39</v>
      </c>
      <c r="Q31" s="5">
        <v>4.8999791033565998E-6</v>
      </c>
    </row>
    <row r="32" spans="1:17">
      <c r="A32" s="1" t="s">
        <v>55</v>
      </c>
      <c r="B32" s="1">
        <v>10</v>
      </c>
      <c r="C32" s="1">
        <v>6</v>
      </c>
      <c r="D32" s="1" t="s">
        <v>21</v>
      </c>
      <c r="E32" s="1">
        <v>5</v>
      </c>
      <c r="F32" s="1">
        <v>0</v>
      </c>
      <c r="G32" s="1" t="s">
        <v>22</v>
      </c>
      <c r="H32" s="1" t="s">
        <v>23</v>
      </c>
      <c r="I32" s="1" t="s">
        <v>24</v>
      </c>
      <c r="J32" s="1">
        <v>3</v>
      </c>
      <c r="K32" s="1" t="s">
        <v>22</v>
      </c>
      <c r="L32" s="1">
        <v>88.200001999999998</v>
      </c>
      <c r="M32" s="1">
        <v>88.2</v>
      </c>
      <c r="N32" s="2">
        <f t="shared" si="0"/>
        <v>2.2675736390011482E-8</v>
      </c>
      <c r="O32" s="1" t="s">
        <v>25</v>
      </c>
      <c r="P32" s="4">
        <v>19.09</v>
      </c>
      <c r="Q32" s="5">
        <v>4.6999775804579258E-6</v>
      </c>
    </row>
    <row r="33" spans="1:17">
      <c r="A33" s="1" t="s">
        <v>56</v>
      </c>
      <c r="B33" s="1">
        <v>8</v>
      </c>
      <c r="C33" s="1">
        <v>3</v>
      </c>
      <c r="D33" s="1" t="s">
        <v>22</v>
      </c>
      <c r="E33" s="1">
        <v>10</v>
      </c>
      <c r="F33" s="1">
        <v>8</v>
      </c>
      <c r="G33" s="1" t="s">
        <v>21</v>
      </c>
      <c r="H33" s="1" t="s">
        <v>23</v>
      </c>
      <c r="I33" s="1" t="s">
        <v>24</v>
      </c>
      <c r="J33" s="1">
        <v>1</v>
      </c>
      <c r="K33" s="1" t="s">
        <v>22</v>
      </c>
      <c r="L33" s="1">
        <v>33.6</v>
      </c>
      <c r="M33" s="1">
        <v>33.6</v>
      </c>
      <c r="N33" s="2">
        <f t="shared" si="0"/>
        <v>0</v>
      </c>
      <c r="O33" s="1" t="s">
        <v>25</v>
      </c>
      <c r="P33" s="4">
        <v>20.38</v>
      </c>
      <c r="Q33" s="5">
        <v>4.4999760575592518E-6</v>
      </c>
    </row>
    <row r="34" spans="1:17">
      <c r="A34" s="1" t="s">
        <v>57</v>
      </c>
      <c r="B34" s="1">
        <v>9</v>
      </c>
      <c r="C34" s="1">
        <v>4</v>
      </c>
      <c r="D34" s="1" t="s">
        <v>21</v>
      </c>
      <c r="E34" s="1">
        <v>10</v>
      </c>
      <c r="F34" s="1">
        <v>6</v>
      </c>
      <c r="G34" s="1" t="s">
        <v>22</v>
      </c>
      <c r="H34" s="1" t="s">
        <v>23</v>
      </c>
      <c r="I34" s="1" t="s">
        <v>24</v>
      </c>
      <c r="J34" s="1">
        <v>6</v>
      </c>
      <c r="K34" s="1" t="s">
        <v>21</v>
      </c>
      <c r="L34" s="1">
        <v>333.19999000000001</v>
      </c>
      <c r="M34" s="1">
        <v>324.24</v>
      </c>
      <c r="N34" s="2">
        <f t="shared" ref="N34:N65" si="1">ABS(M34-L34)/L34</f>
        <v>2.6890727097560851E-2</v>
      </c>
      <c r="O34" s="1" t="s">
        <v>25</v>
      </c>
      <c r="P34" s="4">
        <v>19.53</v>
      </c>
      <c r="Q34" s="5">
        <v>4.7999783419072628E-6</v>
      </c>
    </row>
    <row r="35" spans="1:17">
      <c r="A35" s="1" t="s">
        <v>58</v>
      </c>
      <c r="B35" s="1">
        <v>9</v>
      </c>
      <c r="C35" s="1">
        <v>4</v>
      </c>
      <c r="D35" s="1" t="s">
        <v>22</v>
      </c>
      <c r="E35" s="1">
        <v>12</v>
      </c>
      <c r="F35" s="1">
        <v>0</v>
      </c>
      <c r="G35" s="1" t="s">
        <v>21</v>
      </c>
      <c r="H35" s="1" t="s">
        <v>23</v>
      </c>
      <c r="I35" s="1" t="s">
        <v>24</v>
      </c>
      <c r="J35" s="1">
        <v>0</v>
      </c>
      <c r="K35" s="1" t="s">
        <v>22</v>
      </c>
      <c r="L35" s="1">
        <v>11.48</v>
      </c>
      <c r="M35" s="1">
        <v>11.48</v>
      </c>
      <c r="N35" s="2">
        <f t="shared" si="1"/>
        <v>0</v>
      </c>
      <c r="O35" s="1" t="s">
        <v>25</v>
      </c>
      <c r="P35" s="4">
        <v>19.170000000000002</v>
      </c>
      <c r="Q35" s="5">
        <v>4.6999775804579258E-6</v>
      </c>
    </row>
    <row r="36" spans="1:17">
      <c r="A36" s="1" t="s">
        <v>59</v>
      </c>
      <c r="B36" s="1">
        <v>9</v>
      </c>
      <c r="C36" s="1">
        <v>2</v>
      </c>
      <c r="D36" s="1" t="s">
        <v>21</v>
      </c>
      <c r="E36" s="1">
        <v>12</v>
      </c>
      <c r="F36" s="1">
        <v>8</v>
      </c>
      <c r="G36" s="1" t="s">
        <v>22</v>
      </c>
      <c r="H36" s="1" t="s">
        <v>23</v>
      </c>
      <c r="I36" s="1" t="s">
        <v>24</v>
      </c>
      <c r="J36" s="1">
        <v>0</v>
      </c>
      <c r="K36" s="1" t="s">
        <v>22</v>
      </c>
      <c r="L36" s="1">
        <v>11.76</v>
      </c>
      <c r="M36" s="1">
        <v>11.76</v>
      </c>
      <c r="N36" s="2">
        <f t="shared" si="1"/>
        <v>0</v>
      </c>
      <c r="O36" s="1" t="s">
        <v>25</v>
      </c>
      <c r="P36" s="4">
        <v>18.64</v>
      </c>
      <c r="Q36" s="5">
        <v>5.2999821491539478E-6</v>
      </c>
    </row>
    <row r="37" spans="1:17">
      <c r="A37" s="1" t="s">
        <v>60</v>
      </c>
      <c r="B37" s="1">
        <v>4</v>
      </c>
      <c r="C37" s="1">
        <v>3</v>
      </c>
      <c r="D37" s="1" t="s">
        <v>21</v>
      </c>
      <c r="E37" s="1">
        <v>16</v>
      </c>
      <c r="F37" s="1">
        <v>6</v>
      </c>
      <c r="G37" s="1" t="s">
        <v>22</v>
      </c>
      <c r="H37" s="1" t="s">
        <v>23</v>
      </c>
      <c r="I37" s="1" t="s">
        <v>24</v>
      </c>
      <c r="J37" s="1">
        <v>3</v>
      </c>
      <c r="K37" s="1" t="s">
        <v>22</v>
      </c>
      <c r="L37" s="1">
        <v>231.84000399999999</v>
      </c>
      <c r="M37" s="1">
        <v>231.84</v>
      </c>
      <c r="N37" s="2">
        <f t="shared" si="1"/>
        <v>1.7253277781607402E-8</v>
      </c>
      <c r="O37" s="1" t="s">
        <v>25</v>
      </c>
      <c r="P37" s="4">
        <v>18.75</v>
      </c>
      <c r="Q37" s="5">
        <v>4.7000357881188393E-6</v>
      </c>
    </row>
    <row r="38" spans="1:17">
      <c r="A38" s="1" t="s">
        <v>61</v>
      </c>
      <c r="B38" s="1">
        <v>5</v>
      </c>
      <c r="C38" s="1">
        <v>3</v>
      </c>
      <c r="D38" s="1" t="s">
        <v>21</v>
      </c>
      <c r="E38" s="1">
        <v>9</v>
      </c>
      <c r="F38" s="1">
        <v>6</v>
      </c>
      <c r="G38" s="1" t="s">
        <v>21</v>
      </c>
      <c r="H38" s="1" t="s">
        <v>23</v>
      </c>
      <c r="I38" s="1" t="s">
        <v>24</v>
      </c>
      <c r="J38" s="1">
        <v>2</v>
      </c>
      <c r="K38" s="1" t="s">
        <v>21</v>
      </c>
      <c r="L38" s="1">
        <v>83.159997000000004</v>
      </c>
      <c r="M38" s="1">
        <v>83.16</v>
      </c>
      <c r="N38" s="2">
        <f t="shared" si="1"/>
        <v>3.6075037285363632E-8</v>
      </c>
      <c r="O38" s="1" t="s">
        <v>25</v>
      </c>
      <c r="P38" s="4">
        <v>19.46</v>
      </c>
      <c r="Q38" s="5">
        <v>4.6999775804579258E-6</v>
      </c>
    </row>
    <row r="39" spans="1:17">
      <c r="A39" s="1" t="s">
        <v>62</v>
      </c>
      <c r="B39" s="1">
        <v>14</v>
      </c>
      <c r="C39" s="1">
        <v>4</v>
      </c>
      <c r="D39" s="1" t="s">
        <v>21</v>
      </c>
      <c r="E39" s="1">
        <v>16</v>
      </c>
      <c r="F39" s="1">
        <v>6</v>
      </c>
      <c r="G39" s="1" t="s">
        <v>22</v>
      </c>
      <c r="H39" s="1" t="s">
        <v>23</v>
      </c>
      <c r="I39" s="1" t="s">
        <v>24</v>
      </c>
      <c r="J39" s="1">
        <v>0</v>
      </c>
      <c r="K39" s="1" t="s">
        <v>22</v>
      </c>
      <c r="L39" s="1">
        <v>17.36</v>
      </c>
      <c r="M39" s="1">
        <v>17.36</v>
      </c>
      <c r="N39" s="2">
        <f t="shared" si="1"/>
        <v>0</v>
      </c>
      <c r="O39" s="1" t="s">
        <v>25</v>
      </c>
      <c r="P39" s="4">
        <v>19.100000000000001</v>
      </c>
      <c r="Q39" s="5">
        <v>4.8000365495681763E-6</v>
      </c>
    </row>
    <row r="40" spans="1:17">
      <c r="A40" s="1" t="s">
        <v>63</v>
      </c>
      <c r="B40" s="1">
        <v>9</v>
      </c>
      <c r="C40" s="1">
        <v>3</v>
      </c>
      <c r="D40" s="1" t="s">
        <v>21</v>
      </c>
      <c r="E40" s="1">
        <v>9</v>
      </c>
      <c r="F40" s="1">
        <v>8</v>
      </c>
      <c r="G40" s="1" t="s">
        <v>22</v>
      </c>
      <c r="H40" s="1" t="s">
        <v>23</v>
      </c>
      <c r="I40" s="1" t="s">
        <v>24</v>
      </c>
      <c r="J40" s="1">
        <v>6</v>
      </c>
      <c r="K40" s="1" t="s">
        <v>22</v>
      </c>
      <c r="L40" s="1">
        <v>145.32000300000001</v>
      </c>
      <c r="M40" s="1">
        <v>145.32</v>
      </c>
      <c r="N40" s="2">
        <f t="shared" si="1"/>
        <v>2.0644095505884604E-8</v>
      </c>
      <c r="O40" s="1" t="s">
        <v>25</v>
      </c>
      <c r="P40" s="4">
        <v>19.3</v>
      </c>
      <c r="Q40" s="5">
        <v>5.0999806262552738E-6</v>
      </c>
    </row>
    <row r="41" spans="1:17">
      <c r="A41" s="1" t="s">
        <v>64</v>
      </c>
      <c r="B41" s="1">
        <v>10</v>
      </c>
      <c r="C41" s="1">
        <v>2</v>
      </c>
      <c r="D41" s="1" t="s">
        <v>21</v>
      </c>
      <c r="E41" s="1">
        <v>8</v>
      </c>
      <c r="F41" s="1">
        <v>6</v>
      </c>
      <c r="G41" s="1" t="s">
        <v>21</v>
      </c>
      <c r="H41" s="1" t="s">
        <v>23</v>
      </c>
      <c r="I41" s="1" t="s">
        <v>24</v>
      </c>
      <c r="J41" s="1">
        <v>3</v>
      </c>
      <c r="K41" s="1" t="s">
        <v>22</v>
      </c>
      <c r="L41" s="1">
        <v>73.920000999999999</v>
      </c>
      <c r="M41" s="1">
        <v>73.92</v>
      </c>
      <c r="N41" s="2">
        <f t="shared" si="1"/>
        <v>1.3528138310972733E-8</v>
      </c>
      <c r="O41" s="1" t="s">
        <v>25</v>
      </c>
      <c r="P41" s="4">
        <v>19.39</v>
      </c>
      <c r="Q41" s="5">
        <v>7.700000423938036E-6</v>
      </c>
    </row>
    <row r="42" spans="1:17">
      <c r="A42" s="1" t="s">
        <v>65</v>
      </c>
      <c r="B42" s="1">
        <v>9</v>
      </c>
      <c r="C42" s="1">
        <v>6</v>
      </c>
      <c r="D42" s="1" t="s">
        <v>21</v>
      </c>
      <c r="E42" s="1">
        <v>9</v>
      </c>
      <c r="F42" s="1">
        <v>0</v>
      </c>
      <c r="G42" s="1" t="s">
        <v>21</v>
      </c>
      <c r="H42" s="1" t="s">
        <v>23</v>
      </c>
      <c r="I42" s="1" t="s">
        <v>24</v>
      </c>
      <c r="J42" s="1">
        <v>2</v>
      </c>
      <c r="K42" s="1" t="s">
        <v>21</v>
      </c>
      <c r="L42" s="1">
        <v>120.959996</v>
      </c>
      <c r="M42" s="1">
        <v>120.96</v>
      </c>
      <c r="N42" s="2">
        <f t="shared" si="1"/>
        <v>3.3068784078836864E-8</v>
      </c>
      <c r="O42" s="1" t="s">
        <v>25</v>
      </c>
      <c r="P42" s="4">
        <v>19.07</v>
      </c>
      <c r="Q42" s="5">
        <v>4.5999768190085888E-6</v>
      </c>
    </row>
    <row r="43" spans="1:17">
      <c r="A43" s="1" t="s">
        <v>66</v>
      </c>
      <c r="B43" s="1">
        <v>12</v>
      </c>
      <c r="C43" s="1">
        <v>4</v>
      </c>
      <c r="D43" s="1" t="s">
        <v>22</v>
      </c>
      <c r="E43" s="1">
        <v>8</v>
      </c>
      <c r="F43" s="1">
        <v>2</v>
      </c>
      <c r="G43" s="1" t="s">
        <v>22</v>
      </c>
      <c r="H43" s="1" t="s">
        <v>23</v>
      </c>
      <c r="I43" s="1" t="s">
        <v>24</v>
      </c>
      <c r="J43" s="1">
        <v>3</v>
      </c>
      <c r="K43" s="1" t="s">
        <v>21</v>
      </c>
      <c r="L43" s="1">
        <v>161.27999500000001</v>
      </c>
      <c r="M43" s="1">
        <v>161.28</v>
      </c>
      <c r="N43" s="2">
        <f t="shared" si="1"/>
        <v>3.1001985009834688E-8</v>
      </c>
      <c r="O43" s="1" t="s">
        <v>25</v>
      </c>
      <c r="P43" s="4">
        <v>19.239999999999998</v>
      </c>
      <c r="Q43" s="5">
        <v>4.7999783419072628E-6</v>
      </c>
    </row>
    <row r="44" spans="1:17">
      <c r="A44" s="1" t="s">
        <v>67</v>
      </c>
      <c r="B44" s="1">
        <v>12</v>
      </c>
      <c r="C44" s="1">
        <v>3</v>
      </c>
      <c r="D44" s="1" t="s">
        <v>22</v>
      </c>
      <c r="E44" s="1">
        <v>8</v>
      </c>
      <c r="F44" s="1">
        <v>2</v>
      </c>
      <c r="G44" s="1" t="s">
        <v>21</v>
      </c>
      <c r="H44" s="1" t="s">
        <v>23</v>
      </c>
      <c r="I44" s="1" t="s">
        <v>24</v>
      </c>
      <c r="J44" s="1">
        <v>2</v>
      </c>
      <c r="K44" s="1" t="s">
        <v>22</v>
      </c>
      <c r="L44" s="1">
        <v>94.080001999999993</v>
      </c>
      <c r="M44" s="1">
        <v>94.08</v>
      </c>
      <c r="N44" s="2">
        <f t="shared" si="1"/>
        <v>2.1258502895764029E-8</v>
      </c>
      <c r="O44" s="1" t="s">
        <v>25</v>
      </c>
      <c r="P44" s="4">
        <v>19.22</v>
      </c>
      <c r="Q44" s="5">
        <v>4.2000319808721542E-6</v>
      </c>
    </row>
    <row r="45" spans="1:17">
      <c r="A45" s="1" t="s">
        <v>68</v>
      </c>
      <c r="B45" s="1">
        <v>9</v>
      </c>
      <c r="C45" s="1">
        <v>3</v>
      </c>
      <c r="D45" s="1" t="s">
        <v>22</v>
      </c>
      <c r="E45" s="1">
        <v>6</v>
      </c>
      <c r="F45" s="1">
        <v>3</v>
      </c>
      <c r="G45" s="1" t="s">
        <v>21</v>
      </c>
      <c r="H45" s="1" t="s">
        <v>23</v>
      </c>
      <c r="I45" s="1" t="s">
        <v>24</v>
      </c>
      <c r="J45" s="1">
        <v>2</v>
      </c>
      <c r="K45" s="1" t="s">
        <v>21</v>
      </c>
      <c r="L45" s="1">
        <v>80.639996999999994</v>
      </c>
      <c r="M45" s="1">
        <v>80.64</v>
      </c>
      <c r="N45" s="2">
        <f t="shared" si="1"/>
        <v>3.7202382418697055E-8</v>
      </c>
      <c r="O45" s="1" t="s">
        <v>25</v>
      </c>
      <c r="P45" s="4">
        <v>18.89</v>
      </c>
      <c r="Q45" s="5">
        <v>4.0999730117619038E-6</v>
      </c>
    </row>
    <row r="46" spans="1:17">
      <c r="A46" s="1" t="s">
        <v>69</v>
      </c>
      <c r="B46" s="1">
        <v>10</v>
      </c>
      <c r="C46" s="1">
        <v>6</v>
      </c>
      <c r="D46" s="1" t="s">
        <v>22</v>
      </c>
      <c r="E46" s="1">
        <v>9</v>
      </c>
      <c r="F46" s="1">
        <v>6</v>
      </c>
      <c r="G46" s="1" t="s">
        <v>22</v>
      </c>
      <c r="H46" s="1" t="s">
        <v>23</v>
      </c>
      <c r="I46" s="1" t="s">
        <v>24</v>
      </c>
      <c r="J46" s="1">
        <v>0</v>
      </c>
      <c r="K46" s="1" t="s">
        <v>22</v>
      </c>
      <c r="L46" s="1">
        <v>10.08</v>
      </c>
      <c r="M46" s="1">
        <v>10.08</v>
      </c>
      <c r="N46" s="2">
        <f t="shared" si="1"/>
        <v>0</v>
      </c>
      <c r="O46" s="1" t="s">
        <v>25</v>
      </c>
      <c r="P46" s="4">
        <v>19.34</v>
      </c>
      <c r="Q46" s="5">
        <v>6.6999928094446659E-6</v>
      </c>
    </row>
    <row r="47" spans="1:17">
      <c r="A47" s="1" t="s">
        <v>70</v>
      </c>
      <c r="B47" s="1">
        <v>12</v>
      </c>
      <c r="C47" s="1">
        <v>4</v>
      </c>
      <c r="D47" s="1" t="s">
        <v>21</v>
      </c>
      <c r="E47" s="1">
        <v>8</v>
      </c>
      <c r="F47" s="1">
        <v>1</v>
      </c>
      <c r="G47" s="1" t="s">
        <v>22</v>
      </c>
      <c r="H47" s="1" t="s">
        <v>23</v>
      </c>
      <c r="I47" s="1" t="s">
        <v>24</v>
      </c>
      <c r="J47" s="1">
        <v>4</v>
      </c>
      <c r="K47" s="1" t="s">
        <v>21</v>
      </c>
      <c r="L47" s="1">
        <v>215.03999300000001</v>
      </c>
      <c r="M47" s="1">
        <v>215.04</v>
      </c>
      <c r="N47" s="2">
        <f t="shared" si="1"/>
        <v>3.2552084310785381E-8</v>
      </c>
      <c r="O47" s="1" t="s">
        <v>25</v>
      </c>
      <c r="P47" s="4">
        <v>19.55</v>
      </c>
      <c r="Q47" s="5">
        <v>6.3000479713082314E-6</v>
      </c>
    </row>
    <row r="48" spans="1:17">
      <c r="A48" s="1" t="s">
        <v>71</v>
      </c>
      <c r="B48" s="1">
        <v>10</v>
      </c>
      <c r="C48" s="1">
        <v>4</v>
      </c>
      <c r="D48" s="1" t="s">
        <v>21</v>
      </c>
      <c r="E48" s="1">
        <v>9</v>
      </c>
      <c r="F48" s="1">
        <v>4</v>
      </c>
      <c r="G48" s="1" t="s">
        <v>22</v>
      </c>
      <c r="H48" s="1" t="s">
        <v>23</v>
      </c>
      <c r="I48" s="1" t="s">
        <v>24</v>
      </c>
      <c r="J48" s="1">
        <v>0</v>
      </c>
      <c r="K48" s="1" t="s">
        <v>21</v>
      </c>
      <c r="L48" s="1">
        <v>10.08</v>
      </c>
      <c r="M48" s="1">
        <v>10.08</v>
      </c>
      <c r="N48" s="2">
        <f t="shared" si="1"/>
        <v>0</v>
      </c>
      <c r="O48" s="1" t="s">
        <v>25</v>
      </c>
      <c r="P48" s="4">
        <v>19.11</v>
      </c>
      <c r="Q48" s="5">
        <v>4.7999783419072628E-6</v>
      </c>
    </row>
    <row r="49" spans="1:17">
      <c r="A49" s="1" t="s">
        <v>72</v>
      </c>
      <c r="B49" s="1">
        <v>8</v>
      </c>
      <c r="C49" s="1">
        <v>3</v>
      </c>
      <c r="D49" s="1" t="s">
        <v>21</v>
      </c>
      <c r="E49" s="1">
        <v>16</v>
      </c>
      <c r="F49" s="1">
        <v>6</v>
      </c>
      <c r="G49" s="1" t="s">
        <v>21</v>
      </c>
      <c r="H49" s="1" t="s">
        <v>23</v>
      </c>
      <c r="I49" s="1" t="s">
        <v>24</v>
      </c>
      <c r="J49" s="1">
        <v>4</v>
      </c>
      <c r="K49" s="1" t="s">
        <v>21</v>
      </c>
      <c r="L49" s="1">
        <v>360.91998899999999</v>
      </c>
      <c r="M49" s="1">
        <v>351.96</v>
      </c>
      <c r="N49" s="2">
        <f t="shared" si="1"/>
        <v>2.4825416361186934E-2</v>
      </c>
      <c r="O49" s="1" t="s">
        <v>25</v>
      </c>
      <c r="P49" s="4">
        <v>19.3</v>
      </c>
      <c r="Q49" s="5">
        <v>4.8999791033565998E-6</v>
      </c>
    </row>
    <row r="50" spans="1:17">
      <c r="A50" s="1" t="s">
        <v>73</v>
      </c>
      <c r="B50" s="1">
        <v>9</v>
      </c>
      <c r="C50" s="1">
        <v>1</v>
      </c>
      <c r="D50" s="1" t="s">
        <v>21</v>
      </c>
      <c r="E50" s="1">
        <v>9</v>
      </c>
      <c r="F50" s="1">
        <v>0</v>
      </c>
      <c r="G50" s="1" t="s">
        <v>22</v>
      </c>
      <c r="H50" s="1" t="s">
        <v>23</v>
      </c>
      <c r="I50" s="1" t="s">
        <v>24</v>
      </c>
      <c r="J50" s="1">
        <v>4</v>
      </c>
      <c r="K50" s="1" t="s">
        <v>22</v>
      </c>
      <c r="L50" s="1">
        <v>211.680004</v>
      </c>
      <c r="M50" s="1">
        <v>211.68</v>
      </c>
      <c r="N50" s="2">
        <f t="shared" si="1"/>
        <v>1.8896447063091378E-8</v>
      </c>
      <c r="O50" s="1" t="s">
        <v>25</v>
      </c>
      <c r="P50" s="4">
        <v>19.079999999999998</v>
      </c>
      <c r="Q50" s="5">
        <v>4.5999768190085888E-6</v>
      </c>
    </row>
    <row r="51" spans="1:17">
      <c r="A51" s="1" t="s">
        <v>74</v>
      </c>
      <c r="B51" s="1">
        <v>14</v>
      </c>
      <c r="C51" s="1">
        <v>6</v>
      </c>
      <c r="D51" s="1" t="s">
        <v>22</v>
      </c>
      <c r="E51" s="1">
        <v>8</v>
      </c>
      <c r="F51" s="1">
        <v>2</v>
      </c>
      <c r="G51" s="1" t="s">
        <v>22</v>
      </c>
      <c r="H51" s="1" t="s">
        <v>23</v>
      </c>
      <c r="I51" s="1" t="s">
        <v>24</v>
      </c>
      <c r="J51" s="1">
        <v>2</v>
      </c>
      <c r="K51" s="1" t="s">
        <v>22</v>
      </c>
      <c r="L51" s="1">
        <v>94.080001999999993</v>
      </c>
      <c r="M51" s="1">
        <v>94.08</v>
      </c>
      <c r="N51" s="2">
        <f t="shared" si="1"/>
        <v>2.1258502895764029E-8</v>
      </c>
      <c r="O51" s="1" t="s">
        <v>25</v>
      </c>
      <c r="P51" s="4">
        <v>19.34</v>
      </c>
      <c r="Q51" s="5">
        <v>4.7999783419072628E-6</v>
      </c>
    </row>
    <row r="52" spans="1:17">
      <c r="A52" s="1" t="s">
        <v>75</v>
      </c>
      <c r="B52" s="1">
        <v>4</v>
      </c>
      <c r="C52" s="1">
        <v>1</v>
      </c>
      <c r="D52" s="1" t="s">
        <v>22</v>
      </c>
      <c r="E52" s="1">
        <v>6</v>
      </c>
      <c r="F52" s="1">
        <v>4</v>
      </c>
      <c r="G52" s="1" t="s">
        <v>21</v>
      </c>
      <c r="H52" s="1" t="s">
        <v>23</v>
      </c>
      <c r="I52" s="1" t="s">
        <v>24</v>
      </c>
      <c r="J52" s="1">
        <v>2</v>
      </c>
      <c r="K52" s="1" t="s">
        <v>22</v>
      </c>
      <c r="L52" s="1">
        <v>37.800001000000002</v>
      </c>
      <c r="M52" s="1">
        <v>37.799999999999997</v>
      </c>
      <c r="N52" s="2">
        <f t="shared" si="1"/>
        <v>2.6455025876339793E-8</v>
      </c>
      <c r="O52" s="1" t="s">
        <v>25</v>
      </c>
      <c r="P52" s="4">
        <v>20.16</v>
      </c>
      <c r="Q52" s="5">
        <v>4.3999752961099148E-6</v>
      </c>
    </row>
    <row r="53" spans="1:17">
      <c r="A53" s="1" t="s">
        <v>76</v>
      </c>
      <c r="B53" s="1">
        <v>5</v>
      </c>
      <c r="C53" s="1">
        <v>1</v>
      </c>
      <c r="D53" s="1" t="s">
        <v>21</v>
      </c>
      <c r="E53" s="1">
        <v>12</v>
      </c>
      <c r="F53" s="1">
        <v>3</v>
      </c>
      <c r="G53" s="1" t="s">
        <v>22</v>
      </c>
      <c r="H53" s="1" t="s">
        <v>23</v>
      </c>
      <c r="I53" s="1" t="s">
        <v>24</v>
      </c>
      <c r="J53" s="1">
        <v>4</v>
      </c>
      <c r="K53" s="1" t="s">
        <v>21</v>
      </c>
      <c r="L53" s="1">
        <v>274.959992</v>
      </c>
      <c r="M53" s="1">
        <v>270.48</v>
      </c>
      <c r="N53" s="2">
        <f t="shared" si="1"/>
        <v>1.62932504013165E-2</v>
      </c>
      <c r="O53" s="1" t="s">
        <v>25</v>
      </c>
      <c r="P53" s="4">
        <v>19.25</v>
      </c>
      <c r="Q53" s="5">
        <v>4.7000357881188393E-6</v>
      </c>
    </row>
    <row r="54" spans="1:17">
      <c r="A54" s="1" t="s">
        <v>77</v>
      </c>
      <c r="B54" s="1">
        <v>9</v>
      </c>
      <c r="C54" s="1">
        <v>0</v>
      </c>
      <c r="D54" s="1" t="s">
        <v>21</v>
      </c>
      <c r="E54" s="1">
        <v>16</v>
      </c>
      <c r="F54" s="1">
        <v>1</v>
      </c>
      <c r="G54" s="1" t="s">
        <v>22</v>
      </c>
      <c r="H54" s="1" t="s">
        <v>23</v>
      </c>
      <c r="I54" s="1" t="s">
        <v>24</v>
      </c>
      <c r="J54" s="1">
        <v>0</v>
      </c>
      <c r="K54" s="1" t="s">
        <v>21</v>
      </c>
      <c r="L54" s="1">
        <v>17.64</v>
      </c>
      <c r="M54" s="1">
        <v>17.64</v>
      </c>
      <c r="N54" s="2">
        <f t="shared" si="1"/>
        <v>0</v>
      </c>
      <c r="O54" s="1" t="s">
        <v>25</v>
      </c>
      <c r="P54" s="4">
        <v>19.54</v>
      </c>
      <c r="Q54" s="5">
        <v>4.6000350266695023E-6</v>
      </c>
    </row>
    <row r="55" spans="1:17">
      <c r="A55" s="1" t="s">
        <v>78</v>
      </c>
      <c r="B55" s="1">
        <v>5</v>
      </c>
      <c r="C55" s="1">
        <v>0</v>
      </c>
      <c r="D55" s="1" t="s">
        <v>21</v>
      </c>
      <c r="E55" s="1">
        <v>8</v>
      </c>
      <c r="F55" s="1">
        <v>4</v>
      </c>
      <c r="G55" s="1" t="s">
        <v>22</v>
      </c>
      <c r="H55" s="1" t="s">
        <v>23</v>
      </c>
      <c r="I55" s="1" t="s">
        <v>24</v>
      </c>
      <c r="J55" s="1">
        <v>6</v>
      </c>
      <c r="K55" s="1" t="s">
        <v>22</v>
      </c>
      <c r="L55" s="1">
        <v>144.48000300000001</v>
      </c>
      <c r="M55" s="1">
        <v>144.47999999999999</v>
      </c>
      <c r="N55" s="2">
        <f t="shared" si="1"/>
        <v>2.0764119314473139E-8</v>
      </c>
      <c r="O55" s="1" t="s">
        <v>25</v>
      </c>
      <c r="P55" s="4">
        <v>19.23</v>
      </c>
      <c r="Q55" s="5">
        <v>4.5999768190085888E-6</v>
      </c>
    </row>
    <row r="56" spans="1:17">
      <c r="A56" s="1" t="s">
        <v>79</v>
      </c>
      <c r="B56" s="1">
        <v>8</v>
      </c>
      <c r="C56" s="1">
        <v>1</v>
      </c>
      <c r="D56" s="1" t="s">
        <v>21</v>
      </c>
      <c r="E56" s="1">
        <v>16</v>
      </c>
      <c r="F56" s="1">
        <v>8</v>
      </c>
      <c r="G56" s="1" t="s">
        <v>22</v>
      </c>
      <c r="H56" s="1" t="s">
        <v>23</v>
      </c>
      <c r="I56" s="1" t="s">
        <v>24</v>
      </c>
      <c r="J56" s="1">
        <v>0</v>
      </c>
      <c r="K56" s="1" t="s">
        <v>22</v>
      </c>
      <c r="L56" s="1">
        <v>15.96</v>
      </c>
      <c r="M56" s="1">
        <v>15.96</v>
      </c>
      <c r="N56" s="2">
        <f t="shared" si="1"/>
        <v>0</v>
      </c>
      <c r="O56" s="1" t="s">
        <v>25</v>
      </c>
      <c r="P56" s="4">
        <v>19.5</v>
      </c>
      <c r="Q56" s="5">
        <v>4.7999783419072628E-6</v>
      </c>
    </row>
    <row r="57" spans="1:17">
      <c r="A57" s="1" t="s">
        <v>80</v>
      </c>
      <c r="B57" s="1">
        <v>6</v>
      </c>
      <c r="C57" s="1">
        <v>0</v>
      </c>
      <c r="D57" s="1" t="s">
        <v>22</v>
      </c>
      <c r="E57" s="1">
        <v>16</v>
      </c>
      <c r="F57" s="1">
        <v>0</v>
      </c>
      <c r="G57" s="1" t="s">
        <v>21</v>
      </c>
      <c r="H57" s="1" t="s">
        <v>23</v>
      </c>
      <c r="I57" s="1" t="s">
        <v>24</v>
      </c>
      <c r="J57" s="1">
        <v>3</v>
      </c>
      <c r="K57" s="1" t="s">
        <v>22</v>
      </c>
      <c r="L57" s="1">
        <v>114.240002</v>
      </c>
      <c r="M57" s="1">
        <v>114.24</v>
      </c>
      <c r="N57" s="2">
        <f t="shared" si="1"/>
        <v>1.7507002574819107E-8</v>
      </c>
      <c r="O57" s="1" t="s">
        <v>25</v>
      </c>
      <c r="P57" s="4">
        <v>19.21</v>
      </c>
      <c r="Q57" s="5">
        <v>4.7999783419072628E-6</v>
      </c>
    </row>
    <row r="58" spans="1:17">
      <c r="A58" s="1" t="s">
        <v>81</v>
      </c>
      <c r="B58" s="1">
        <v>12</v>
      </c>
      <c r="C58" s="1">
        <v>6</v>
      </c>
      <c r="D58" s="1" t="s">
        <v>21</v>
      </c>
      <c r="E58" s="1">
        <v>9</v>
      </c>
      <c r="F58" s="1">
        <v>4</v>
      </c>
      <c r="G58" s="1" t="s">
        <v>22</v>
      </c>
      <c r="H58" s="1" t="s">
        <v>23</v>
      </c>
      <c r="I58" s="1" t="s">
        <v>24</v>
      </c>
      <c r="J58" s="1">
        <v>4</v>
      </c>
      <c r="K58" s="1" t="s">
        <v>21</v>
      </c>
      <c r="L58" s="1">
        <v>241.91999200000001</v>
      </c>
      <c r="M58" s="1">
        <v>241.92</v>
      </c>
      <c r="N58" s="2">
        <f t="shared" si="1"/>
        <v>3.3068784078836864E-8</v>
      </c>
      <c r="O58" s="1" t="s">
        <v>25</v>
      </c>
      <c r="P58" s="4">
        <v>19.55</v>
      </c>
      <c r="Q58" s="5">
        <v>6.5000494942069054E-6</v>
      </c>
    </row>
    <row r="59" spans="1:17">
      <c r="A59" s="1" t="s">
        <v>82</v>
      </c>
      <c r="B59" s="1">
        <v>14</v>
      </c>
      <c r="C59" s="1">
        <v>6</v>
      </c>
      <c r="D59" s="1" t="s">
        <v>21</v>
      </c>
      <c r="E59" s="1">
        <v>16</v>
      </c>
      <c r="F59" s="1">
        <v>6</v>
      </c>
      <c r="G59" s="1" t="s">
        <v>21</v>
      </c>
      <c r="H59" s="1" t="s">
        <v>23</v>
      </c>
      <c r="I59" s="1" t="s">
        <v>24</v>
      </c>
      <c r="J59" s="1">
        <v>0</v>
      </c>
      <c r="K59" s="1" t="s">
        <v>22</v>
      </c>
      <c r="L59" s="1">
        <v>17.920000000000002</v>
      </c>
      <c r="M59" s="1">
        <v>17.920000000000002</v>
      </c>
      <c r="N59" s="2">
        <f t="shared" si="1"/>
        <v>0</v>
      </c>
      <c r="O59" s="1" t="s">
        <v>25</v>
      </c>
      <c r="P59" s="4">
        <v>18.91</v>
      </c>
      <c r="Q59" s="5">
        <v>4.6000350266695023E-6</v>
      </c>
    </row>
    <row r="60" spans="1:17">
      <c r="A60" s="1" t="s">
        <v>83</v>
      </c>
      <c r="B60" s="1">
        <v>10</v>
      </c>
      <c r="C60" s="1">
        <v>2</v>
      </c>
      <c r="D60" s="1" t="s">
        <v>22</v>
      </c>
      <c r="E60" s="1">
        <v>9</v>
      </c>
      <c r="F60" s="1">
        <v>0</v>
      </c>
      <c r="G60" s="1" t="s">
        <v>22</v>
      </c>
      <c r="H60" s="1" t="s">
        <v>23</v>
      </c>
      <c r="I60" s="1" t="s">
        <v>24</v>
      </c>
      <c r="J60" s="1">
        <v>0</v>
      </c>
      <c r="K60" s="1" t="s">
        <v>22</v>
      </c>
      <c r="L60" s="1">
        <v>9.8000000000000007</v>
      </c>
      <c r="M60" s="1">
        <v>9.8000000000000007</v>
      </c>
      <c r="N60" s="2">
        <f t="shared" si="1"/>
        <v>0</v>
      </c>
      <c r="O60" s="1" t="s">
        <v>25</v>
      </c>
      <c r="P60" s="4">
        <v>19.329999999999998</v>
      </c>
      <c r="Q60" s="5">
        <v>4.9999798648059368E-6</v>
      </c>
    </row>
    <row r="61" spans="1:17">
      <c r="A61" s="1" t="s">
        <v>84</v>
      </c>
      <c r="B61" s="1">
        <v>14</v>
      </c>
      <c r="C61" s="1">
        <v>2</v>
      </c>
      <c r="D61" s="1" t="s">
        <v>21</v>
      </c>
      <c r="E61" s="1">
        <v>6</v>
      </c>
      <c r="F61" s="1">
        <v>3</v>
      </c>
      <c r="G61" s="1" t="s">
        <v>22</v>
      </c>
      <c r="H61" s="1" t="s">
        <v>23</v>
      </c>
      <c r="I61" s="1" t="s">
        <v>24</v>
      </c>
      <c r="J61" s="1">
        <v>6</v>
      </c>
      <c r="K61" s="1" t="s">
        <v>22</v>
      </c>
      <c r="L61" s="1">
        <v>177.240003</v>
      </c>
      <c r="M61" s="1">
        <v>177.24</v>
      </c>
      <c r="N61" s="2">
        <f t="shared" si="1"/>
        <v>1.692620143109413E-8</v>
      </c>
      <c r="O61" s="1" t="s">
        <v>25</v>
      </c>
      <c r="P61" s="4">
        <v>19.489999999999998</v>
      </c>
      <c r="Q61" s="5">
        <v>5.1999813877046108E-6</v>
      </c>
    </row>
    <row r="62" spans="1:17">
      <c r="A62" s="1" t="s">
        <v>85</v>
      </c>
      <c r="B62" s="1">
        <v>10</v>
      </c>
      <c r="C62" s="1">
        <v>1</v>
      </c>
      <c r="D62" s="1" t="s">
        <v>22</v>
      </c>
      <c r="E62" s="1">
        <v>5</v>
      </c>
      <c r="F62" s="1">
        <v>4</v>
      </c>
      <c r="G62" s="1" t="s">
        <v>22</v>
      </c>
      <c r="H62" s="1" t="s">
        <v>23</v>
      </c>
      <c r="I62" s="1" t="s">
        <v>24</v>
      </c>
      <c r="J62" s="1">
        <v>6</v>
      </c>
      <c r="K62" s="1" t="s">
        <v>21</v>
      </c>
      <c r="L62" s="1">
        <v>83.159997000000004</v>
      </c>
      <c r="M62" s="1">
        <v>83.16</v>
      </c>
      <c r="N62" s="2">
        <f t="shared" si="1"/>
        <v>3.6075037285363632E-8</v>
      </c>
      <c r="O62" s="1" t="s">
        <v>25</v>
      </c>
      <c r="P62" s="4">
        <v>19.440000000000001</v>
      </c>
      <c r="Q62" s="5">
        <v>4.6000350266695023E-6</v>
      </c>
    </row>
    <row r="63" spans="1:17">
      <c r="A63" s="1" t="s">
        <v>86</v>
      </c>
      <c r="B63" s="1">
        <v>8</v>
      </c>
      <c r="C63" s="1">
        <v>6</v>
      </c>
      <c r="D63" s="1" t="s">
        <v>21</v>
      </c>
      <c r="E63" s="1">
        <v>8</v>
      </c>
      <c r="F63" s="1">
        <v>6</v>
      </c>
      <c r="G63" s="1" t="s">
        <v>21</v>
      </c>
      <c r="H63" s="1" t="s">
        <v>23</v>
      </c>
      <c r="I63" s="1" t="s">
        <v>24</v>
      </c>
      <c r="J63" s="1">
        <v>1</v>
      </c>
      <c r="K63" s="1" t="s">
        <v>22</v>
      </c>
      <c r="L63" s="1">
        <v>47.040000999999997</v>
      </c>
      <c r="M63" s="1">
        <v>47.04</v>
      </c>
      <c r="N63" s="2">
        <f t="shared" si="1"/>
        <v>2.1258502895764029E-8</v>
      </c>
      <c r="O63" s="1" t="s">
        <v>25</v>
      </c>
      <c r="P63" s="4">
        <v>19.59</v>
      </c>
      <c r="Q63" s="5">
        <v>7.599999662488699E-6</v>
      </c>
    </row>
    <row r="64" spans="1:17">
      <c r="A64" s="1" t="s">
        <v>87</v>
      </c>
      <c r="B64" s="1">
        <v>10</v>
      </c>
      <c r="C64" s="1">
        <v>1</v>
      </c>
      <c r="D64" s="1" t="s">
        <v>21</v>
      </c>
      <c r="E64" s="1">
        <v>6</v>
      </c>
      <c r="F64" s="1">
        <v>3</v>
      </c>
      <c r="G64" s="1" t="s">
        <v>22</v>
      </c>
      <c r="H64" s="1" t="s">
        <v>23</v>
      </c>
      <c r="I64" s="1" t="s">
        <v>24</v>
      </c>
      <c r="J64" s="1">
        <v>3</v>
      </c>
      <c r="K64" s="1" t="s">
        <v>21</v>
      </c>
      <c r="L64" s="1">
        <v>82.319997000000001</v>
      </c>
      <c r="M64" s="1">
        <v>82.32</v>
      </c>
      <c r="N64" s="2">
        <f t="shared" si="1"/>
        <v>3.6443149924139675E-8</v>
      </c>
      <c r="O64" s="1" t="s">
        <v>25</v>
      </c>
      <c r="P64" s="4">
        <v>19.78</v>
      </c>
      <c r="Q64" s="5">
        <v>4.8000365495681763E-6</v>
      </c>
    </row>
    <row r="65" spans="1:17">
      <c r="A65" s="1" t="s">
        <v>88</v>
      </c>
      <c r="B65" s="1">
        <v>9</v>
      </c>
      <c r="C65" s="1">
        <v>2</v>
      </c>
      <c r="D65" s="1" t="s">
        <v>22</v>
      </c>
      <c r="E65" s="1">
        <v>16</v>
      </c>
      <c r="F65" s="1">
        <v>8</v>
      </c>
      <c r="G65" s="1" t="s">
        <v>21</v>
      </c>
      <c r="H65" s="1" t="s">
        <v>23</v>
      </c>
      <c r="I65" s="1" t="s">
        <v>24</v>
      </c>
      <c r="J65" s="1">
        <v>0</v>
      </c>
      <c r="K65" s="1" t="s">
        <v>21</v>
      </c>
      <c r="L65" s="1">
        <v>15.96</v>
      </c>
      <c r="M65" s="1">
        <v>15.96</v>
      </c>
      <c r="N65" s="2">
        <f t="shared" si="1"/>
        <v>0</v>
      </c>
      <c r="O65" s="1" t="s">
        <v>25</v>
      </c>
      <c r="P65" s="4">
        <v>18.829999999999998</v>
      </c>
      <c r="Q65" s="5">
        <v>5.4000411182641983E-6</v>
      </c>
    </row>
    <row r="66" spans="1:17">
      <c r="A66" s="1" t="s">
        <v>89</v>
      </c>
      <c r="B66" s="1">
        <v>8</v>
      </c>
      <c r="C66" s="1">
        <v>6</v>
      </c>
      <c r="D66" s="1" t="s">
        <v>22</v>
      </c>
      <c r="E66" s="1">
        <v>10</v>
      </c>
      <c r="F66" s="1">
        <v>1</v>
      </c>
      <c r="G66" s="1" t="s">
        <v>21</v>
      </c>
      <c r="H66" s="1" t="s">
        <v>23</v>
      </c>
      <c r="I66" s="1" t="s">
        <v>24</v>
      </c>
      <c r="J66" s="1">
        <v>0</v>
      </c>
      <c r="K66" s="1" t="s">
        <v>22</v>
      </c>
      <c r="L66" s="1">
        <v>9.24</v>
      </c>
      <c r="M66" s="1">
        <v>9.24</v>
      </c>
      <c r="N66" s="2">
        <f t="shared" ref="N66:N97" si="2">ABS(M66-L66)/L66</f>
        <v>0</v>
      </c>
      <c r="O66" s="1" t="s">
        <v>25</v>
      </c>
      <c r="P66" s="4">
        <v>19.170000000000002</v>
      </c>
      <c r="Q66" s="5">
        <v>4.3999752961099148E-6</v>
      </c>
    </row>
    <row r="67" spans="1:17">
      <c r="A67" s="1" t="s">
        <v>90</v>
      </c>
      <c r="B67" s="1">
        <v>10</v>
      </c>
      <c r="C67" s="1">
        <v>0</v>
      </c>
      <c r="D67" s="1" t="s">
        <v>22</v>
      </c>
      <c r="E67" s="1">
        <v>8</v>
      </c>
      <c r="F67" s="1">
        <v>0</v>
      </c>
      <c r="G67" s="1" t="s">
        <v>21</v>
      </c>
      <c r="H67" s="1" t="s">
        <v>23</v>
      </c>
      <c r="I67" s="1" t="s">
        <v>24</v>
      </c>
      <c r="J67" s="1">
        <v>1</v>
      </c>
      <c r="K67" s="1" t="s">
        <v>22</v>
      </c>
      <c r="L67" s="1">
        <v>47.040000999999997</v>
      </c>
      <c r="M67" s="1">
        <v>47.04</v>
      </c>
      <c r="N67" s="2">
        <f t="shared" si="2"/>
        <v>2.1258502895764029E-8</v>
      </c>
      <c r="O67" s="1" t="s">
        <v>25</v>
      </c>
      <c r="P67" s="4">
        <v>19.72</v>
      </c>
      <c r="Q67" s="5">
        <v>4.2000319808721542E-6</v>
      </c>
    </row>
    <row r="68" spans="1:17">
      <c r="A68" s="1" t="s">
        <v>91</v>
      </c>
      <c r="B68" s="1">
        <v>14</v>
      </c>
      <c r="C68" s="1">
        <v>2</v>
      </c>
      <c r="D68" s="1" t="s">
        <v>22</v>
      </c>
      <c r="E68" s="1">
        <v>5</v>
      </c>
      <c r="F68" s="1">
        <v>3</v>
      </c>
      <c r="G68" s="1" t="s">
        <v>21</v>
      </c>
      <c r="H68" s="1" t="s">
        <v>23</v>
      </c>
      <c r="I68" s="1" t="s">
        <v>24</v>
      </c>
      <c r="J68" s="1">
        <v>3</v>
      </c>
      <c r="K68" s="1" t="s">
        <v>21</v>
      </c>
      <c r="L68" s="1">
        <v>81.479996999999997</v>
      </c>
      <c r="M68" s="1">
        <v>81.48</v>
      </c>
      <c r="N68" s="2">
        <f t="shared" si="2"/>
        <v>3.6818852688919259E-8</v>
      </c>
      <c r="O68" s="1" t="s">
        <v>25</v>
      </c>
      <c r="P68" s="4">
        <v>19.43</v>
      </c>
      <c r="Q68" s="5">
        <v>4.2999745346605778E-6</v>
      </c>
    </row>
    <row r="69" spans="1:17">
      <c r="A69" s="1" t="s">
        <v>92</v>
      </c>
      <c r="B69" s="1">
        <v>6</v>
      </c>
      <c r="C69" s="1">
        <v>3</v>
      </c>
      <c r="D69" s="1" t="s">
        <v>22</v>
      </c>
      <c r="E69" s="1">
        <v>8</v>
      </c>
      <c r="F69" s="1">
        <v>2</v>
      </c>
      <c r="G69" s="1" t="s">
        <v>22</v>
      </c>
      <c r="H69" s="1" t="s">
        <v>23</v>
      </c>
      <c r="I69" s="1" t="s">
        <v>24</v>
      </c>
      <c r="J69" s="1">
        <v>6</v>
      </c>
      <c r="K69" s="1" t="s">
        <v>21</v>
      </c>
      <c r="L69" s="1">
        <v>208.59999400000001</v>
      </c>
      <c r="M69" s="1">
        <v>204.12</v>
      </c>
      <c r="N69" s="2">
        <f t="shared" si="2"/>
        <v>2.1476481921662974E-2</v>
      </c>
      <c r="O69" s="1" t="s">
        <v>25</v>
      </c>
      <c r="P69" s="4">
        <v>19.52</v>
      </c>
      <c r="Q69" s="5">
        <v>4.6999775804579258E-6</v>
      </c>
    </row>
    <row r="70" spans="1:17">
      <c r="A70" s="1" t="s">
        <v>93</v>
      </c>
      <c r="B70" s="1">
        <v>9</v>
      </c>
      <c r="C70" s="1">
        <v>0</v>
      </c>
      <c r="D70" s="1" t="s">
        <v>22</v>
      </c>
      <c r="E70" s="1">
        <v>16</v>
      </c>
      <c r="F70" s="1">
        <v>3</v>
      </c>
      <c r="G70" s="1" t="s">
        <v>21</v>
      </c>
      <c r="H70" s="1" t="s">
        <v>23</v>
      </c>
      <c r="I70" s="1" t="s">
        <v>24</v>
      </c>
      <c r="J70" s="1">
        <v>0</v>
      </c>
      <c r="K70" s="1" t="s">
        <v>21</v>
      </c>
      <c r="L70" s="1">
        <v>15.96</v>
      </c>
      <c r="M70" s="1">
        <v>15.96</v>
      </c>
      <c r="N70" s="2">
        <f t="shared" si="2"/>
        <v>0</v>
      </c>
      <c r="O70" s="1" t="s">
        <v>25</v>
      </c>
      <c r="P70" s="4">
        <v>19.010000000000002</v>
      </c>
      <c r="Q70" s="5">
        <v>8.5999490693211555E-6</v>
      </c>
    </row>
    <row r="71" spans="1:17">
      <c r="A71" s="1" t="s">
        <v>94</v>
      </c>
      <c r="B71" s="1">
        <v>6</v>
      </c>
      <c r="C71" s="1">
        <v>3</v>
      </c>
      <c r="D71" s="1" t="s">
        <v>21</v>
      </c>
      <c r="E71" s="1">
        <v>9</v>
      </c>
      <c r="F71" s="1">
        <v>1</v>
      </c>
      <c r="G71" s="1" t="s">
        <v>22</v>
      </c>
      <c r="H71" s="1" t="s">
        <v>23</v>
      </c>
      <c r="I71" s="1" t="s">
        <v>24</v>
      </c>
      <c r="J71" s="1">
        <v>0</v>
      </c>
      <c r="K71" s="1" t="s">
        <v>22</v>
      </c>
      <c r="L71" s="1">
        <v>10.08</v>
      </c>
      <c r="M71" s="1">
        <v>10.08</v>
      </c>
      <c r="N71" s="2">
        <f t="shared" si="2"/>
        <v>0</v>
      </c>
      <c r="O71" s="1" t="s">
        <v>25</v>
      </c>
      <c r="P71" s="4">
        <v>18.68</v>
      </c>
      <c r="Q71" s="5">
        <v>4.6000350266695023E-6</v>
      </c>
    </row>
    <row r="72" spans="1:17">
      <c r="A72" s="1" t="s">
        <v>95</v>
      </c>
      <c r="B72" s="1">
        <v>8</v>
      </c>
      <c r="C72" s="1">
        <v>0</v>
      </c>
      <c r="D72" s="1" t="s">
        <v>21</v>
      </c>
      <c r="E72" s="1">
        <v>5</v>
      </c>
      <c r="F72" s="1">
        <v>3</v>
      </c>
      <c r="G72" s="1" t="s">
        <v>21</v>
      </c>
      <c r="H72" s="1" t="s">
        <v>23</v>
      </c>
      <c r="I72" s="1" t="s">
        <v>24</v>
      </c>
      <c r="J72" s="1">
        <v>1</v>
      </c>
      <c r="K72" s="1" t="s">
        <v>21</v>
      </c>
      <c r="L72" s="1">
        <v>15.96</v>
      </c>
      <c r="M72" s="1">
        <v>15.96</v>
      </c>
      <c r="N72" s="2">
        <f t="shared" si="2"/>
        <v>0</v>
      </c>
      <c r="O72" s="1" t="s">
        <v>25</v>
      </c>
      <c r="P72" s="4">
        <v>19.25</v>
      </c>
      <c r="Q72" s="5">
        <v>7.499998901039362E-6</v>
      </c>
    </row>
    <row r="73" spans="1:17">
      <c r="A73" s="1" t="s">
        <v>96</v>
      </c>
      <c r="B73" s="1">
        <v>8</v>
      </c>
      <c r="C73" s="1">
        <v>4</v>
      </c>
      <c r="D73" s="1" t="s">
        <v>21</v>
      </c>
      <c r="E73" s="1">
        <v>5</v>
      </c>
      <c r="F73" s="1">
        <v>1</v>
      </c>
      <c r="G73" s="1" t="s">
        <v>21</v>
      </c>
      <c r="H73" s="1" t="s">
        <v>23</v>
      </c>
      <c r="I73" s="1" t="s">
        <v>24</v>
      </c>
      <c r="J73" s="1">
        <v>2</v>
      </c>
      <c r="K73" s="1" t="s">
        <v>21</v>
      </c>
      <c r="L73" s="1">
        <v>67.199997999999994</v>
      </c>
      <c r="M73" s="1">
        <v>67.2</v>
      </c>
      <c r="N73" s="2">
        <f t="shared" si="2"/>
        <v>2.9761905784005237E-8</v>
      </c>
      <c r="O73" s="1" t="s">
        <v>25</v>
      </c>
      <c r="P73" s="4">
        <v>19.53</v>
      </c>
      <c r="Q73" s="5">
        <v>4.4000335037708282E-6</v>
      </c>
    </row>
    <row r="74" spans="1:17">
      <c r="A74" s="1" t="s">
        <v>97</v>
      </c>
      <c r="B74" s="1">
        <v>6</v>
      </c>
      <c r="C74" s="1">
        <v>2</v>
      </c>
      <c r="D74" s="1" t="s">
        <v>22</v>
      </c>
      <c r="E74" s="1">
        <v>6</v>
      </c>
      <c r="F74" s="1">
        <v>2</v>
      </c>
      <c r="G74" s="1" t="s">
        <v>21</v>
      </c>
      <c r="H74" s="1" t="s">
        <v>23</v>
      </c>
      <c r="I74" s="1" t="s">
        <v>24</v>
      </c>
      <c r="J74" s="1">
        <v>0</v>
      </c>
      <c r="K74" s="1" t="s">
        <v>21</v>
      </c>
      <c r="L74" s="1">
        <v>6.72</v>
      </c>
      <c r="M74" s="1">
        <v>6.72</v>
      </c>
      <c r="N74" s="2">
        <f t="shared" si="2"/>
        <v>0</v>
      </c>
      <c r="O74" s="1" t="s">
        <v>25</v>
      </c>
      <c r="P74" s="4">
        <v>19.03</v>
      </c>
      <c r="Q74" s="5">
        <v>4.0999730117619038E-6</v>
      </c>
    </row>
    <row r="75" spans="1:17">
      <c r="A75" s="1" t="s">
        <v>98</v>
      </c>
      <c r="B75" s="1">
        <v>4</v>
      </c>
      <c r="C75" s="1">
        <v>3</v>
      </c>
      <c r="D75" s="1" t="s">
        <v>22</v>
      </c>
      <c r="E75" s="1">
        <v>8</v>
      </c>
      <c r="F75" s="1">
        <v>4</v>
      </c>
      <c r="G75" s="1" t="s">
        <v>22</v>
      </c>
      <c r="H75" s="1" t="s">
        <v>23</v>
      </c>
      <c r="I75" s="1" t="s">
        <v>24</v>
      </c>
      <c r="J75" s="1">
        <v>0</v>
      </c>
      <c r="K75" s="1" t="s">
        <v>21</v>
      </c>
      <c r="L75" s="1">
        <v>7.84</v>
      </c>
      <c r="M75" s="1">
        <v>7.84</v>
      </c>
      <c r="N75" s="2">
        <f t="shared" si="2"/>
        <v>0</v>
      </c>
      <c r="O75" s="1" t="s">
        <v>25</v>
      </c>
      <c r="P75" s="4">
        <v>18.899999999999999</v>
      </c>
      <c r="Q75" s="5">
        <v>4.5999768190085888E-6</v>
      </c>
    </row>
    <row r="76" spans="1:17">
      <c r="A76" s="1" t="s">
        <v>99</v>
      </c>
      <c r="B76" s="1">
        <v>14</v>
      </c>
      <c r="C76" s="1">
        <v>1</v>
      </c>
      <c r="D76" s="1" t="s">
        <v>21</v>
      </c>
      <c r="E76" s="1">
        <v>16</v>
      </c>
      <c r="F76" s="1">
        <v>6</v>
      </c>
      <c r="G76" s="1" t="s">
        <v>22</v>
      </c>
      <c r="H76" s="1" t="s">
        <v>23</v>
      </c>
      <c r="I76" s="1" t="s">
        <v>24</v>
      </c>
      <c r="J76" s="1">
        <v>4</v>
      </c>
      <c r="K76" s="1" t="s">
        <v>22</v>
      </c>
      <c r="L76" s="1">
        <v>262.920005</v>
      </c>
      <c r="M76" s="1">
        <v>262.92</v>
      </c>
      <c r="N76" s="2">
        <f t="shared" si="2"/>
        <v>1.9017191131485843E-8</v>
      </c>
      <c r="O76" s="1" t="s">
        <v>25</v>
      </c>
      <c r="P76" s="4">
        <v>19.5</v>
      </c>
      <c r="Q76" s="5">
        <v>5.6999851949512959E-6</v>
      </c>
    </row>
    <row r="77" spans="1:17">
      <c r="A77" s="1" t="s">
        <v>100</v>
      </c>
      <c r="B77" s="1">
        <v>12</v>
      </c>
      <c r="C77" s="1">
        <v>0</v>
      </c>
      <c r="D77" s="1" t="s">
        <v>21</v>
      </c>
      <c r="E77" s="1">
        <v>12</v>
      </c>
      <c r="F77" s="1">
        <v>4</v>
      </c>
      <c r="G77" s="1" t="s">
        <v>22</v>
      </c>
      <c r="H77" s="1" t="s">
        <v>23</v>
      </c>
      <c r="I77" s="1" t="s">
        <v>24</v>
      </c>
      <c r="J77" s="1">
        <v>3</v>
      </c>
      <c r="K77" s="1" t="s">
        <v>21</v>
      </c>
      <c r="L77" s="1">
        <v>164.639995</v>
      </c>
      <c r="M77" s="1">
        <v>164.64</v>
      </c>
      <c r="N77" s="2">
        <f t="shared" si="2"/>
        <v>3.0369291418990951E-8</v>
      </c>
      <c r="O77" s="1" t="s">
        <v>25</v>
      </c>
      <c r="P77" s="4">
        <v>19.309999999999999</v>
      </c>
      <c r="Q77" s="5">
        <v>5.2999821491539478E-6</v>
      </c>
    </row>
    <row r="78" spans="1:17">
      <c r="A78" s="1" t="s">
        <v>101</v>
      </c>
      <c r="B78" s="1">
        <v>6</v>
      </c>
      <c r="C78" s="1">
        <v>0</v>
      </c>
      <c r="D78" s="1" t="s">
        <v>21</v>
      </c>
      <c r="E78" s="1">
        <v>8</v>
      </c>
      <c r="F78" s="1">
        <v>4</v>
      </c>
      <c r="G78" s="1" t="s">
        <v>22</v>
      </c>
      <c r="H78" s="1" t="s">
        <v>23</v>
      </c>
      <c r="I78" s="1" t="s">
        <v>24</v>
      </c>
      <c r="J78" s="1">
        <v>0</v>
      </c>
      <c r="K78" s="1" t="s">
        <v>21</v>
      </c>
      <c r="L78" s="1">
        <v>7.84</v>
      </c>
      <c r="M78" s="1">
        <v>7.84</v>
      </c>
      <c r="N78" s="2">
        <f t="shared" si="2"/>
        <v>0</v>
      </c>
      <c r="O78" s="1" t="s">
        <v>25</v>
      </c>
      <c r="P78" s="4">
        <v>19.53</v>
      </c>
      <c r="Q78" s="5">
        <v>4.9999798648059368E-6</v>
      </c>
    </row>
    <row r="79" spans="1:17">
      <c r="A79" s="1" t="s">
        <v>102</v>
      </c>
      <c r="B79" s="1">
        <v>4</v>
      </c>
      <c r="C79" s="1">
        <v>1</v>
      </c>
      <c r="D79" s="1" t="s">
        <v>21</v>
      </c>
      <c r="E79" s="1">
        <v>10</v>
      </c>
      <c r="F79" s="1">
        <v>0</v>
      </c>
      <c r="G79" s="1" t="s">
        <v>22</v>
      </c>
      <c r="H79" s="1" t="s">
        <v>23</v>
      </c>
      <c r="I79" s="1" t="s">
        <v>24</v>
      </c>
      <c r="J79" s="1">
        <v>3</v>
      </c>
      <c r="K79" s="1" t="s">
        <v>21</v>
      </c>
      <c r="L79" s="1">
        <v>201.59999400000001</v>
      </c>
      <c r="M79" s="1">
        <v>201.6</v>
      </c>
      <c r="N79" s="2">
        <f t="shared" si="2"/>
        <v>2.9761905572534174E-8</v>
      </c>
      <c r="O79" s="1" t="s">
        <v>25</v>
      </c>
      <c r="P79" s="4">
        <v>20.350000000000001</v>
      </c>
      <c r="Q79" s="5">
        <v>8.300004992634058E-6</v>
      </c>
    </row>
    <row r="80" spans="1:17">
      <c r="A80" s="1" t="s">
        <v>103</v>
      </c>
      <c r="B80" s="1">
        <v>14</v>
      </c>
      <c r="C80" s="1">
        <v>0</v>
      </c>
      <c r="D80" s="1" t="s">
        <v>22</v>
      </c>
      <c r="E80" s="1">
        <v>10</v>
      </c>
      <c r="F80" s="1">
        <v>6</v>
      </c>
      <c r="G80" s="1" t="s">
        <v>22</v>
      </c>
      <c r="H80" s="1" t="s">
        <v>23</v>
      </c>
      <c r="I80" s="1" t="s">
        <v>24</v>
      </c>
      <c r="J80" s="1">
        <v>3</v>
      </c>
      <c r="K80" s="1" t="s">
        <v>22</v>
      </c>
      <c r="L80" s="1">
        <v>75.600001000000006</v>
      </c>
      <c r="M80" s="1">
        <v>75.599999999999994</v>
      </c>
      <c r="N80" s="2">
        <f t="shared" si="2"/>
        <v>1.3227513207124129E-8</v>
      </c>
      <c r="O80" s="1" t="s">
        <v>25</v>
      </c>
      <c r="P80" s="4">
        <v>18.989999999999998</v>
      </c>
      <c r="Q80" s="5">
        <v>4.9000373110175133E-6</v>
      </c>
    </row>
    <row r="81" spans="1:17">
      <c r="A81" s="1" t="s">
        <v>104</v>
      </c>
      <c r="B81" s="1">
        <v>14</v>
      </c>
      <c r="C81" s="1">
        <v>3</v>
      </c>
      <c r="D81" s="1" t="s">
        <v>22</v>
      </c>
      <c r="E81" s="1">
        <v>9</v>
      </c>
      <c r="F81" s="1">
        <v>0</v>
      </c>
      <c r="G81" s="1" t="s">
        <v>21</v>
      </c>
      <c r="H81" s="1" t="s">
        <v>23</v>
      </c>
      <c r="I81" s="1" t="s">
        <v>24</v>
      </c>
      <c r="J81" s="1">
        <v>6</v>
      </c>
      <c r="K81" s="1" t="s">
        <v>21</v>
      </c>
      <c r="L81" s="1">
        <v>371.839989</v>
      </c>
      <c r="M81" s="1">
        <v>362.88</v>
      </c>
      <c r="N81" s="2">
        <f t="shared" si="2"/>
        <v>2.4096356672385785E-2</v>
      </c>
      <c r="O81" s="1" t="s">
        <v>25</v>
      </c>
      <c r="P81" s="4">
        <v>19.079999999999998</v>
      </c>
      <c r="Q81" s="5">
        <v>4.1999737732112408E-6</v>
      </c>
    </row>
    <row r="82" spans="1:17">
      <c r="A82" s="1" t="s">
        <v>105</v>
      </c>
      <c r="B82" s="1">
        <v>4</v>
      </c>
      <c r="C82" s="1">
        <v>0</v>
      </c>
      <c r="D82" s="1" t="s">
        <v>22</v>
      </c>
      <c r="E82" s="1">
        <v>6</v>
      </c>
      <c r="F82" s="1">
        <v>4</v>
      </c>
      <c r="G82" s="1" t="s">
        <v>22</v>
      </c>
      <c r="H82" s="1" t="s">
        <v>23</v>
      </c>
      <c r="I82" s="1" t="s">
        <v>24</v>
      </c>
      <c r="J82" s="1">
        <v>1</v>
      </c>
      <c r="K82" s="1" t="s">
        <v>22</v>
      </c>
      <c r="L82" s="1">
        <v>15.12</v>
      </c>
      <c r="M82" s="1">
        <v>15.12</v>
      </c>
      <c r="N82" s="2">
        <f t="shared" si="2"/>
        <v>0</v>
      </c>
      <c r="O82" s="1" t="s">
        <v>25</v>
      </c>
      <c r="P82" s="4">
        <v>19.190000000000001</v>
      </c>
      <c r="Q82" s="5">
        <v>4.4999760575592518E-6</v>
      </c>
    </row>
    <row r="83" spans="1:17">
      <c r="A83" s="1" t="s">
        <v>106</v>
      </c>
      <c r="B83" s="1">
        <v>10</v>
      </c>
      <c r="C83" s="1">
        <v>3</v>
      </c>
      <c r="D83" s="1" t="s">
        <v>21</v>
      </c>
      <c r="E83" s="1">
        <v>12</v>
      </c>
      <c r="F83" s="1">
        <v>1</v>
      </c>
      <c r="G83" s="1" t="s">
        <v>21</v>
      </c>
      <c r="H83" s="1" t="s">
        <v>23</v>
      </c>
      <c r="I83" s="1" t="s">
        <v>24</v>
      </c>
      <c r="J83" s="1">
        <v>1</v>
      </c>
      <c r="K83" s="1" t="s">
        <v>22</v>
      </c>
      <c r="L83" s="1">
        <v>70.560001</v>
      </c>
      <c r="M83" s="1">
        <v>70.56</v>
      </c>
      <c r="N83" s="2">
        <f t="shared" si="2"/>
        <v>1.4172335364270228E-8</v>
      </c>
      <c r="O83" s="1" t="s">
        <v>25</v>
      </c>
      <c r="P83" s="4">
        <v>19.71</v>
      </c>
      <c r="Q83" s="5">
        <v>4.5999768190085888E-6</v>
      </c>
    </row>
    <row r="84" spans="1:17">
      <c r="A84" s="1" t="s">
        <v>107</v>
      </c>
      <c r="B84" s="1">
        <v>5</v>
      </c>
      <c r="C84" s="1">
        <v>2</v>
      </c>
      <c r="D84" s="1" t="s">
        <v>21</v>
      </c>
      <c r="E84" s="1">
        <v>16</v>
      </c>
      <c r="F84" s="1">
        <v>1</v>
      </c>
      <c r="G84" s="1" t="s">
        <v>21</v>
      </c>
      <c r="H84" s="1" t="s">
        <v>23</v>
      </c>
      <c r="I84" s="1" t="s">
        <v>24</v>
      </c>
      <c r="J84" s="1">
        <v>3</v>
      </c>
      <c r="K84" s="1" t="s">
        <v>21</v>
      </c>
      <c r="L84" s="1">
        <v>327.03998999999999</v>
      </c>
      <c r="M84" s="1">
        <v>322.56</v>
      </c>
      <c r="N84" s="2">
        <f t="shared" si="2"/>
        <v>1.3698599978553041E-2</v>
      </c>
      <c r="O84" s="1" t="s">
        <v>25</v>
      </c>
      <c r="P84" s="4">
        <v>19.48</v>
      </c>
      <c r="Q84" s="5">
        <v>4.4000335037708282E-6</v>
      </c>
    </row>
    <row r="85" spans="1:17">
      <c r="A85" s="1" t="s">
        <v>108</v>
      </c>
      <c r="B85" s="1">
        <v>14</v>
      </c>
      <c r="C85" s="1">
        <v>0</v>
      </c>
      <c r="D85" s="1" t="s">
        <v>21</v>
      </c>
      <c r="E85" s="1">
        <v>10</v>
      </c>
      <c r="F85" s="1">
        <v>1</v>
      </c>
      <c r="G85" s="1" t="s">
        <v>22</v>
      </c>
      <c r="H85" s="1" t="s">
        <v>23</v>
      </c>
      <c r="I85" s="1" t="s">
        <v>24</v>
      </c>
      <c r="J85" s="1">
        <v>6</v>
      </c>
      <c r="K85" s="1" t="s">
        <v>21</v>
      </c>
      <c r="L85" s="1">
        <v>372.67998899999998</v>
      </c>
      <c r="M85" s="1">
        <v>363.72</v>
      </c>
      <c r="N85" s="2">
        <f t="shared" si="2"/>
        <v>2.4042044822535268E-2</v>
      </c>
      <c r="O85" s="1" t="s">
        <v>25</v>
      </c>
      <c r="P85" s="4">
        <v>19.36</v>
      </c>
      <c r="Q85" s="5">
        <v>5.2000395953655243E-6</v>
      </c>
    </row>
    <row r="86" spans="1:17">
      <c r="A86" s="1" t="s">
        <v>109</v>
      </c>
      <c r="B86" s="1">
        <v>8</v>
      </c>
      <c r="C86" s="1">
        <v>2</v>
      </c>
      <c r="D86" s="1" t="s">
        <v>22</v>
      </c>
      <c r="E86" s="1">
        <v>10</v>
      </c>
      <c r="F86" s="1">
        <v>8</v>
      </c>
      <c r="G86" s="1" t="s">
        <v>22</v>
      </c>
      <c r="H86" s="1" t="s">
        <v>23</v>
      </c>
      <c r="I86" s="1" t="s">
        <v>24</v>
      </c>
      <c r="J86" s="1">
        <v>6</v>
      </c>
      <c r="K86" s="1" t="s">
        <v>21</v>
      </c>
      <c r="L86" s="1">
        <v>175.27999500000001</v>
      </c>
      <c r="M86" s="1">
        <v>166.32</v>
      </c>
      <c r="N86" s="2">
        <f t="shared" si="2"/>
        <v>5.1118183795019048E-2</v>
      </c>
      <c r="O86" s="1" t="s">
        <v>25</v>
      </c>
      <c r="P86" s="4">
        <v>19.79</v>
      </c>
      <c r="Q86" s="5">
        <v>4.7999783419072628E-6</v>
      </c>
    </row>
    <row r="87" spans="1:17">
      <c r="A87" s="1" t="s">
        <v>110</v>
      </c>
      <c r="B87" s="1">
        <v>5</v>
      </c>
      <c r="C87" s="1">
        <v>3</v>
      </c>
      <c r="D87" s="1" t="s">
        <v>22</v>
      </c>
      <c r="E87" s="1">
        <v>8</v>
      </c>
      <c r="F87" s="1">
        <v>3</v>
      </c>
      <c r="G87" s="1" t="s">
        <v>21</v>
      </c>
      <c r="H87" s="1" t="s">
        <v>23</v>
      </c>
      <c r="I87" s="1" t="s">
        <v>24</v>
      </c>
      <c r="J87" s="1">
        <v>1</v>
      </c>
      <c r="K87" s="1" t="s">
        <v>21</v>
      </c>
      <c r="L87" s="1">
        <v>36.119999</v>
      </c>
      <c r="M87" s="1">
        <v>36.119999999999997</v>
      </c>
      <c r="N87" s="2">
        <f t="shared" si="2"/>
        <v>2.7685493498359254E-8</v>
      </c>
      <c r="O87" s="1" t="s">
        <v>25</v>
      </c>
      <c r="P87" s="4">
        <v>19.100000000000001</v>
      </c>
      <c r="Q87" s="5">
        <v>4.5999768190085888E-6</v>
      </c>
    </row>
    <row r="88" spans="1:17">
      <c r="A88" s="1" t="s">
        <v>111</v>
      </c>
      <c r="B88" s="1">
        <v>6</v>
      </c>
      <c r="C88" s="1">
        <v>4</v>
      </c>
      <c r="D88" s="1" t="s">
        <v>21</v>
      </c>
      <c r="E88" s="1">
        <v>5</v>
      </c>
      <c r="F88" s="1">
        <v>3</v>
      </c>
      <c r="G88" s="1" t="s">
        <v>21</v>
      </c>
      <c r="H88" s="1" t="s">
        <v>23</v>
      </c>
      <c r="I88" s="1" t="s">
        <v>24</v>
      </c>
      <c r="J88" s="1">
        <v>3</v>
      </c>
      <c r="K88" s="1" t="s">
        <v>21</v>
      </c>
      <c r="L88" s="1">
        <v>100.799997</v>
      </c>
      <c r="M88" s="1">
        <v>100.8</v>
      </c>
      <c r="N88" s="2">
        <f t="shared" si="2"/>
        <v>2.9761905572534174E-8</v>
      </c>
      <c r="O88" s="1" t="s">
        <v>25</v>
      </c>
      <c r="P88" s="4">
        <v>19.27</v>
      </c>
      <c r="Q88" s="5">
        <v>4.4000335037708282E-6</v>
      </c>
    </row>
    <row r="89" spans="1:17">
      <c r="A89" s="1" t="s">
        <v>112</v>
      </c>
      <c r="B89" s="1">
        <v>12</v>
      </c>
      <c r="C89" s="1">
        <v>1</v>
      </c>
      <c r="D89" s="1" t="s">
        <v>22</v>
      </c>
      <c r="E89" s="1">
        <v>10</v>
      </c>
      <c r="F89" s="1">
        <v>6</v>
      </c>
      <c r="G89" s="1" t="s">
        <v>21</v>
      </c>
      <c r="H89" s="1" t="s">
        <v>23</v>
      </c>
      <c r="I89" s="1" t="s">
        <v>24</v>
      </c>
      <c r="J89" s="1">
        <v>3</v>
      </c>
      <c r="K89" s="1" t="s">
        <v>21</v>
      </c>
      <c r="L89" s="1">
        <v>104.99999699999999</v>
      </c>
      <c r="M89" s="1">
        <v>105</v>
      </c>
      <c r="N89" s="2">
        <f t="shared" si="2"/>
        <v>2.8571429450960681E-8</v>
      </c>
      <c r="O89" s="1" t="s">
        <v>25</v>
      </c>
      <c r="P89" s="4">
        <v>19.690000000000001</v>
      </c>
      <c r="Q89" s="5">
        <v>4.4000335037708282E-6</v>
      </c>
    </row>
    <row r="90" spans="1:17">
      <c r="A90" s="1" t="s">
        <v>113</v>
      </c>
      <c r="B90" s="1">
        <v>4</v>
      </c>
      <c r="C90" s="1">
        <v>0</v>
      </c>
      <c r="D90" s="1" t="s">
        <v>21</v>
      </c>
      <c r="E90" s="1">
        <v>10</v>
      </c>
      <c r="F90" s="1">
        <v>1</v>
      </c>
      <c r="G90" s="1" t="s">
        <v>22</v>
      </c>
      <c r="H90" s="1" t="s">
        <v>23</v>
      </c>
      <c r="I90" s="1" t="s">
        <v>24</v>
      </c>
      <c r="J90" s="1">
        <v>6</v>
      </c>
      <c r="K90" s="1" t="s">
        <v>22</v>
      </c>
      <c r="L90" s="1">
        <v>318.360006</v>
      </c>
      <c r="M90" s="1">
        <v>318.36</v>
      </c>
      <c r="N90" s="2">
        <f t="shared" si="2"/>
        <v>1.8846588364656132E-8</v>
      </c>
      <c r="O90" s="1" t="s">
        <v>25</v>
      </c>
      <c r="P90" s="4">
        <v>19.11</v>
      </c>
      <c r="Q90" s="5">
        <v>4.6999775804579258E-6</v>
      </c>
    </row>
    <row r="91" spans="1:17">
      <c r="A91" s="1" t="s">
        <v>114</v>
      </c>
      <c r="B91" s="1">
        <v>10</v>
      </c>
      <c r="C91" s="1">
        <v>3</v>
      </c>
      <c r="D91" s="1" t="s">
        <v>22</v>
      </c>
      <c r="E91" s="1">
        <v>16</v>
      </c>
      <c r="F91" s="1">
        <v>3</v>
      </c>
      <c r="G91" s="1" t="s">
        <v>22</v>
      </c>
      <c r="H91" s="1" t="s">
        <v>23</v>
      </c>
      <c r="I91" s="1" t="s">
        <v>24</v>
      </c>
      <c r="J91" s="1">
        <v>4</v>
      </c>
      <c r="K91" s="1" t="s">
        <v>22</v>
      </c>
      <c r="L91" s="1">
        <v>240.240004</v>
      </c>
      <c r="M91" s="1">
        <v>240.24</v>
      </c>
      <c r="N91" s="2">
        <f t="shared" si="2"/>
        <v>1.6650016330756349E-8</v>
      </c>
      <c r="O91" s="1" t="s">
        <v>25</v>
      </c>
      <c r="P91" s="4">
        <v>19.62</v>
      </c>
      <c r="Q91" s="5">
        <v>4.8000365495681763E-6</v>
      </c>
    </row>
    <row r="92" spans="1:17">
      <c r="A92" s="1" t="s">
        <v>115</v>
      </c>
      <c r="B92" s="1">
        <v>8</v>
      </c>
      <c r="C92" s="1">
        <v>0</v>
      </c>
      <c r="D92" s="1" t="s">
        <v>22</v>
      </c>
      <c r="E92" s="1">
        <v>6</v>
      </c>
      <c r="F92" s="1">
        <v>2</v>
      </c>
      <c r="G92" s="1" t="s">
        <v>22</v>
      </c>
      <c r="H92" s="1" t="s">
        <v>23</v>
      </c>
      <c r="I92" s="1" t="s">
        <v>24</v>
      </c>
      <c r="J92" s="1">
        <v>4</v>
      </c>
      <c r="K92" s="1" t="s">
        <v>22</v>
      </c>
      <c r="L92" s="1">
        <v>95.760002</v>
      </c>
      <c r="M92" s="1">
        <v>95.76</v>
      </c>
      <c r="N92" s="2">
        <f t="shared" si="2"/>
        <v>2.0885546712399664E-8</v>
      </c>
      <c r="O92" s="1" t="s">
        <v>25</v>
      </c>
      <c r="P92" s="4">
        <v>19.36</v>
      </c>
      <c r="Q92" s="5">
        <v>4.5000342652201653E-6</v>
      </c>
    </row>
    <row r="93" spans="1:17">
      <c r="A93" s="1" t="s">
        <v>116</v>
      </c>
      <c r="B93" s="1">
        <v>14</v>
      </c>
      <c r="C93" s="1">
        <v>3</v>
      </c>
      <c r="D93" s="1" t="s">
        <v>21</v>
      </c>
      <c r="E93" s="1">
        <v>10</v>
      </c>
      <c r="F93" s="1">
        <v>8</v>
      </c>
      <c r="G93" s="1" t="s">
        <v>22</v>
      </c>
      <c r="H93" s="1" t="s">
        <v>23</v>
      </c>
      <c r="I93" s="1" t="s">
        <v>24</v>
      </c>
      <c r="J93" s="1">
        <v>0</v>
      </c>
      <c r="K93" s="1" t="s">
        <v>21</v>
      </c>
      <c r="L93" s="1">
        <v>9.8000000000000007</v>
      </c>
      <c r="M93" s="1">
        <v>9.8000000000000007</v>
      </c>
      <c r="N93" s="2">
        <f t="shared" si="2"/>
        <v>0</v>
      </c>
      <c r="O93" s="1" t="s">
        <v>25</v>
      </c>
      <c r="P93" s="4">
        <v>19.48</v>
      </c>
      <c r="Q93" s="5">
        <v>5.1999813877046108E-6</v>
      </c>
    </row>
    <row r="94" spans="1:17">
      <c r="A94" s="1" t="s">
        <v>117</v>
      </c>
      <c r="B94" s="1">
        <v>9</v>
      </c>
      <c r="C94" s="1">
        <v>6</v>
      </c>
      <c r="D94" s="1" t="s">
        <v>22</v>
      </c>
      <c r="E94" s="1">
        <v>12</v>
      </c>
      <c r="F94" s="1">
        <v>0</v>
      </c>
      <c r="G94" s="1" t="s">
        <v>21</v>
      </c>
      <c r="H94" s="1" t="s">
        <v>23</v>
      </c>
      <c r="I94" s="1" t="s">
        <v>24</v>
      </c>
      <c r="J94" s="1">
        <v>4</v>
      </c>
      <c r="K94" s="1" t="s">
        <v>21</v>
      </c>
      <c r="L94" s="1">
        <v>92.679997</v>
      </c>
      <c r="M94" s="1">
        <v>88.2</v>
      </c>
      <c r="N94" s="2">
        <f t="shared" si="2"/>
        <v>4.8338337775302227E-2</v>
      </c>
      <c r="O94" s="1" t="s">
        <v>25</v>
      </c>
      <c r="P94" s="4">
        <v>19.25</v>
      </c>
      <c r="Q94" s="5">
        <v>4.7000357881188393E-6</v>
      </c>
    </row>
    <row r="95" spans="1:17">
      <c r="A95" s="1" t="s">
        <v>118</v>
      </c>
      <c r="B95" s="1">
        <v>12</v>
      </c>
      <c r="C95" s="1">
        <v>6</v>
      </c>
      <c r="D95" s="1" t="s">
        <v>22</v>
      </c>
      <c r="E95" s="1">
        <v>5</v>
      </c>
      <c r="F95" s="1">
        <v>1</v>
      </c>
      <c r="G95" s="1" t="s">
        <v>22</v>
      </c>
      <c r="H95" s="1" t="s">
        <v>23</v>
      </c>
      <c r="I95" s="1" t="s">
        <v>24</v>
      </c>
      <c r="J95" s="1">
        <v>2</v>
      </c>
      <c r="K95" s="1" t="s">
        <v>21</v>
      </c>
      <c r="L95" s="1">
        <v>67.199997999999994</v>
      </c>
      <c r="M95" s="1">
        <v>67.2</v>
      </c>
      <c r="N95" s="2">
        <f t="shared" si="2"/>
        <v>2.9761905784005237E-8</v>
      </c>
      <c r="O95" s="1" t="s">
        <v>25</v>
      </c>
      <c r="P95" s="4">
        <v>19.239999999999998</v>
      </c>
      <c r="Q95" s="5">
        <v>4.4000335037708282E-6</v>
      </c>
    </row>
    <row r="96" spans="1:17">
      <c r="A96" s="1" t="s">
        <v>119</v>
      </c>
      <c r="B96" s="1">
        <v>12</v>
      </c>
      <c r="C96" s="1">
        <v>2</v>
      </c>
      <c r="D96" s="1" t="s">
        <v>21</v>
      </c>
      <c r="E96" s="1">
        <v>10</v>
      </c>
      <c r="F96" s="1">
        <v>0</v>
      </c>
      <c r="G96" s="1" t="s">
        <v>21</v>
      </c>
      <c r="H96" s="1" t="s">
        <v>23</v>
      </c>
      <c r="I96" s="1" t="s">
        <v>24</v>
      </c>
      <c r="J96" s="1">
        <v>3</v>
      </c>
      <c r="K96" s="1" t="s">
        <v>22</v>
      </c>
      <c r="L96" s="1">
        <v>176.400003</v>
      </c>
      <c r="M96" s="1">
        <v>176.4</v>
      </c>
      <c r="N96" s="2">
        <f t="shared" si="2"/>
        <v>1.7006802388919053E-8</v>
      </c>
      <c r="O96" s="1" t="s">
        <v>25</v>
      </c>
      <c r="P96" s="4">
        <v>19.190000000000001</v>
      </c>
      <c r="Q96" s="5">
        <v>4.6999775804579258E-6</v>
      </c>
    </row>
    <row r="97" spans="1:17">
      <c r="A97" s="1" t="s">
        <v>120</v>
      </c>
      <c r="B97" s="1">
        <v>6</v>
      </c>
      <c r="C97" s="1">
        <v>1</v>
      </c>
      <c r="D97" s="1" t="s">
        <v>22</v>
      </c>
      <c r="E97" s="1">
        <v>5</v>
      </c>
      <c r="F97" s="1">
        <v>1</v>
      </c>
      <c r="G97" s="1" t="s">
        <v>21</v>
      </c>
      <c r="H97" s="1" t="s">
        <v>23</v>
      </c>
      <c r="I97" s="1" t="s">
        <v>24</v>
      </c>
      <c r="J97" s="1">
        <v>3</v>
      </c>
      <c r="K97" s="1" t="s">
        <v>21</v>
      </c>
      <c r="L97" s="1">
        <v>100.799997</v>
      </c>
      <c r="M97" s="1">
        <v>100.8</v>
      </c>
      <c r="N97" s="2">
        <f t="shared" si="2"/>
        <v>2.9761905572534174E-8</v>
      </c>
      <c r="O97" s="1" t="s">
        <v>25</v>
      </c>
      <c r="P97" s="4">
        <v>18.79</v>
      </c>
      <c r="Q97" s="5">
        <v>4.0999730117619038E-6</v>
      </c>
    </row>
    <row r="98" spans="1:17">
      <c r="A98" s="1" t="s">
        <v>121</v>
      </c>
      <c r="B98" s="1">
        <v>8</v>
      </c>
      <c r="C98" s="1">
        <v>4</v>
      </c>
      <c r="D98" s="1" t="s">
        <v>22</v>
      </c>
      <c r="E98" s="1">
        <v>9</v>
      </c>
      <c r="F98" s="1">
        <v>6</v>
      </c>
      <c r="G98" s="1" t="s">
        <v>22</v>
      </c>
      <c r="H98" s="1" t="s">
        <v>23</v>
      </c>
      <c r="I98" s="1" t="s">
        <v>24</v>
      </c>
      <c r="J98" s="1">
        <v>1</v>
      </c>
      <c r="K98" s="1" t="s">
        <v>22</v>
      </c>
      <c r="L98" s="1">
        <v>42.840001000000001</v>
      </c>
      <c r="M98" s="1">
        <v>42.84</v>
      </c>
      <c r="N98" s="2">
        <f t="shared" ref="N98:N129" si="3">ABS(M98-L98)/L98</f>
        <v>2.3342669797679107E-8</v>
      </c>
      <c r="O98" s="1" t="s">
        <v>25</v>
      </c>
      <c r="P98" s="4">
        <v>18.86</v>
      </c>
      <c r="Q98" s="5">
        <v>4.3999752961099148E-6</v>
      </c>
    </row>
    <row r="99" spans="1:17">
      <c r="A99" s="1" t="s">
        <v>122</v>
      </c>
      <c r="B99" s="1">
        <v>8</v>
      </c>
      <c r="C99" s="1">
        <v>1</v>
      </c>
      <c r="D99" s="1" t="s">
        <v>22</v>
      </c>
      <c r="E99" s="1">
        <v>10</v>
      </c>
      <c r="F99" s="1">
        <v>3</v>
      </c>
      <c r="G99" s="1" t="s">
        <v>21</v>
      </c>
      <c r="H99" s="1" t="s">
        <v>23</v>
      </c>
      <c r="I99" s="1" t="s">
        <v>24</v>
      </c>
      <c r="J99" s="1">
        <v>1</v>
      </c>
      <c r="K99" s="1" t="s">
        <v>22</v>
      </c>
      <c r="L99" s="1">
        <v>48.720001000000003</v>
      </c>
      <c r="M99" s="1">
        <v>48.72</v>
      </c>
      <c r="N99" s="2">
        <f t="shared" si="3"/>
        <v>2.0525451232660484E-8</v>
      </c>
      <c r="O99" s="1" t="s">
        <v>25</v>
      </c>
      <c r="P99" s="4">
        <v>18.86</v>
      </c>
      <c r="Q99" s="5">
        <v>4.3000327423214912E-6</v>
      </c>
    </row>
    <row r="100" spans="1:17">
      <c r="A100" s="1" t="s">
        <v>123</v>
      </c>
      <c r="B100" s="1">
        <v>5</v>
      </c>
      <c r="C100" s="1">
        <v>2</v>
      </c>
      <c r="D100" s="1" t="s">
        <v>22</v>
      </c>
      <c r="E100" s="1">
        <v>12</v>
      </c>
      <c r="F100" s="1">
        <v>3</v>
      </c>
      <c r="G100" s="1" t="s">
        <v>22</v>
      </c>
      <c r="H100" s="1" t="s">
        <v>23</v>
      </c>
      <c r="I100" s="1" t="s">
        <v>24</v>
      </c>
      <c r="J100" s="1">
        <v>6</v>
      </c>
      <c r="K100" s="1" t="s">
        <v>21</v>
      </c>
      <c r="L100" s="1">
        <v>213.079994</v>
      </c>
      <c r="M100" s="1">
        <v>207.48</v>
      </c>
      <c r="N100" s="2">
        <f t="shared" si="3"/>
        <v>2.6281181517209963E-2</v>
      </c>
      <c r="O100" s="1" t="s">
        <v>25</v>
      </c>
      <c r="P100" s="4">
        <v>19.010000000000002</v>
      </c>
      <c r="Q100" s="5">
        <v>4.6000350266695023E-6</v>
      </c>
    </row>
    <row r="101" spans="1:17">
      <c r="A101" s="1" t="s">
        <v>124</v>
      </c>
      <c r="B101" s="1">
        <v>12</v>
      </c>
      <c r="C101" s="1">
        <v>2</v>
      </c>
      <c r="D101" s="1" t="s">
        <v>22</v>
      </c>
      <c r="E101" s="1">
        <v>16</v>
      </c>
      <c r="F101" s="1">
        <v>3</v>
      </c>
      <c r="G101" s="1" t="s">
        <v>21</v>
      </c>
      <c r="H101" s="1" t="s">
        <v>23</v>
      </c>
      <c r="I101" s="1" t="s">
        <v>24</v>
      </c>
      <c r="J101" s="1">
        <v>0</v>
      </c>
      <c r="K101" s="1" t="s">
        <v>22</v>
      </c>
      <c r="L101" s="1">
        <v>16.8</v>
      </c>
      <c r="M101" s="1">
        <v>16.8</v>
      </c>
      <c r="N101" s="2">
        <f t="shared" si="3"/>
        <v>0</v>
      </c>
      <c r="O101" s="1" t="s">
        <v>25</v>
      </c>
      <c r="P101" s="4">
        <v>18.670000000000002</v>
      </c>
      <c r="Q101" s="5">
        <v>5.0999806262552738E-6</v>
      </c>
    </row>
    <row r="102" spans="1:17">
      <c r="A102" s="1" t="s">
        <v>20</v>
      </c>
      <c r="B102" s="1">
        <v>5</v>
      </c>
      <c r="C102" s="1">
        <v>0</v>
      </c>
      <c r="D102" s="1" t="s">
        <v>22</v>
      </c>
      <c r="E102" s="1">
        <v>26</v>
      </c>
      <c r="F102" s="1">
        <v>12</v>
      </c>
      <c r="G102" s="1" t="s">
        <v>21</v>
      </c>
      <c r="H102" s="1" t="s">
        <v>23</v>
      </c>
      <c r="I102" s="1" t="s">
        <v>24</v>
      </c>
      <c r="J102" s="1">
        <v>4</v>
      </c>
      <c r="K102" s="1" t="s">
        <v>21</v>
      </c>
      <c r="L102" s="1">
        <v>160.99999500000001</v>
      </c>
      <c r="M102" s="1">
        <v>152.04</v>
      </c>
      <c r="N102" s="2">
        <f t="shared" si="3"/>
        <v>5.5652144585470451E-2</v>
      </c>
      <c r="O102" s="1" t="s">
        <v>125</v>
      </c>
      <c r="P102" s="4">
        <v>18.989999999999998</v>
      </c>
      <c r="Q102" s="5">
        <v>5.7999859564006329E-6</v>
      </c>
    </row>
    <row r="103" spans="1:17">
      <c r="A103" s="1" t="s">
        <v>26</v>
      </c>
      <c r="B103" s="1">
        <v>20</v>
      </c>
      <c r="C103" s="1">
        <v>4</v>
      </c>
      <c r="D103" s="1" t="s">
        <v>22</v>
      </c>
      <c r="E103" s="1">
        <v>11</v>
      </c>
      <c r="F103" s="1">
        <v>6</v>
      </c>
      <c r="G103" s="1" t="s">
        <v>21</v>
      </c>
      <c r="H103" s="1" t="s">
        <v>23</v>
      </c>
      <c r="I103" s="1" t="s">
        <v>24</v>
      </c>
      <c r="J103" s="1">
        <v>1</v>
      </c>
      <c r="K103" s="1" t="s">
        <v>21</v>
      </c>
      <c r="L103" s="1">
        <v>62.159998000000002</v>
      </c>
      <c r="M103" s="1">
        <v>62.16</v>
      </c>
      <c r="N103" s="2">
        <f t="shared" si="3"/>
        <v>3.2175033129030755E-8</v>
      </c>
      <c r="O103" s="1" t="s">
        <v>125</v>
      </c>
      <c r="P103" s="4">
        <v>18.489999999999998</v>
      </c>
      <c r="Q103" s="5">
        <v>4.4999760575592518E-6</v>
      </c>
    </row>
    <row r="104" spans="1:17">
      <c r="A104" s="1" t="s">
        <v>27</v>
      </c>
      <c r="B104" s="1">
        <v>4</v>
      </c>
      <c r="C104" s="1">
        <v>1</v>
      </c>
      <c r="D104" s="1" t="s">
        <v>22</v>
      </c>
      <c r="E104" s="1">
        <v>7</v>
      </c>
      <c r="F104" s="1">
        <v>3</v>
      </c>
      <c r="G104" s="1" t="s">
        <v>21</v>
      </c>
      <c r="H104" s="1" t="s">
        <v>23</v>
      </c>
      <c r="I104" s="1" t="s">
        <v>24</v>
      </c>
      <c r="J104" s="1">
        <v>1</v>
      </c>
      <c r="K104" s="1" t="s">
        <v>21</v>
      </c>
      <c r="L104" s="1">
        <v>29.399999000000001</v>
      </c>
      <c r="M104" s="1">
        <v>28.56</v>
      </c>
      <c r="N104" s="2">
        <f t="shared" si="3"/>
        <v>2.8571395529639384E-2</v>
      </c>
      <c r="O104" s="1" t="s">
        <v>125</v>
      </c>
      <c r="P104" s="4">
        <v>19.03</v>
      </c>
      <c r="Q104" s="5">
        <v>4.7999783419072628E-6</v>
      </c>
    </row>
    <row r="105" spans="1:17">
      <c r="A105" s="1" t="s">
        <v>28</v>
      </c>
      <c r="B105" s="1">
        <v>16</v>
      </c>
      <c r="C105" s="1">
        <v>7</v>
      </c>
      <c r="D105" s="1" t="s">
        <v>21</v>
      </c>
      <c r="E105" s="1">
        <v>5</v>
      </c>
      <c r="F105" s="1">
        <v>3</v>
      </c>
      <c r="G105" s="1" t="s">
        <v>21</v>
      </c>
      <c r="H105" s="1" t="s">
        <v>23</v>
      </c>
      <c r="I105" s="1" t="s">
        <v>24</v>
      </c>
      <c r="J105" s="1">
        <v>1</v>
      </c>
      <c r="K105" s="1" t="s">
        <v>22</v>
      </c>
      <c r="L105" s="1">
        <v>29.400001</v>
      </c>
      <c r="M105" s="1">
        <v>29.4</v>
      </c>
      <c r="N105" s="2">
        <f t="shared" si="3"/>
        <v>3.4013604320216057E-8</v>
      </c>
      <c r="O105" s="1" t="s">
        <v>125</v>
      </c>
      <c r="P105" s="4">
        <v>18.48</v>
      </c>
      <c r="Q105" s="5">
        <v>4.6000350266695023E-6</v>
      </c>
    </row>
    <row r="106" spans="1:17">
      <c r="A106" s="1" t="s">
        <v>29</v>
      </c>
      <c r="B106" s="1">
        <v>3</v>
      </c>
      <c r="C106" s="1">
        <v>0</v>
      </c>
      <c r="D106" s="1" t="s">
        <v>22</v>
      </c>
      <c r="E106" s="1">
        <v>11</v>
      </c>
      <c r="F106" s="1">
        <v>5</v>
      </c>
      <c r="G106" s="1" t="s">
        <v>21</v>
      </c>
      <c r="H106" s="1" t="s">
        <v>23</v>
      </c>
      <c r="I106" s="1" t="s">
        <v>24</v>
      </c>
      <c r="J106" s="1">
        <v>2</v>
      </c>
      <c r="K106" s="1" t="s">
        <v>22</v>
      </c>
      <c r="L106" s="1">
        <v>42</v>
      </c>
      <c r="M106" s="1">
        <v>42</v>
      </c>
      <c r="N106" s="2">
        <f t="shared" si="3"/>
        <v>0</v>
      </c>
      <c r="O106" s="1" t="s">
        <v>125</v>
      </c>
      <c r="P106" s="4">
        <v>18.97</v>
      </c>
      <c r="Q106" s="5">
        <v>4.8999791033565998E-6</v>
      </c>
    </row>
    <row r="107" spans="1:17">
      <c r="A107" s="1" t="s">
        <v>30</v>
      </c>
      <c r="B107" s="1">
        <v>16</v>
      </c>
      <c r="C107" s="1">
        <v>0</v>
      </c>
      <c r="D107" s="1" t="s">
        <v>21</v>
      </c>
      <c r="E107" s="1">
        <v>11</v>
      </c>
      <c r="F107" s="1">
        <v>5</v>
      </c>
      <c r="G107" s="1" t="s">
        <v>22</v>
      </c>
      <c r="H107" s="1" t="s">
        <v>23</v>
      </c>
      <c r="I107" s="1" t="s">
        <v>24</v>
      </c>
      <c r="J107" s="1">
        <v>1</v>
      </c>
      <c r="K107" s="1" t="s">
        <v>22</v>
      </c>
      <c r="L107" s="1">
        <v>39.480001000000001</v>
      </c>
      <c r="M107" s="1">
        <v>39.479999999999997</v>
      </c>
      <c r="N107" s="2">
        <f t="shared" si="3"/>
        <v>2.5329280122882218E-8</v>
      </c>
      <c r="O107" s="1" t="s">
        <v>125</v>
      </c>
      <c r="P107" s="4">
        <v>18.73</v>
      </c>
      <c r="Q107" s="5">
        <v>5.4000411182641983E-6</v>
      </c>
    </row>
    <row r="108" spans="1:17">
      <c r="A108" s="1" t="s">
        <v>31</v>
      </c>
      <c r="B108" s="1">
        <v>12</v>
      </c>
      <c r="C108" s="1">
        <v>9</v>
      </c>
      <c r="D108" s="1" t="s">
        <v>21</v>
      </c>
      <c r="E108" s="1">
        <v>9</v>
      </c>
      <c r="F108" s="1">
        <v>3</v>
      </c>
      <c r="G108" s="1" t="s">
        <v>22</v>
      </c>
      <c r="H108" s="1" t="s">
        <v>23</v>
      </c>
      <c r="I108" s="1" t="s">
        <v>24</v>
      </c>
      <c r="J108" s="1">
        <v>2</v>
      </c>
      <c r="K108" s="1" t="s">
        <v>22</v>
      </c>
      <c r="L108" s="1">
        <v>105.840002</v>
      </c>
      <c r="M108" s="1">
        <v>105.84</v>
      </c>
      <c r="N108" s="2">
        <f t="shared" si="3"/>
        <v>1.8896447063091378E-8</v>
      </c>
      <c r="O108" s="1" t="s">
        <v>125</v>
      </c>
      <c r="P108" s="4">
        <v>18.79</v>
      </c>
      <c r="Q108" s="5">
        <v>4.6999775804579258E-6</v>
      </c>
    </row>
    <row r="109" spans="1:17">
      <c r="A109" s="1" t="s">
        <v>32</v>
      </c>
      <c r="B109" s="1">
        <v>10</v>
      </c>
      <c r="C109" s="1">
        <v>8</v>
      </c>
      <c r="D109" s="1" t="s">
        <v>21</v>
      </c>
      <c r="E109" s="1">
        <v>22</v>
      </c>
      <c r="F109" s="1">
        <v>0</v>
      </c>
      <c r="G109" s="1" t="s">
        <v>22</v>
      </c>
      <c r="H109" s="1" t="s">
        <v>23</v>
      </c>
      <c r="I109" s="1" t="s">
        <v>24</v>
      </c>
      <c r="J109" s="1">
        <v>0</v>
      </c>
      <c r="K109" s="1" t="s">
        <v>22</v>
      </c>
      <c r="L109" s="1">
        <v>24.64</v>
      </c>
      <c r="M109" s="1">
        <v>24.64</v>
      </c>
      <c r="N109" s="2">
        <f t="shared" si="3"/>
        <v>0</v>
      </c>
      <c r="O109" s="1" t="s">
        <v>125</v>
      </c>
      <c r="P109" s="4">
        <v>18.739999999999998</v>
      </c>
      <c r="Q109" s="5">
        <v>4.4999760575592518E-6</v>
      </c>
    </row>
    <row r="110" spans="1:17">
      <c r="A110" s="1" t="s">
        <v>33</v>
      </c>
      <c r="B110" s="1">
        <v>12</v>
      </c>
      <c r="C110" s="1">
        <v>11</v>
      </c>
      <c r="D110" s="1" t="s">
        <v>22</v>
      </c>
      <c r="E110" s="1">
        <v>15</v>
      </c>
      <c r="F110" s="1">
        <v>13</v>
      </c>
      <c r="G110" s="1" t="s">
        <v>21</v>
      </c>
      <c r="H110" s="1" t="s">
        <v>23</v>
      </c>
      <c r="I110" s="1" t="s">
        <v>24</v>
      </c>
      <c r="J110" s="1">
        <v>4</v>
      </c>
      <c r="K110" s="1" t="s">
        <v>22</v>
      </c>
      <c r="L110" s="1">
        <v>284.76000499999998</v>
      </c>
      <c r="M110" s="1">
        <v>283.92</v>
      </c>
      <c r="N110" s="2">
        <f t="shared" si="3"/>
        <v>2.9498700142246534E-3</v>
      </c>
      <c r="O110" s="1" t="s">
        <v>125</v>
      </c>
      <c r="P110" s="4">
        <v>18.73</v>
      </c>
      <c r="Q110" s="5">
        <v>5.2999821491539478E-6</v>
      </c>
    </row>
    <row r="111" spans="1:17">
      <c r="A111" s="1" t="s">
        <v>34</v>
      </c>
      <c r="B111" s="1">
        <v>10</v>
      </c>
      <c r="C111" s="1">
        <v>7</v>
      </c>
      <c r="D111" s="1" t="s">
        <v>21</v>
      </c>
      <c r="E111" s="1">
        <v>20</v>
      </c>
      <c r="F111" s="1">
        <v>9</v>
      </c>
      <c r="G111" s="1" t="s">
        <v>21</v>
      </c>
      <c r="H111" s="1" t="s">
        <v>23</v>
      </c>
      <c r="I111" s="1" t="s">
        <v>24</v>
      </c>
      <c r="J111" s="1">
        <v>6</v>
      </c>
      <c r="K111" s="1" t="s">
        <v>21</v>
      </c>
      <c r="L111" s="1">
        <v>744.23997699999995</v>
      </c>
      <c r="M111" s="1">
        <v>727.44</v>
      </c>
      <c r="N111" s="2">
        <f t="shared" si="3"/>
        <v>2.2573333224748152E-2</v>
      </c>
      <c r="O111" s="1" t="s">
        <v>125</v>
      </c>
      <c r="P111" s="4">
        <v>19.239999999999998</v>
      </c>
      <c r="Q111" s="5">
        <v>4.7000357881188393E-6</v>
      </c>
    </row>
    <row r="112" spans="1:17">
      <c r="A112" s="1" t="s">
        <v>35</v>
      </c>
      <c r="B112" s="1">
        <v>14</v>
      </c>
      <c r="C112" s="1">
        <v>5</v>
      </c>
      <c r="D112" s="1" t="s">
        <v>22</v>
      </c>
      <c r="E112" s="1">
        <v>9</v>
      </c>
      <c r="F112" s="1">
        <v>8</v>
      </c>
      <c r="G112" s="1" t="s">
        <v>22</v>
      </c>
      <c r="H112" s="1" t="s">
        <v>23</v>
      </c>
      <c r="I112" s="1" t="s">
        <v>24</v>
      </c>
      <c r="J112" s="1">
        <v>6</v>
      </c>
      <c r="K112" s="1" t="s">
        <v>22</v>
      </c>
      <c r="L112" s="1">
        <v>214.20000400000001</v>
      </c>
      <c r="M112" s="1">
        <v>214.2</v>
      </c>
      <c r="N112" s="2">
        <f t="shared" si="3"/>
        <v>1.867413605801184E-8</v>
      </c>
      <c r="O112" s="1" t="s">
        <v>125</v>
      </c>
      <c r="P112" s="4">
        <v>18.22</v>
      </c>
      <c r="Q112" s="5">
        <v>4.9999798648059368E-6</v>
      </c>
    </row>
    <row r="113" spans="1:17">
      <c r="A113" s="1" t="s">
        <v>36</v>
      </c>
      <c r="B113" s="1">
        <v>12</v>
      </c>
      <c r="C113" s="1">
        <v>4</v>
      </c>
      <c r="D113" s="1" t="s">
        <v>22</v>
      </c>
      <c r="E113" s="1">
        <v>12</v>
      </c>
      <c r="F113" s="1">
        <v>11</v>
      </c>
      <c r="G113" s="1" t="s">
        <v>22</v>
      </c>
      <c r="H113" s="1" t="s">
        <v>23</v>
      </c>
      <c r="I113" s="1" t="s">
        <v>24</v>
      </c>
      <c r="J113" s="1">
        <v>1</v>
      </c>
      <c r="K113" s="1" t="s">
        <v>21</v>
      </c>
      <c r="L113" s="1">
        <v>39.479998999999999</v>
      </c>
      <c r="M113" s="1">
        <v>39.479999999999997</v>
      </c>
      <c r="N113" s="2">
        <f t="shared" si="3"/>
        <v>2.532928122605177E-8</v>
      </c>
      <c r="O113" s="1" t="s">
        <v>125</v>
      </c>
      <c r="P113" s="4">
        <v>18.32</v>
      </c>
      <c r="Q113" s="5">
        <v>5.0000380724668503E-6</v>
      </c>
    </row>
    <row r="114" spans="1:17">
      <c r="A114" s="1" t="s">
        <v>37</v>
      </c>
      <c r="B114" s="1">
        <v>14</v>
      </c>
      <c r="C114" s="1">
        <v>9</v>
      </c>
      <c r="D114" s="1" t="s">
        <v>22</v>
      </c>
      <c r="E114" s="1">
        <v>22</v>
      </c>
      <c r="F114" s="1">
        <v>20</v>
      </c>
      <c r="G114" s="1" t="s">
        <v>21</v>
      </c>
      <c r="H114" s="1" t="s">
        <v>23</v>
      </c>
      <c r="I114" s="1" t="s">
        <v>24</v>
      </c>
      <c r="J114" s="1">
        <v>2</v>
      </c>
      <c r="K114" s="1" t="s">
        <v>22</v>
      </c>
      <c r="L114" s="1">
        <v>138.60000199999999</v>
      </c>
      <c r="M114" s="1">
        <v>138.6</v>
      </c>
      <c r="N114" s="2">
        <f t="shared" si="3"/>
        <v>1.4430014185356834E-8</v>
      </c>
      <c r="O114" s="1" t="s">
        <v>125</v>
      </c>
      <c r="P114" s="4">
        <v>19.079999999999998</v>
      </c>
      <c r="Q114" s="5">
        <v>4.4999760575592518E-6</v>
      </c>
    </row>
    <row r="115" spans="1:17">
      <c r="A115" s="1" t="s">
        <v>38</v>
      </c>
      <c r="B115" s="1">
        <v>9</v>
      </c>
      <c r="C115" s="1">
        <v>4</v>
      </c>
      <c r="D115" s="1" t="s">
        <v>22</v>
      </c>
      <c r="E115" s="1">
        <v>21</v>
      </c>
      <c r="F115" s="1">
        <v>6</v>
      </c>
      <c r="G115" s="1" t="s">
        <v>21</v>
      </c>
      <c r="H115" s="1" t="s">
        <v>23</v>
      </c>
      <c r="I115" s="1" t="s">
        <v>24</v>
      </c>
      <c r="J115" s="1">
        <v>6</v>
      </c>
      <c r="K115" s="1" t="s">
        <v>22</v>
      </c>
      <c r="L115" s="1">
        <v>327.60000600000001</v>
      </c>
      <c r="M115" s="1">
        <v>327.60000000000002</v>
      </c>
      <c r="N115" s="2">
        <f t="shared" si="3"/>
        <v>1.831501793333745E-8</v>
      </c>
      <c r="O115" s="1" t="s">
        <v>125</v>
      </c>
      <c r="P115" s="4">
        <v>18.84</v>
      </c>
      <c r="Q115" s="5">
        <v>5.0000380724668503E-6</v>
      </c>
    </row>
    <row r="116" spans="1:17">
      <c r="A116" s="1" t="s">
        <v>39</v>
      </c>
      <c r="B116" s="1">
        <v>9</v>
      </c>
      <c r="C116" s="1">
        <v>7</v>
      </c>
      <c r="D116" s="1" t="s">
        <v>22</v>
      </c>
      <c r="E116" s="1">
        <v>15</v>
      </c>
      <c r="F116" s="1">
        <v>3</v>
      </c>
      <c r="G116" s="1" t="s">
        <v>22</v>
      </c>
      <c r="H116" s="1" t="s">
        <v>23</v>
      </c>
      <c r="I116" s="1" t="s">
        <v>24</v>
      </c>
      <c r="J116" s="1">
        <v>6</v>
      </c>
      <c r="K116" s="1" t="s">
        <v>22</v>
      </c>
      <c r="L116" s="1">
        <v>184.800003</v>
      </c>
      <c r="M116" s="1">
        <v>184.8</v>
      </c>
      <c r="N116" s="2">
        <f t="shared" si="3"/>
        <v>1.6233765929244754E-8</v>
      </c>
      <c r="O116" s="1" t="s">
        <v>125</v>
      </c>
      <c r="P116" s="4">
        <v>19.03</v>
      </c>
      <c r="Q116" s="5">
        <v>4.7000357881188393E-6</v>
      </c>
    </row>
    <row r="117" spans="1:17">
      <c r="A117" s="1" t="s">
        <v>40</v>
      </c>
      <c r="B117" s="1">
        <v>6</v>
      </c>
      <c r="C117" s="1">
        <v>0</v>
      </c>
      <c r="D117" s="1" t="s">
        <v>21</v>
      </c>
      <c r="E117" s="1">
        <v>5</v>
      </c>
      <c r="F117" s="1">
        <v>4</v>
      </c>
      <c r="G117" s="1" t="s">
        <v>22</v>
      </c>
      <c r="H117" s="1" t="s">
        <v>23</v>
      </c>
      <c r="I117" s="1" t="s">
        <v>24</v>
      </c>
      <c r="J117" s="1">
        <v>6</v>
      </c>
      <c r="K117" s="1" t="s">
        <v>22</v>
      </c>
      <c r="L117" s="1">
        <v>38.640000999999998</v>
      </c>
      <c r="M117" s="1">
        <v>38.64</v>
      </c>
      <c r="N117" s="2">
        <f t="shared" si="3"/>
        <v>2.5879916449154408E-8</v>
      </c>
      <c r="O117" s="1" t="s">
        <v>125</v>
      </c>
      <c r="P117" s="4">
        <v>18.72</v>
      </c>
      <c r="Q117" s="5">
        <v>4.7000357881188393E-6</v>
      </c>
    </row>
    <row r="118" spans="1:17">
      <c r="A118" s="1" t="s">
        <v>41</v>
      </c>
      <c r="B118" s="1">
        <v>3</v>
      </c>
      <c r="C118" s="1">
        <v>0</v>
      </c>
      <c r="D118" s="1" t="s">
        <v>21</v>
      </c>
      <c r="E118" s="1">
        <v>16</v>
      </c>
      <c r="F118" s="1">
        <v>11</v>
      </c>
      <c r="G118" s="1" t="s">
        <v>22</v>
      </c>
      <c r="H118" s="1" t="s">
        <v>23</v>
      </c>
      <c r="I118" s="1" t="s">
        <v>24</v>
      </c>
      <c r="J118" s="1">
        <v>0</v>
      </c>
      <c r="K118" s="1" t="s">
        <v>22</v>
      </c>
      <c r="L118" s="1">
        <v>14.84</v>
      </c>
      <c r="M118" s="1">
        <v>14.84</v>
      </c>
      <c r="N118" s="2">
        <f t="shared" si="3"/>
        <v>0</v>
      </c>
      <c r="O118" s="1" t="s">
        <v>125</v>
      </c>
      <c r="P118" s="4">
        <v>18.739999999999998</v>
      </c>
      <c r="Q118" s="5">
        <v>4.6999775804579258E-6</v>
      </c>
    </row>
    <row r="119" spans="1:17">
      <c r="A119" s="1" t="s">
        <v>42</v>
      </c>
      <c r="B119" s="1">
        <v>16</v>
      </c>
      <c r="C119" s="1">
        <v>12</v>
      </c>
      <c r="D119" s="1" t="s">
        <v>22</v>
      </c>
      <c r="E119" s="1">
        <v>11</v>
      </c>
      <c r="F119" s="1">
        <v>2</v>
      </c>
      <c r="G119" s="1" t="s">
        <v>21</v>
      </c>
      <c r="H119" s="1" t="s">
        <v>23</v>
      </c>
      <c r="I119" s="1" t="s">
        <v>24</v>
      </c>
      <c r="J119" s="1">
        <v>2</v>
      </c>
      <c r="K119" s="1" t="s">
        <v>21</v>
      </c>
      <c r="L119" s="1">
        <v>84.839996999999997</v>
      </c>
      <c r="M119" s="1">
        <v>84.84</v>
      </c>
      <c r="N119" s="2">
        <f t="shared" si="3"/>
        <v>3.5360680253637715E-8</v>
      </c>
      <c r="O119" s="1" t="s">
        <v>125</v>
      </c>
      <c r="P119" s="4">
        <v>18.920000000000002</v>
      </c>
      <c r="Q119" s="5">
        <v>4.8999791033565998E-6</v>
      </c>
    </row>
    <row r="120" spans="1:17">
      <c r="A120" s="1" t="s">
        <v>43</v>
      </c>
      <c r="B120" s="1">
        <v>8</v>
      </c>
      <c r="C120" s="1">
        <v>0</v>
      </c>
      <c r="D120" s="1" t="s">
        <v>21</v>
      </c>
      <c r="E120" s="1">
        <v>8</v>
      </c>
      <c r="F120" s="1">
        <v>3</v>
      </c>
      <c r="G120" s="1" t="s">
        <v>22</v>
      </c>
      <c r="H120" s="1" t="s">
        <v>23</v>
      </c>
      <c r="I120" s="1" t="s">
        <v>24</v>
      </c>
      <c r="J120" s="1">
        <v>0</v>
      </c>
      <c r="K120" s="1" t="s">
        <v>22</v>
      </c>
      <c r="L120" s="1">
        <v>8.1199999999999992</v>
      </c>
      <c r="M120" s="1">
        <v>8.1199999999999992</v>
      </c>
      <c r="N120" s="2">
        <f t="shared" si="3"/>
        <v>0</v>
      </c>
      <c r="O120" s="1" t="s">
        <v>125</v>
      </c>
      <c r="P120" s="4">
        <v>18.75</v>
      </c>
      <c r="Q120" s="5">
        <v>4.9000373110175133E-6</v>
      </c>
    </row>
    <row r="121" spans="1:17">
      <c r="A121" s="1" t="s">
        <v>44</v>
      </c>
      <c r="B121" s="1">
        <v>4</v>
      </c>
      <c r="C121" s="1">
        <v>0</v>
      </c>
      <c r="D121" s="1" t="s">
        <v>22</v>
      </c>
      <c r="E121" s="1">
        <v>24</v>
      </c>
      <c r="F121" s="1">
        <v>22</v>
      </c>
      <c r="G121" s="1" t="s">
        <v>21</v>
      </c>
      <c r="H121" s="1" t="s">
        <v>23</v>
      </c>
      <c r="I121" s="1" t="s">
        <v>24</v>
      </c>
      <c r="J121" s="1">
        <v>6</v>
      </c>
      <c r="K121" s="1" t="s">
        <v>22</v>
      </c>
      <c r="L121" s="1">
        <v>89.040001000000004</v>
      </c>
      <c r="M121" s="1">
        <v>89.04</v>
      </c>
      <c r="N121" s="2">
        <f t="shared" si="3"/>
        <v>1.1230907302833956E-8</v>
      </c>
      <c r="O121" s="1" t="s">
        <v>125</v>
      </c>
      <c r="P121" s="4">
        <v>18.809999999999999</v>
      </c>
      <c r="Q121" s="5">
        <v>4.3999752961099148E-6</v>
      </c>
    </row>
    <row r="122" spans="1:17">
      <c r="A122" s="1" t="s">
        <v>45</v>
      </c>
      <c r="B122" s="1">
        <v>12</v>
      </c>
      <c r="C122" s="1">
        <v>11</v>
      </c>
      <c r="D122" s="1" t="s">
        <v>22</v>
      </c>
      <c r="E122" s="1">
        <v>15</v>
      </c>
      <c r="F122" s="1">
        <v>14</v>
      </c>
      <c r="G122" s="1" t="s">
        <v>21</v>
      </c>
      <c r="H122" s="1" t="s">
        <v>23</v>
      </c>
      <c r="I122" s="1" t="s">
        <v>24</v>
      </c>
      <c r="J122" s="1">
        <v>1</v>
      </c>
      <c r="K122" s="1" t="s">
        <v>22</v>
      </c>
      <c r="L122" s="1">
        <v>73.080000999999996</v>
      </c>
      <c r="M122" s="1">
        <v>73.08</v>
      </c>
      <c r="N122" s="2">
        <f t="shared" si="3"/>
        <v>1.3683634151499844E-8</v>
      </c>
      <c r="O122" s="1" t="s">
        <v>125</v>
      </c>
      <c r="P122" s="4">
        <v>18.88</v>
      </c>
      <c r="Q122" s="5">
        <v>4.4999760575592518E-6</v>
      </c>
    </row>
    <row r="123" spans="1:17">
      <c r="A123" s="1" t="s">
        <v>46</v>
      </c>
      <c r="B123" s="1">
        <v>24</v>
      </c>
      <c r="C123" s="1">
        <v>12</v>
      </c>
      <c r="D123" s="1" t="s">
        <v>21</v>
      </c>
      <c r="E123" s="1">
        <v>16</v>
      </c>
      <c r="F123" s="1">
        <v>14</v>
      </c>
      <c r="G123" s="1" t="s">
        <v>21</v>
      </c>
      <c r="H123" s="1" t="s">
        <v>23</v>
      </c>
      <c r="I123" s="1" t="s">
        <v>24</v>
      </c>
      <c r="J123" s="1">
        <v>2</v>
      </c>
      <c r="K123" s="1" t="s">
        <v>22</v>
      </c>
      <c r="L123" s="1">
        <v>166.32000300000001</v>
      </c>
      <c r="M123" s="1">
        <v>166.32</v>
      </c>
      <c r="N123" s="2">
        <f t="shared" si="3"/>
        <v>1.8037517837511325E-8</v>
      </c>
      <c r="O123" s="1" t="s">
        <v>125</v>
      </c>
      <c r="P123" s="4">
        <v>18.41</v>
      </c>
      <c r="Q123" s="5">
        <v>4.8000365495681763E-6</v>
      </c>
    </row>
    <row r="124" spans="1:17">
      <c r="A124" s="1" t="s">
        <v>47</v>
      </c>
      <c r="B124" s="1">
        <v>4</v>
      </c>
      <c r="C124" s="1">
        <v>3</v>
      </c>
      <c r="D124" s="1" t="s">
        <v>21</v>
      </c>
      <c r="E124" s="1">
        <v>7</v>
      </c>
      <c r="F124" s="1">
        <v>0</v>
      </c>
      <c r="G124" s="1" t="s">
        <v>22</v>
      </c>
      <c r="H124" s="1" t="s">
        <v>23</v>
      </c>
      <c r="I124" s="1" t="s">
        <v>24</v>
      </c>
      <c r="J124" s="1">
        <v>6</v>
      </c>
      <c r="K124" s="1" t="s">
        <v>22</v>
      </c>
      <c r="L124" s="1">
        <v>246.960005</v>
      </c>
      <c r="M124" s="1">
        <v>246.96</v>
      </c>
      <c r="N124" s="2">
        <f t="shared" si="3"/>
        <v>2.0246193254556396E-8</v>
      </c>
      <c r="O124" s="1" t="s">
        <v>125</v>
      </c>
      <c r="P124" s="4">
        <v>18.38</v>
      </c>
      <c r="Q124" s="5">
        <v>4.5000342652201653E-6</v>
      </c>
    </row>
    <row r="125" spans="1:17">
      <c r="A125" s="1" t="s">
        <v>48</v>
      </c>
      <c r="B125" s="1">
        <v>6</v>
      </c>
      <c r="C125" s="1">
        <v>1</v>
      </c>
      <c r="D125" s="1" t="s">
        <v>22</v>
      </c>
      <c r="E125" s="1">
        <v>14</v>
      </c>
      <c r="F125" s="1">
        <v>2</v>
      </c>
      <c r="G125" s="1" t="s">
        <v>21</v>
      </c>
      <c r="H125" s="1" t="s">
        <v>23</v>
      </c>
      <c r="I125" s="1" t="s">
        <v>24</v>
      </c>
      <c r="J125" s="1">
        <v>6</v>
      </c>
      <c r="K125" s="1" t="s">
        <v>22</v>
      </c>
      <c r="L125" s="1">
        <v>218.400004</v>
      </c>
      <c r="M125" s="1">
        <v>218.4</v>
      </c>
      <c r="N125" s="2">
        <f t="shared" si="3"/>
        <v>1.831501793333745E-8</v>
      </c>
      <c r="O125" s="1" t="s">
        <v>125</v>
      </c>
      <c r="P125" s="4">
        <v>18.41</v>
      </c>
      <c r="Q125" s="5">
        <v>4.8000365495681763E-6</v>
      </c>
    </row>
    <row r="126" spans="1:17">
      <c r="A126" s="1" t="s">
        <v>49</v>
      </c>
      <c r="B126" s="1">
        <v>12</v>
      </c>
      <c r="C126" s="1">
        <v>1</v>
      </c>
      <c r="D126" s="1" t="s">
        <v>22</v>
      </c>
      <c r="E126" s="1">
        <v>26</v>
      </c>
      <c r="F126" s="1">
        <v>25</v>
      </c>
      <c r="G126" s="1" t="s">
        <v>22</v>
      </c>
      <c r="H126" s="1" t="s">
        <v>23</v>
      </c>
      <c r="I126" s="1" t="s">
        <v>24</v>
      </c>
      <c r="J126" s="1">
        <v>3</v>
      </c>
      <c r="K126" s="1" t="s">
        <v>22</v>
      </c>
      <c r="L126" s="1">
        <v>55.44</v>
      </c>
      <c r="M126" s="1">
        <v>55.44</v>
      </c>
      <c r="N126" s="2">
        <f t="shared" si="3"/>
        <v>0</v>
      </c>
      <c r="O126" s="1" t="s">
        <v>125</v>
      </c>
      <c r="P126" s="4">
        <v>18.75</v>
      </c>
      <c r="Q126" s="5">
        <v>5.9999874792993069E-6</v>
      </c>
    </row>
    <row r="127" spans="1:17">
      <c r="A127" s="1" t="s">
        <v>50</v>
      </c>
      <c r="B127" s="1">
        <v>7</v>
      </c>
      <c r="C127" s="1">
        <v>3</v>
      </c>
      <c r="D127" s="1" t="s">
        <v>22</v>
      </c>
      <c r="E127" s="1">
        <v>5</v>
      </c>
      <c r="F127" s="1">
        <v>1</v>
      </c>
      <c r="G127" s="1" t="s">
        <v>22</v>
      </c>
      <c r="H127" s="1" t="s">
        <v>23</v>
      </c>
      <c r="I127" s="1" t="s">
        <v>24</v>
      </c>
      <c r="J127" s="1">
        <v>6</v>
      </c>
      <c r="K127" s="1" t="s">
        <v>21</v>
      </c>
      <c r="L127" s="1">
        <v>201.59999400000001</v>
      </c>
      <c r="M127" s="1">
        <v>201.6</v>
      </c>
      <c r="N127" s="2">
        <f t="shared" si="3"/>
        <v>2.9761905572534174E-8</v>
      </c>
      <c r="O127" s="1" t="s">
        <v>125</v>
      </c>
      <c r="P127" s="4">
        <v>18.920000000000002</v>
      </c>
      <c r="Q127" s="5">
        <v>4.5999768190085888E-6</v>
      </c>
    </row>
    <row r="128" spans="1:17">
      <c r="A128" s="1" t="s">
        <v>51</v>
      </c>
      <c r="B128" s="1">
        <v>24</v>
      </c>
      <c r="C128" s="1">
        <v>11</v>
      </c>
      <c r="D128" s="1" t="s">
        <v>22</v>
      </c>
      <c r="E128" s="1">
        <v>8</v>
      </c>
      <c r="F128" s="1">
        <v>4</v>
      </c>
      <c r="G128" s="1" t="s">
        <v>21</v>
      </c>
      <c r="H128" s="1" t="s">
        <v>23</v>
      </c>
      <c r="I128" s="1" t="s">
        <v>24</v>
      </c>
      <c r="J128" s="1">
        <v>3</v>
      </c>
      <c r="K128" s="1" t="s">
        <v>21</v>
      </c>
      <c r="L128" s="1">
        <v>161.27999500000001</v>
      </c>
      <c r="M128" s="1">
        <v>161.28</v>
      </c>
      <c r="N128" s="2">
        <f t="shared" si="3"/>
        <v>3.1001985009834688E-8</v>
      </c>
      <c r="O128" s="1" t="s">
        <v>125</v>
      </c>
      <c r="P128" s="4">
        <v>19.260000000000002</v>
      </c>
      <c r="Q128" s="5">
        <v>4.2999745346605778E-6</v>
      </c>
    </row>
    <row r="129" spans="1:17">
      <c r="A129" s="1" t="s">
        <v>52</v>
      </c>
      <c r="B129" s="1">
        <v>14</v>
      </c>
      <c r="C129" s="1">
        <v>5</v>
      </c>
      <c r="D129" s="1" t="s">
        <v>21</v>
      </c>
      <c r="E129" s="1">
        <v>20</v>
      </c>
      <c r="F129" s="1">
        <v>7</v>
      </c>
      <c r="G129" s="1" t="s">
        <v>21</v>
      </c>
      <c r="H129" s="1" t="s">
        <v>23</v>
      </c>
      <c r="I129" s="1" t="s">
        <v>24</v>
      </c>
      <c r="J129" s="1">
        <v>2</v>
      </c>
      <c r="K129" s="1" t="s">
        <v>22</v>
      </c>
      <c r="L129" s="1">
        <v>213.360004</v>
      </c>
      <c r="M129" s="1">
        <v>213.36</v>
      </c>
      <c r="N129" s="2">
        <f t="shared" si="3"/>
        <v>1.8747656144124231E-8</v>
      </c>
      <c r="O129" s="1" t="s">
        <v>125</v>
      </c>
      <c r="P129" s="4">
        <v>18.52</v>
      </c>
      <c r="Q129" s="5">
        <v>4.7000357881188393E-6</v>
      </c>
    </row>
    <row r="130" spans="1:17">
      <c r="A130" s="1" t="s">
        <v>53</v>
      </c>
      <c r="B130" s="1">
        <v>7</v>
      </c>
      <c r="C130" s="1">
        <v>1</v>
      </c>
      <c r="D130" s="1" t="s">
        <v>21</v>
      </c>
      <c r="E130" s="1">
        <v>5</v>
      </c>
      <c r="F130" s="1">
        <v>0</v>
      </c>
      <c r="G130" s="1" t="s">
        <v>21</v>
      </c>
      <c r="H130" s="1" t="s">
        <v>23</v>
      </c>
      <c r="I130" s="1" t="s">
        <v>24</v>
      </c>
      <c r="J130" s="1">
        <v>3</v>
      </c>
      <c r="K130" s="1" t="s">
        <v>21</v>
      </c>
      <c r="L130" s="1">
        <v>100.799997</v>
      </c>
      <c r="M130" s="1">
        <v>100.8</v>
      </c>
      <c r="N130" s="2">
        <f t="shared" ref="N130:N161" si="4">ABS(M130-L130)/L130</f>
        <v>2.9761905572534174E-8</v>
      </c>
      <c r="O130" s="1" t="s">
        <v>125</v>
      </c>
      <c r="P130" s="4">
        <v>18.82</v>
      </c>
      <c r="Q130" s="5">
        <v>4.5000342652201653E-6</v>
      </c>
    </row>
    <row r="131" spans="1:17">
      <c r="A131" s="1" t="s">
        <v>54</v>
      </c>
      <c r="B131" s="1">
        <v>8</v>
      </c>
      <c r="C131" s="1">
        <v>7</v>
      </c>
      <c r="D131" s="1" t="s">
        <v>21</v>
      </c>
      <c r="E131" s="1">
        <v>6</v>
      </c>
      <c r="F131" s="1">
        <v>4</v>
      </c>
      <c r="G131" s="1" t="s">
        <v>21</v>
      </c>
      <c r="H131" s="1" t="s">
        <v>23</v>
      </c>
      <c r="I131" s="1" t="s">
        <v>24</v>
      </c>
      <c r="J131" s="1">
        <v>2</v>
      </c>
      <c r="K131" s="1" t="s">
        <v>21</v>
      </c>
      <c r="L131" s="1">
        <v>80.639996999999994</v>
      </c>
      <c r="M131" s="1">
        <v>80.64</v>
      </c>
      <c r="N131" s="2">
        <f t="shared" si="4"/>
        <v>3.7202382418697055E-8</v>
      </c>
      <c r="O131" s="1" t="s">
        <v>125</v>
      </c>
      <c r="P131" s="4">
        <v>19.05</v>
      </c>
      <c r="Q131" s="5">
        <v>4.3999752961099148E-6</v>
      </c>
    </row>
    <row r="132" spans="1:17">
      <c r="A132" s="1" t="s">
        <v>55</v>
      </c>
      <c r="B132" s="1">
        <v>16</v>
      </c>
      <c r="C132" s="1">
        <v>8</v>
      </c>
      <c r="D132" s="1" t="s">
        <v>22</v>
      </c>
      <c r="E132" s="1">
        <v>20</v>
      </c>
      <c r="F132" s="1">
        <v>18</v>
      </c>
      <c r="G132" s="1" t="s">
        <v>21</v>
      </c>
      <c r="H132" s="1" t="s">
        <v>23</v>
      </c>
      <c r="I132" s="1" t="s">
        <v>24</v>
      </c>
      <c r="J132" s="1">
        <v>0</v>
      </c>
      <c r="K132" s="1" t="s">
        <v>22</v>
      </c>
      <c r="L132" s="1">
        <v>19.600000000000001</v>
      </c>
      <c r="M132" s="1">
        <v>20.440000000000001</v>
      </c>
      <c r="N132" s="2">
        <f t="shared" si="4"/>
        <v>4.2857142857142844E-2</v>
      </c>
      <c r="O132" s="1" t="s">
        <v>125</v>
      </c>
      <c r="P132" s="4">
        <v>18.510000000000002</v>
      </c>
      <c r="Q132" s="5">
        <v>4.5000342652201653E-6</v>
      </c>
    </row>
    <row r="133" spans="1:17">
      <c r="A133" s="1" t="s">
        <v>56</v>
      </c>
      <c r="B133" s="1">
        <v>5</v>
      </c>
      <c r="C133" s="1">
        <v>1</v>
      </c>
      <c r="D133" s="1" t="s">
        <v>21</v>
      </c>
      <c r="E133" s="1">
        <v>12</v>
      </c>
      <c r="F133" s="1">
        <v>7</v>
      </c>
      <c r="G133" s="1" t="s">
        <v>22</v>
      </c>
      <c r="H133" s="1" t="s">
        <v>23</v>
      </c>
      <c r="I133" s="1" t="s">
        <v>24</v>
      </c>
      <c r="J133" s="1">
        <v>6</v>
      </c>
      <c r="K133" s="1" t="s">
        <v>21</v>
      </c>
      <c r="L133" s="1">
        <v>253.679992</v>
      </c>
      <c r="M133" s="1">
        <v>246.96</v>
      </c>
      <c r="N133" s="2">
        <f t="shared" si="4"/>
        <v>2.6490035524756681E-2</v>
      </c>
      <c r="O133" s="1" t="s">
        <v>125</v>
      </c>
      <c r="P133" s="4">
        <v>18.899999999999999</v>
      </c>
      <c r="Q133" s="5">
        <v>4.8999791033565998E-6</v>
      </c>
    </row>
    <row r="134" spans="1:17">
      <c r="A134" s="1" t="s">
        <v>57</v>
      </c>
      <c r="B134" s="1">
        <v>16</v>
      </c>
      <c r="C134" s="1">
        <v>0</v>
      </c>
      <c r="D134" s="1" t="s">
        <v>21</v>
      </c>
      <c r="E134" s="1">
        <v>5</v>
      </c>
      <c r="F134" s="1">
        <v>0</v>
      </c>
      <c r="G134" s="1" t="s">
        <v>21</v>
      </c>
      <c r="H134" s="1" t="s">
        <v>23</v>
      </c>
      <c r="I134" s="1" t="s">
        <v>24</v>
      </c>
      <c r="J134" s="1">
        <v>0</v>
      </c>
      <c r="K134" s="1" t="s">
        <v>21</v>
      </c>
      <c r="L134" s="1">
        <v>5.6</v>
      </c>
      <c r="M134" s="1">
        <v>5.6</v>
      </c>
      <c r="N134" s="2">
        <f t="shared" si="4"/>
        <v>0</v>
      </c>
      <c r="O134" s="1" t="s">
        <v>125</v>
      </c>
      <c r="P134" s="4">
        <v>18.739999999999998</v>
      </c>
      <c r="Q134" s="5">
        <v>4.4999760575592518E-6</v>
      </c>
    </row>
    <row r="135" spans="1:17">
      <c r="A135" s="1" t="s">
        <v>58</v>
      </c>
      <c r="B135" s="1">
        <v>14</v>
      </c>
      <c r="C135" s="1">
        <v>8</v>
      </c>
      <c r="D135" s="1" t="s">
        <v>22</v>
      </c>
      <c r="E135" s="1">
        <v>18</v>
      </c>
      <c r="F135" s="1">
        <v>13</v>
      </c>
      <c r="G135" s="1" t="s">
        <v>21</v>
      </c>
      <c r="H135" s="1" t="s">
        <v>23</v>
      </c>
      <c r="I135" s="1" t="s">
        <v>24</v>
      </c>
      <c r="J135" s="1">
        <v>4</v>
      </c>
      <c r="K135" s="1" t="s">
        <v>22</v>
      </c>
      <c r="L135" s="1">
        <v>309.96000600000002</v>
      </c>
      <c r="M135" s="1">
        <v>309.95999999999998</v>
      </c>
      <c r="N135" s="2">
        <f t="shared" si="4"/>
        <v>1.9357336190317646E-8</v>
      </c>
      <c r="O135" s="1" t="s">
        <v>125</v>
      </c>
      <c r="P135" s="4">
        <v>19.14</v>
      </c>
      <c r="Q135" s="5">
        <v>4.4999760575592518E-6</v>
      </c>
    </row>
    <row r="136" spans="1:17">
      <c r="A136" s="1" t="s">
        <v>59</v>
      </c>
      <c r="B136" s="1">
        <v>6</v>
      </c>
      <c r="C136" s="1">
        <v>1</v>
      </c>
      <c r="D136" s="1" t="s">
        <v>21</v>
      </c>
      <c r="E136" s="1">
        <v>10</v>
      </c>
      <c r="F136" s="1">
        <v>2</v>
      </c>
      <c r="G136" s="1" t="s">
        <v>22</v>
      </c>
      <c r="H136" s="1" t="s">
        <v>23</v>
      </c>
      <c r="I136" s="1" t="s">
        <v>24</v>
      </c>
      <c r="J136" s="1">
        <v>6</v>
      </c>
      <c r="K136" s="1" t="s">
        <v>22</v>
      </c>
      <c r="L136" s="1">
        <v>318.360006</v>
      </c>
      <c r="M136" s="1">
        <v>318.36</v>
      </c>
      <c r="N136" s="2">
        <f t="shared" si="4"/>
        <v>1.8846588364656132E-8</v>
      </c>
      <c r="O136" s="1" t="s">
        <v>125</v>
      </c>
      <c r="P136" s="4">
        <v>19.079999999999998</v>
      </c>
      <c r="Q136" s="5">
        <v>4.6000350266695023E-6</v>
      </c>
    </row>
    <row r="137" spans="1:17">
      <c r="A137" s="1" t="s">
        <v>60</v>
      </c>
      <c r="B137" s="1">
        <v>16</v>
      </c>
      <c r="C137" s="1">
        <v>8</v>
      </c>
      <c r="D137" s="1" t="s">
        <v>21</v>
      </c>
      <c r="E137" s="1">
        <v>32</v>
      </c>
      <c r="F137" s="1">
        <v>21</v>
      </c>
      <c r="G137" s="1" t="s">
        <v>21</v>
      </c>
      <c r="H137" s="1" t="s">
        <v>23</v>
      </c>
      <c r="I137" s="1" t="s">
        <v>24</v>
      </c>
      <c r="J137" s="1">
        <v>6</v>
      </c>
      <c r="K137" s="1" t="s">
        <v>21</v>
      </c>
      <c r="L137" s="1">
        <v>800.51997600000004</v>
      </c>
      <c r="M137" s="1">
        <v>777</v>
      </c>
      <c r="N137" s="2">
        <f t="shared" si="4"/>
        <v>2.9380873313772298E-2</v>
      </c>
      <c r="O137" s="1" t="s">
        <v>125</v>
      </c>
      <c r="P137" s="4">
        <v>19.21</v>
      </c>
      <c r="Q137" s="5">
        <v>5.1999813877046108E-6</v>
      </c>
    </row>
    <row r="138" spans="1:17">
      <c r="A138" s="1" t="s">
        <v>61</v>
      </c>
      <c r="B138" s="1">
        <v>24</v>
      </c>
      <c r="C138" s="1">
        <v>13</v>
      </c>
      <c r="D138" s="1" t="s">
        <v>22</v>
      </c>
      <c r="E138" s="1">
        <v>12</v>
      </c>
      <c r="F138" s="1">
        <v>5</v>
      </c>
      <c r="G138" s="1" t="s">
        <v>21</v>
      </c>
      <c r="H138" s="1" t="s">
        <v>23</v>
      </c>
      <c r="I138" s="1" t="s">
        <v>24</v>
      </c>
      <c r="J138" s="1">
        <v>0</v>
      </c>
      <c r="K138" s="1" t="s">
        <v>21</v>
      </c>
      <c r="L138" s="1">
        <v>13.44</v>
      </c>
      <c r="M138" s="1">
        <v>13.44</v>
      </c>
      <c r="N138" s="2">
        <f t="shared" si="4"/>
        <v>0</v>
      </c>
      <c r="O138" s="1" t="s">
        <v>125</v>
      </c>
      <c r="P138" s="4">
        <v>18.57</v>
      </c>
      <c r="Q138" s="5">
        <v>6.9999950937926769E-6</v>
      </c>
    </row>
    <row r="139" spans="1:17">
      <c r="A139" s="1" t="s">
        <v>62</v>
      </c>
      <c r="B139" s="1">
        <v>9</v>
      </c>
      <c r="C139" s="1">
        <v>3</v>
      </c>
      <c r="D139" s="1" t="s">
        <v>22</v>
      </c>
      <c r="E139" s="1">
        <v>18</v>
      </c>
      <c r="F139" s="1">
        <v>15</v>
      </c>
      <c r="G139" s="1" t="s">
        <v>22</v>
      </c>
      <c r="H139" s="1" t="s">
        <v>23</v>
      </c>
      <c r="I139" s="1" t="s">
        <v>24</v>
      </c>
      <c r="J139" s="1">
        <v>0</v>
      </c>
      <c r="K139" s="1" t="s">
        <v>22</v>
      </c>
      <c r="L139" s="1">
        <v>16.8</v>
      </c>
      <c r="M139" s="1">
        <v>16.8</v>
      </c>
      <c r="N139" s="2">
        <f t="shared" si="4"/>
        <v>0</v>
      </c>
      <c r="O139" s="1" t="s">
        <v>125</v>
      </c>
      <c r="P139" s="4">
        <v>18.43</v>
      </c>
      <c r="Q139" s="5">
        <v>5.4999836720526218E-6</v>
      </c>
    </row>
    <row r="140" spans="1:17">
      <c r="A140" s="1" t="s">
        <v>63</v>
      </c>
      <c r="B140" s="1">
        <v>10</v>
      </c>
      <c r="C140" s="1">
        <v>9</v>
      </c>
      <c r="D140" s="1" t="s">
        <v>22</v>
      </c>
      <c r="E140" s="1">
        <v>7</v>
      </c>
      <c r="F140" s="1">
        <v>2</v>
      </c>
      <c r="G140" s="1" t="s">
        <v>21</v>
      </c>
      <c r="H140" s="1" t="s">
        <v>23</v>
      </c>
      <c r="I140" s="1" t="s">
        <v>24</v>
      </c>
      <c r="J140" s="1">
        <v>6</v>
      </c>
      <c r="K140" s="1" t="s">
        <v>22</v>
      </c>
      <c r="L140" s="1">
        <v>109.200002</v>
      </c>
      <c r="M140" s="1">
        <v>109.2</v>
      </c>
      <c r="N140" s="2">
        <f t="shared" si="4"/>
        <v>1.831501793333745E-8</v>
      </c>
      <c r="O140" s="1" t="s">
        <v>125</v>
      </c>
      <c r="P140" s="4">
        <v>18.510000000000002</v>
      </c>
      <c r="Q140" s="5">
        <v>4.6999775804579258E-6</v>
      </c>
    </row>
    <row r="141" spans="1:17">
      <c r="A141" s="1" t="s">
        <v>64</v>
      </c>
      <c r="B141" s="1">
        <v>24</v>
      </c>
      <c r="C141" s="1">
        <v>0</v>
      </c>
      <c r="D141" s="1" t="s">
        <v>22</v>
      </c>
      <c r="E141" s="1">
        <v>14</v>
      </c>
      <c r="F141" s="1">
        <v>12</v>
      </c>
      <c r="G141" s="1" t="s">
        <v>21</v>
      </c>
      <c r="H141" s="1" t="s">
        <v>23</v>
      </c>
      <c r="I141" s="1" t="s">
        <v>24</v>
      </c>
      <c r="J141" s="1">
        <v>0</v>
      </c>
      <c r="K141" s="1" t="s">
        <v>22</v>
      </c>
      <c r="L141" s="1">
        <v>12.32</v>
      </c>
      <c r="M141" s="1">
        <v>13.16</v>
      </c>
      <c r="N141" s="2">
        <f t="shared" si="4"/>
        <v>6.8181818181818163E-2</v>
      </c>
      <c r="O141" s="1" t="s">
        <v>125</v>
      </c>
      <c r="P141" s="4">
        <v>18.73</v>
      </c>
      <c r="Q141" s="5">
        <v>4.5000342652201653E-6</v>
      </c>
    </row>
    <row r="142" spans="1:17">
      <c r="N142" s="6">
        <f>AVERAGE(N2:N141)</f>
        <v>3.9551380586737607E-3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7.1640625" customWidth="1"/>
    <col min="2" max="2" width="9.75" customWidth="1"/>
    <col min="3" max="3" width="11.9140625" customWidth="1"/>
    <col min="4" max="4" width="9.75" customWidth="1"/>
    <col min="5" max="5" width="11.9140625" customWidth="1"/>
    <col min="6" max="6" width="7.9140625" customWidth="1"/>
    <col min="7" max="7" width="10.1640625" customWidth="1"/>
  </cols>
  <sheetData>
    <row r="1" spans="1:7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</row>
    <row r="2" spans="1:7">
      <c r="A2" s="1" t="s">
        <v>202</v>
      </c>
      <c r="B2" s="1">
        <f>COUNTIF(Add!$R$2:$R$161,"basic")</f>
        <v>100</v>
      </c>
      <c r="C2" s="2">
        <f>IFERROR(AVERAGEIFS(Add!$Q$2:$Q$161,Add!$R$2:$R$161,"basic"),"-")</f>
        <v>4.6194468537560505E-2</v>
      </c>
      <c r="D2" s="1">
        <f>COUNTIF(Add!$R$2:$R$161,"extra")</f>
        <v>60</v>
      </c>
      <c r="E2" s="2">
        <f>IFERROR(AVERAGEIFS(Add!$Q$2:$Q$161,Add!$R$2:$R$161,"extra"),"-")</f>
        <v>4.7865494173228273E-2</v>
      </c>
      <c r="F2" s="1">
        <f>COUNTA(Add!$A$2:$A$161)</f>
        <v>160</v>
      </c>
      <c r="G2" s="2">
        <f>IFERROR(AVERAGE(Add!$Q$2:$Q$161),"-")</f>
        <v>4.6821103150935933E-2</v>
      </c>
    </row>
    <row r="3" spans="1:7">
      <c r="A3" s="1" t="s">
        <v>203</v>
      </c>
      <c r="B3" s="1">
        <f>COUNTIF(Sub!$R$2:$R$161,"basic")</f>
        <v>100</v>
      </c>
      <c r="C3" s="2">
        <f>IFERROR(AVERAGEIFS(Sub!$Q$2:$Q$161,Sub!$R$2:$R$161,"basic"),"-")</f>
        <v>4.1248306516015597E-2</v>
      </c>
      <c r="D3" s="1">
        <f>COUNTIF(Sub!$R$2:$R$161,"extra")</f>
        <v>60</v>
      </c>
      <c r="E3" s="2">
        <f>IFERROR(AVERAGEIFS(Sub!$Q$2:$Q$161,Sub!$R$2:$R$161,"extra"),"-")</f>
        <v>5.3989789373199398E-2</v>
      </c>
      <c r="F3" s="1">
        <f>COUNTA(Sub!$A$2:$A$161)</f>
        <v>160</v>
      </c>
      <c r="G3" s="2">
        <f>IFERROR(AVERAGE(Sub!$Q$2:$Q$161),"-")</f>
        <v>4.602636258745952E-2</v>
      </c>
    </row>
    <row r="4" spans="1:7">
      <c r="A4" s="1" t="s">
        <v>204</v>
      </c>
      <c r="B4" s="1">
        <f>COUNTIF(Mul!$R$2:$R$231,"basic")</f>
        <v>100</v>
      </c>
      <c r="C4" s="2">
        <f>IFERROR(AVERAGEIFS(Mul!$Q$2:$Q$231,Mul!$R$2:$R$231,"basic"),"-")</f>
        <v>3.0854190735890238E-2</v>
      </c>
      <c r="D4" s="1">
        <f>COUNTIF(Mul!$R$2:$R$231,"extra")</f>
        <v>130</v>
      </c>
      <c r="E4" s="2">
        <f>IFERROR(AVERAGEIFS(Mul!$Q$2:$Q$231,Mul!$R$2:$R$231,"extra"),"-")</f>
        <v>0.10174980583752034</v>
      </c>
      <c r="F4" s="1">
        <f>COUNTA(Mul!$A$2:$A$231)</f>
        <v>230</v>
      </c>
      <c r="G4" s="2">
        <f>IFERROR(AVERAGE(Mul!$Q$2:$Q$231),"-")</f>
        <v>7.0925625358550737E-2</v>
      </c>
    </row>
    <row r="5" spans="1:7">
      <c r="A5" s="1" t="s">
        <v>205</v>
      </c>
      <c r="B5" s="1">
        <f>COUNTIF(Delay!$H$2:$H$101,"basic")</f>
        <v>100</v>
      </c>
      <c r="C5" s="2">
        <f>IFERROR(AVERAGEIFS(Delay!$G$2:$G$101,Delay!$H$2:$H$101,"basic"),"-")</f>
        <v>1.5673273858325758E-8</v>
      </c>
      <c r="D5" s="1">
        <f>COUNTIF(Delay!$H$2:$H$101,"extra")</f>
        <v>0</v>
      </c>
      <c r="E5" s="2" t="str">
        <f>IFERROR(AVERAGEIFS(Delay!$G$2:$G$101,Delay!$H$2:$H$101,"extra"),"-")</f>
        <v>-</v>
      </c>
      <c r="F5" s="1">
        <f>COUNTA(Delay!$A$2:$A$101)</f>
        <v>100</v>
      </c>
      <c r="G5" s="2">
        <f>IFERROR(AVERAGE(Delay!$G$2:$G$101),"-")</f>
        <v>1.5673273858325758E-8</v>
      </c>
    </row>
    <row r="6" spans="1:7">
      <c r="A6" s="1" t="s">
        <v>206</v>
      </c>
      <c r="B6" s="1">
        <f>COUNTIF(FxMatch!$O$2:$O$141,"basic")</f>
        <v>100</v>
      </c>
      <c r="C6" s="2">
        <f>IFERROR(AVERAGEIFS(FxMatch!$N$2:$N$141,FxMatch!$O$2:$O$141,"basic"),"-")</f>
        <v>2.770621658375294E-3</v>
      </c>
      <c r="D6" s="1">
        <f>COUNTIF(FxMatch!$O$2:$O$141,"extra")</f>
        <v>40</v>
      </c>
      <c r="E6" s="2">
        <f>IFERROR(AVERAGEIFS(FxMatch!$N$2:$N$141,FxMatch!$O$2:$O$141,"extra"),"-")</f>
        <v>6.9164290594199247E-3</v>
      </c>
      <c r="F6" s="1">
        <f>COUNTA(FxMatch!$A$2:$A$141)</f>
        <v>140</v>
      </c>
      <c r="G6" s="2">
        <f>IFERROR(AVERAGE(FxMatch!$N$2:$N$141),"-")</f>
        <v>3.9551380586737607E-3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Add</vt:lpstr>
      <vt:lpstr>Sub</vt:lpstr>
      <vt:lpstr>Mul</vt:lpstr>
      <vt:lpstr>Delay</vt:lpstr>
      <vt:lpstr>FxMatch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晶杰 马</cp:lastModifiedBy>
  <dcterms:created xsi:type="dcterms:W3CDTF">2026-09-29T15:19:57Z</dcterms:created>
  <dcterms:modified xsi:type="dcterms:W3CDTF">2026-09-29T16:29:09Z</dcterms:modified>
</cp:coreProperties>
</file>