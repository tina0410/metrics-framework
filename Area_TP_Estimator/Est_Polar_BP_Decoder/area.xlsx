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课题组指标评估（9，10月完成）\Area_TP_Estimator\Est_Polar_BP_Decoder\"/>
    </mc:Choice>
  </mc:AlternateContent>
  <xr:revisionPtr revIDLastSave="0" documentId="8_{7FD6F954-D4E3-402B-9DE2-BB770BE37414}" xr6:coauthVersionLast="47" xr6:coauthVersionMax="47" xr10:uidLastSave="{00000000-0000-0000-0000-000000000000}"/>
  <bookViews>
    <workbookView xWindow="340" yWindow="380" windowWidth="25260" windowHeight="13720" xr2:uid="{A210109B-033D-4A8B-BC1F-43130CDB502E}"/>
  </bookViews>
  <sheets>
    <sheet name="BP" sheetId="1" r:id="rId1"/>
  </sheets>
  <definedNames>
    <definedName name="_xlnm._FilterDatabase" localSheetId="0" hidden="1">BP!$A$1:$R$198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8" i="1" l="1"/>
  <c r="F197" i="1"/>
  <c r="K196" i="1"/>
  <c r="F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L2" i="1"/>
  <c r="I2" i="1"/>
  <c r="I196" i="1" s="1"/>
</calcChain>
</file>

<file path=xl/sharedStrings.xml><?xml version="1.0" encoding="utf-8"?>
<sst xmlns="http://schemas.openxmlformats.org/spreadsheetml/2006/main" count="401" uniqueCount="16">
  <si>
    <t>width</t>
    <phoneticPr fontId="2" type="noConversion"/>
  </si>
  <si>
    <t>N</t>
    <phoneticPr fontId="2" type="noConversion"/>
  </si>
  <si>
    <t>M</t>
    <phoneticPr fontId="2" type="noConversion"/>
  </si>
  <si>
    <t>archi</t>
    <phoneticPr fontId="2" type="noConversion"/>
  </si>
  <si>
    <t>algo</t>
    <phoneticPr fontId="2" type="noConversion"/>
  </si>
  <si>
    <t>cells</t>
    <phoneticPr fontId="2" type="noConversion"/>
  </si>
  <si>
    <r>
      <t>dc</t>
    </r>
    <r>
      <rPr>
        <b/>
        <sz val="11"/>
        <color theme="1"/>
        <rFont val="宋体"/>
        <family val="3"/>
        <charset val="134"/>
      </rPr>
      <t>综合面积</t>
    </r>
    <phoneticPr fontId="2" type="noConversion"/>
  </si>
  <si>
    <r>
      <rPr>
        <b/>
        <sz val="11"/>
        <color theme="1"/>
        <rFont val="宋体"/>
        <family val="3"/>
        <charset val="134"/>
      </rPr>
      <t>自动评估结果</t>
    </r>
    <phoneticPr fontId="2" type="noConversion"/>
  </si>
  <si>
    <r>
      <rPr>
        <b/>
        <sz val="11"/>
        <color theme="1"/>
        <rFont val="宋体"/>
        <family val="3"/>
        <charset val="134"/>
      </rPr>
      <t>误差</t>
    </r>
    <phoneticPr fontId="2" type="noConversion"/>
  </si>
  <si>
    <t>time</t>
    <phoneticPr fontId="2" type="noConversion"/>
  </si>
  <si>
    <t>Est_time</t>
    <phoneticPr fontId="2" type="noConversion"/>
  </si>
  <si>
    <t>rsq</t>
    <phoneticPr fontId="2" type="noConversion"/>
  </si>
  <si>
    <t>dat</t>
    <phoneticPr fontId="2" type="noConversion"/>
  </si>
  <si>
    <t>TypeI</t>
    <phoneticPr fontId="2" type="noConversion"/>
  </si>
  <si>
    <t>MS</t>
    <phoneticPr fontId="2" type="noConversion"/>
  </si>
  <si>
    <t>SMS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</si>
</sst>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85C9-5302-4220-94A2-2C6B366FC05C}">
  <dimension ref="A1:T198"/>
  <sheetViews>
    <sheetView tabSelected="1" topLeftCell="D1" workbookViewId="0">
      <selection activeCell="Q4" sqref="Q4"/>
    </sheetView>
  </sheetViews>
  <sheetFormatPr defaultColWidth="8.9140625" defaultRowHeight="14" x14ac:dyDescent="0.3"/>
  <cols>
    <col min="1" max="6" width="8.9140625" style="2"/>
    <col min="7" max="7" width="14.4140625" style="2" customWidth="1"/>
    <col min="8" max="8" width="15.25" style="2" customWidth="1"/>
    <col min="9" max="9" width="10.33203125" style="2" customWidth="1"/>
    <col min="10" max="10" width="12.33203125" style="2" customWidth="1"/>
    <col min="11" max="11" width="11.58203125" style="2" customWidth="1"/>
    <col min="12" max="12" width="8.9140625" style="2"/>
    <col min="13" max="13" width="12.75" style="2" customWidth="1"/>
    <col min="14" max="14" width="11" style="2" customWidth="1"/>
    <col min="15" max="15" width="12.58203125" style="2" customWidth="1"/>
    <col min="16" max="16" width="8.9140625" style="2"/>
    <col min="17" max="17" width="10.6640625" style="2" customWidth="1"/>
    <col min="18" max="18" width="10.33203125" style="2" customWidth="1"/>
    <col min="19" max="19" width="10.75" style="2" customWidth="1"/>
    <col min="20" max="16384" width="8.9140625" style="2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0" x14ac:dyDescent="0.3">
      <c r="A2" s="2">
        <v>5</v>
      </c>
      <c r="B2" s="2">
        <v>2048</v>
      </c>
      <c r="C2" s="2">
        <v>16</v>
      </c>
      <c r="D2" s="2" t="s">
        <v>13</v>
      </c>
      <c r="E2" s="2" t="s">
        <v>14</v>
      </c>
      <c r="F2" s="2">
        <v>312944</v>
      </c>
      <c r="G2" s="2">
        <v>1191218.832778</v>
      </c>
      <c r="H2" s="2">
        <v>1372583.8650030501</v>
      </c>
      <c r="I2" s="2">
        <f>ABS(G2-H2)/G2</f>
        <v>0.15225164951606326</v>
      </c>
      <c r="J2" s="2">
        <v>9556.0795450210499</v>
      </c>
      <c r="K2" s="2">
        <v>4.56600000688922E-4</v>
      </c>
      <c r="L2" s="2">
        <f>RSQ(G2:G195,H2:H195)</f>
        <v>0.67501905509857152</v>
      </c>
      <c r="M2" s="2">
        <v>0</v>
      </c>
    </row>
    <row r="3" spans="1:20" x14ac:dyDescent="0.3">
      <c r="A3" s="2">
        <v>5</v>
      </c>
      <c r="B3" s="2">
        <v>2048</v>
      </c>
      <c r="C3" s="2">
        <v>16</v>
      </c>
      <c r="D3" s="2" t="s">
        <v>13</v>
      </c>
      <c r="E3" s="2" t="s">
        <v>15</v>
      </c>
      <c r="F3" s="2">
        <v>317583</v>
      </c>
      <c r="G3" s="2">
        <v>1369904.7536909999</v>
      </c>
      <c r="H3" s="2">
        <v>1363947.19782926</v>
      </c>
      <c r="I3" s="2">
        <f t="shared" ref="I3:I66" si="0">ABS(G3-H3)/G3</f>
        <v>4.3488832677514109E-3</v>
      </c>
      <c r="J3" s="2">
        <v>6460.6973416805204</v>
      </c>
      <c r="K3" s="2">
        <v>4.3019999975513201E-4</v>
      </c>
      <c r="M3" s="2">
        <v>1.31</v>
      </c>
    </row>
    <row r="4" spans="1:20" x14ac:dyDescent="0.3">
      <c r="A4" s="2">
        <v>5</v>
      </c>
      <c r="B4" s="2">
        <v>2048</v>
      </c>
      <c r="C4" s="2">
        <v>32</v>
      </c>
      <c r="D4" s="2" t="s">
        <v>13</v>
      </c>
      <c r="E4" s="2" t="s">
        <v>14</v>
      </c>
      <c r="F4" s="2">
        <v>430196</v>
      </c>
      <c r="G4" s="2">
        <v>1368856.713526</v>
      </c>
      <c r="H4" s="2">
        <v>1362529.13800099</v>
      </c>
      <c r="I4" s="2">
        <f t="shared" si="0"/>
        <v>4.6225258366969458E-3</v>
      </c>
      <c r="J4" s="2">
        <v>6482.9570555686896</v>
      </c>
      <c r="K4" s="2">
        <v>4.2719999873952399E-4</v>
      </c>
      <c r="M4" s="2">
        <v>1.06</v>
      </c>
    </row>
    <row r="5" spans="1:20" x14ac:dyDescent="0.3">
      <c r="A5" s="2">
        <v>5</v>
      </c>
      <c r="B5" s="2">
        <v>2048</v>
      </c>
      <c r="C5" s="2">
        <v>32</v>
      </c>
      <c r="D5" s="2" t="s">
        <v>13</v>
      </c>
      <c r="E5" s="2" t="s">
        <v>15</v>
      </c>
      <c r="F5" s="2">
        <v>430543</v>
      </c>
      <c r="G5" s="2">
        <v>1190602.27244</v>
      </c>
      <c r="H5" s="2">
        <v>1363236.9780009901</v>
      </c>
      <c r="I5" s="2">
        <f t="shared" si="0"/>
        <v>0.14499779612144997</v>
      </c>
      <c r="J5" s="2">
        <v>9562.9749655723499</v>
      </c>
      <c r="K5" s="2">
        <v>4.2500000017753299E-4</v>
      </c>
      <c r="M5" s="2">
        <v>0</v>
      </c>
    </row>
    <row r="6" spans="1:20" x14ac:dyDescent="0.3">
      <c r="A6" s="2">
        <v>5</v>
      </c>
      <c r="B6" s="2">
        <v>2048</v>
      </c>
      <c r="C6" s="2">
        <v>64</v>
      </c>
      <c r="D6" s="2" t="s">
        <v>13</v>
      </c>
      <c r="E6" s="2" t="s">
        <v>14</v>
      </c>
      <c r="F6" s="2">
        <v>432511</v>
      </c>
      <c r="G6" s="2">
        <v>1379752.6327209999</v>
      </c>
      <c r="H6" s="2">
        <v>1371767.99600099</v>
      </c>
      <c r="I6" s="2">
        <f t="shared" si="0"/>
        <v>5.7870059680650175E-3</v>
      </c>
      <c r="J6" s="2">
        <v>6091.93908977508</v>
      </c>
      <c r="K6" s="2">
        <v>4.5039999895379803E-4</v>
      </c>
      <c r="M6" s="2">
        <v>0.83</v>
      </c>
    </row>
    <row r="7" spans="1:20" x14ac:dyDescent="0.3">
      <c r="A7" s="2">
        <v>5</v>
      </c>
      <c r="B7" s="2">
        <v>2048</v>
      </c>
      <c r="C7" s="2">
        <v>64</v>
      </c>
      <c r="D7" s="2" t="s">
        <v>13</v>
      </c>
      <c r="E7" s="2" t="s">
        <v>15</v>
      </c>
      <c r="F7" s="2">
        <v>433215</v>
      </c>
      <c r="G7" s="2">
        <v>1381544.912731</v>
      </c>
      <c r="H7" s="2">
        <v>1373183.67600099</v>
      </c>
      <c r="I7" s="2">
        <f t="shared" si="0"/>
        <v>6.0520918668375053E-3</v>
      </c>
      <c r="J7" s="2">
        <v>6038.0165722370102</v>
      </c>
      <c r="K7" s="2">
        <v>4.58399999843095E-4</v>
      </c>
      <c r="M7" s="2">
        <v>0.83</v>
      </c>
    </row>
    <row r="8" spans="1:20" x14ac:dyDescent="0.3">
      <c r="A8" s="2">
        <v>5</v>
      </c>
      <c r="B8" s="2">
        <v>2048</v>
      </c>
      <c r="C8" s="2">
        <v>128</v>
      </c>
      <c r="D8" s="2" t="s">
        <v>13</v>
      </c>
      <c r="E8" s="2" t="s">
        <v>14</v>
      </c>
      <c r="F8" s="2">
        <v>420599</v>
      </c>
      <c r="G8" s="2">
        <v>1386505.3912450001</v>
      </c>
      <c r="H8" s="2">
        <v>1387878.07399699</v>
      </c>
      <c r="I8" s="2">
        <f t="shared" si="0"/>
        <v>9.9003059105117158E-4</v>
      </c>
      <c r="J8" s="2">
        <v>5968.3924677371897</v>
      </c>
      <c r="K8" s="2">
        <v>5.5280000015045505E-4</v>
      </c>
      <c r="M8" s="2">
        <v>0.83</v>
      </c>
    </row>
    <row r="9" spans="1:20" x14ac:dyDescent="0.3">
      <c r="A9" s="2">
        <v>5</v>
      </c>
      <c r="B9" s="2">
        <v>2048</v>
      </c>
      <c r="C9" s="2">
        <v>128</v>
      </c>
      <c r="D9" s="2" t="s">
        <v>13</v>
      </c>
      <c r="E9" s="2" t="s">
        <v>15</v>
      </c>
      <c r="F9" s="2">
        <v>422005</v>
      </c>
      <c r="G9" s="2">
        <v>1390071.4712660001</v>
      </c>
      <c r="H9" s="2">
        <v>1390709.4339969901</v>
      </c>
      <c r="I9" s="2">
        <f t="shared" si="0"/>
        <v>4.5894239553668646E-4</v>
      </c>
      <c r="J9" s="2">
        <v>5583.2256093025198</v>
      </c>
      <c r="K9" s="2">
        <v>5.75500000195461E-4</v>
      </c>
      <c r="M9" s="2">
        <v>0.83</v>
      </c>
    </row>
    <row r="10" spans="1:20" x14ac:dyDescent="0.3">
      <c r="A10" s="2">
        <v>5</v>
      </c>
      <c r="B10" s="2">
        <v>2048</v>
      </c>
      <c r="C10" s="2">
        <v>256</v>
      </c>
      <c r="D10" s="2" t="s">
        <v>13</v>
      </c>
      <c r="E10" s="2" t="s">
        <v>14</v>
      </c>
      <c r="F10" s="2">
        <v>424124</v>
      </c>
      <c r="G10" s="2">
        <v>1247438.3473980001</v>
      </c>
      <c r="H10" s="2">
        <v>1419413.5319979901</v>
      </c>
      <c r="I10" s="2">
        <f t="shared" si="0"/>
        <v>0.13786267269938327</v>
      </c>
      <c r="J10" s="2">
        <v>5331.1546566486304</v>
      </c>
      <c r="K10" s="2">
        <v>6.6820000029110805E-4</v>
      </c>
      <c r="M10" s="2">
        <v>0.83</v>
      </c>
    </row>
    <row r="11" spans="1:20" s="3" customFormat="1" x14ac:dyDescent="0.3">
      <c r="A11" s="3">
        <v>5</v>
      </c>
      <c r="B11" s="3">
        <v>2048</v>
      </c>
      <c r="C11" s="3">
        <v>256</v>
      </c>
      <c r="D11" s="3" t="s">
        <v>13</v>
      </c>
      <c r="E11" s="3" t="s">
        <v>15</v>
      </c>
      <c r="F11" s="3">
        <v>426939</v>
      </c>
      <c r="G11" s="3">
        <v>1471647.5003800001</v>
      </c>
      <c r="H11" s="3">
        <v>1425076.2519979901</v>
      </c>
      <c r="I11" s="3">
        <f t="shared" si="0"/>
        <v>3.1645654526634051E-2</v>
      </c>
      <c r="J11" s="3">
        <v>5695.4383108615802</v>
      </c>
      <c r="K11" s="3">
        <v>7.0229999982984704E-4</v>
      </c>
      <c r="M11" s="3">
        <v>0.83</v>
      </c>
      <c r="T11" s="2"/>
    </row>
    <row r="12" spans="1:20" s="3" customFormat="1" x14ac:dyDescent="0.3">
      <c r="A12" s="3">
        <v>5</v>
      </c>
      <c r="B12" s="3">
        <v>2048</v>
      </c>
      <c r="C12" s="3">
        <v>512</v>
      </c>
      <c r="D12" s="3" t="s">
        <v>13</v>
      </c>
      <c r="E12" s="3" t="s">
        <v>14</v>
      </c>
      <c r="F12" s="3">
        <v>464748</v>
      </c>
      <c r="G12" s="3">
        <v>1526819.824389</v>
      </c>
      <c r="H12" s="3">
        <v>1478233.24999799</v>
      </c>
      <c r="I12" s="3">
        <f t="shared" si="0"/>
        <v>3.1822074625244841E-2</v>
      </c>
      <c r="J12" s="3">
        <v>6273.4093971252396</v>
      </c>
      <c r="K12" s="3">
        <v>8.77899999977671E-4</v>
      </c>
      <c r="M12" s="3">
        <v>0.83</v>
      </c>
      <c r="T12" s="2"/>
    </row>
    <row r="13" spans="1:20" s="3" customFormat="1" x14ac:dyDescent="0.3">
      <c r="A13" s="3">
        <v>5</v>
      </c>
      <c r="B13" s="3">
        <v>2048</v>
      </c>
      <c r="C13" s="3">
        <v>512</v>
      </c>
      <c r="D13" s="3" t="s">
        <v>13</v>
      </c>
      <c r="E13" s="3" t="s">
        <v>15</v>
      </c>
      <c r="F13" s="3">
        <v>470367</v>
      </c>
      <c r="G13" s="3">
        <v>1534546.4242390001</v>
      </c>
      <c r="H13" s="3">
        <v>1489558.6899979899</v>
      </c>
      <c r="I13" s="3">
        <f t="shared" si="0"/>
        <v>2.9316632934920889E-2</v>
      </c>
      <c r="J13" s="3">
        <v>7039.9455871582004</v>
      </c>
      <c r="K13" s="3">
        <v>8.9970000044559096E-4</v>
      </c>
      <c r="M13" s="3">
        <v>0.83</v>
      </c>
      <c r="T13" s="2"/>
    </row>
    <row r="14" spans="1:20" s="3" customFormat="1" x14ac:dyDescent="0.3">
      <c r="A14" s="3">
        <v>5</v>
      </c>
      <c r="B14" s="3">
        <v>2048</v>
      </c>
      <c r="C14" s="3">
        <v>1024</v>
      </c>
      <c r="D14" s="3" t="s">
        <v>13</v>
      </c>
      <c r="E14" s="3" t="s">
        <v>14</v>
      </c>
      <c r="F14" s="3">
        <v>548405</v>
      </c>
      <c r="G14" s="3">
        <v>1636501.1437289999</v>
      </c>
      <c r="H14" s="3">
        <v>1586194.9479979901</v>
      </c>
      <c r="I14" s="3">
        <f t="shared" si="0"/>
        <v>3.0740092008967389E-2</v>
      </c>
      <c r="J14" s="3">
        <v>8390.8995881080591</v>
      </c>
      <c r="K14" s="3">
        <v>1.2765000010404E-3</v>
      </c>
      <c r="M14" s="3">
        <v>0.83</v>
      </c>
      <c r="T14" s="2"/>
    </row>
    <row r="15" spans="1:20" s="3" customFormat="1" x14ac:dyDescent="0.3">
      <c r="A15" s="3">
        <v>5</v>
      </c>
      <c r="B15" s="3">
        <v>2048</v>
      </c>
      <c r="C15" s="3">
        <v>1024</v>
      </c>
      <c r="D15" s="3" t="s">
        <v>13</v>
      </c>
      <c r="E15" s="3" t="s">
        <v>15</v>
      </c>
      <c r="F15" s="3">
        <v>559666</v>
      </c>
      <c r="G15" s="3">
        <v>1651980.6634289999</v>
      </c>
      <c r="H15" s="3">
        <v>1608845.82799799</v>
      </c>
      <c r="I15" s="3">
        <f t="shared" si="0"/>
        <v>2.6110980827993135E-2</v>
      </c>
      <c r="J15" s="3">
        <v>6824.5692920684796</v>
      </c>
      <c r="K15" s="3">
        <v>1.1752000009437301E-3</v>
      </c>
      <c r="M15" s="3">
        <v>0.83</v>
      </c>
      <c r="T15" s="2"/>
    </row>
    <row r="16" spans="1:20" s="4" customFormat="1" x14ac:dyDescent="0.3">
      <c r="A16" s="4">
        <v>5</v>
      </c>
      <c r="B16" s="4">
        <v>2048</v>
      </c>
      <c r="C16" s="4">
        <v>2048</v>
      </c>
      <c r="D16" s="4" t="s">
        <v>13</v>
      </c>
      <c r="E16" s="4" t="s">
        <v>14</v>
      </c>
      <c r="F16" s="4">
        <v>69051</v>
      </c>
      <c r="G16" s="4">
        <v>93380.839787000004</v>
      </c>
      <c r="H16" s="4">
        <v>1765359.7549989901</v>
      </c>
      <c r="I16" s="4">
        <f t="shared" si="0"/>
        <v>17.904946229073797</v>
      </c>
      <c r="J16" s="4">
        <v>653.430586576461</v>
      </c>
      <c r="K16" s="4">
        <v>1.3754999999946399E-3</v>
      </c>
      <c r="M16" s="4">
        <v>0</v>
      </c>
      <c r="T16" s="2"/>
    </row>
    <row r="17" spans="1:13" x14ac:dyDescent="0.3">
      <c r="A17" s="2">
        <v>5</v>
      </c>
      <c r="B17" s="2">
        <v>2048</v>
      </c>
      <c r="C17" s="2">
        <v>2048</v>
      </c>
      <c r="D17" s="2" t="s">
        <v>13</v>
      </c>
      <c r="E17" s="2" t="s">
        <v>15</v>
      </c>
      <c r="F17" s="2">
        <v>712061</v>
      </c>
      <c r="G17" s="2">
        <v>1847550.5815369999</v>
      </c>
      <c r="H17" s="2">
        <v>1810661.5149989901</v>
      </c>
      <c r="I17" s="2">
        <f t="shared" si="0"/>
        <v>1.9966471774386457E-2</v>
      </c>
      <c r="J17" s="2">
        <v>67.0591268539428</v>
      </c>
      <c r="K17" s="2">
        <v>1.9964999992225698E-3</v>
      </c>
      <c r="M17" s="2">
        <v>0</v>
      </c>
    </row>
    <row r="18" spans="1:13" x14ac:dyDescent="0.3">
      <c r="A18" s="2">
        <v>2</v>
      </c>
      <c r="B18" s="2">
        <v>1024</v>
      </c>
      <c r="C18" s="2">
        <v>16</v>
      </c>
      <c r="D18" s="2" t="s">
        <v>13</v>
      </c>
      <c r="E18" s="2" t="s">
        <v>14</v>
      </c>
      <c r="F18" s="2">
        <v>73112</v>
      </c>
      <c r="G18" s="2">
        <v>249028.07921699999</v>
      </c>
      <c r="H18" s="2">
        <v>245196.20200099901</v>
      </c>
      <c r="I18" s="2">
        <f t="shared" si="0"/>
        <v>1.5387329927007679E-2</v>
      </c>
      <c r="J18" s="2">
        <v>360.46150875091502</v>
      </c>
      <c r="K18" s="2">
        <v>2.4719999964872797E-4</v>
      </c>
      <c r="M18" s="2">
        <v>0</v>
      </c>
    </row>
    <row r="19" spans="1:13" x14ac:dyDescent="0.3">
      <c r="A19" s="2">
        <v>2</v>
      </c>
      <c r="B19" s="2">
        <v>1024</v>
      </c>
      <c r="C19" s="2">
        <v>16</v>
      </c>
      <c r="D19" s="2" t="s">
        <v>13</v>
      </c>
      <c r="E19" s="2" t="s">
        <v>15</v>
      </c>
      <c r="F19" s="2">
        <v>45193</v>
      </c>
      <c r="G19" s="2">
        <v>148083.600022</v>
      </c>
      <c r="H19" s="2">
        <v>143411.68033433301</v>
      </c>
      <c r="I19" s="2">
        <f t="shared" si="0"/>
        <v>3.1549203875195539E-2</v>
      </c>
      <c r="J19" s="2">
        <v>362.70613694190899</v>
      </c>
      <c r="K19" s="2">
        <v>2.3560000045108601E-4</v>
      </c>
      <c r="M19" s="2">
        <v>0</v>
      </c>
    </row>
    <row r="20" spans="1:13" x14ac:dyDescent="0.3">
      <c r="A20" s="2">
        <v>3</v>
      </c>
      <c r="B20" s="2">
        <v>1024</v>
      </c>
      <c r="C20" s="2">
        <v>16</v>
      </c>
      <c r="D20" s="2" t="s">
        <v>13</v>
      </c>
      <c r="E20" s="2" t="s">
        <v>14</v>
      </c>
      <c r="F20" s="2">
        <v>107022</v>
      </c>
      <c r="G20" s="2">
        <v>373156.55864800001</v>
      </c>
      <c r="H20" s="2">
        <v>373231.67400100001</v>
      </c>
      <c r="I20" s="2">
        <f t="shared" si="0"/>
        <v>2.0129715332394211E-4</v>
      </c>
      <c r="J20" s="2">
        <v>834.10292124748196</v>
      </c>
      <c r="K20" s="2">
        <v>2.25699999646167E-4</v>
      </c>
      <c r="M20" s="2">
        <v>0.84</v>
      </c>
    </row>
    <row r="21" spans="1:13" x14ac:dyDescent="0.3">
      <c r="A21" s="2">
        <v>3</v>
      </c>
      <c r="B21" s="2">
        <v>1024</v>
      </c>
      <c r="C21" s="2">
        <v>16</v>
      </c>
      <c r="D21" s="2" t="s">
        <v>13</v>
      </c>
      <c r="E21" s="2" t="s">
        <v>15</v>
      </c>
      <c r="F21" s="2">
        <v>107110</v>
      </c>
      <c r="G21" s="2">
        <v>373774.79864699999</v>
      </c>
      <c r="H21" s="2">
        <v>373442.234001</v>
      </c>
      <c r="I21" s="2">
        <f t="shared" si="0"/>
        <v>8.8974603746376361E-4</v>
      </c>
      <c r="J21" s="2">
        <v>809.12559056281998</v>
      </c>
      <c r="K21" s="2">
        <v>2.2489999901154E-4</v>
      </c>
      <c r="M21" s="2">
        <v>0</v>
      </c>
    </row>
    <row r="22" spans="1:13" x14ac:dyDescent="0.3">
      <c r="A22" s="2">
        <v>2</v>
      </c>
      <c r="B22" s="2">
        <v>1024</v>
      </c>
      <c r="C22" s="2">
        <v>32</v>
      </c>
      <c r="D22" s="2" t="s">
        <v>13</v>
      </c>
      <c r="E22" s="2" t="s">
        <v>14</v>
      </c>
      <c r="F22" s="2">
        <v>72007</v>
      </c>
      <c r="G22" s="2">
        <v>248004.67930300001</v>
      </c>
      <c r="H22" s="2">
        <v>246333.556000999</v>
      </c>
      <c r="I22" s="2">
        <f t="shared" si="0"/>
        <v>6.738273272494647E-3</v>
      </c>
      <c r="J22" s="2">
        <v>324.47844076156599</v>
      </c>
      <c r="K22" s="2">
        <v>2.5350000032631198E-4</v>
      </c>
      <c r="M22" s="2">
        <v>0</v>
      </c>
    </row>
    <row r="23" spans="1:13" x14ac:dyDescent="0.3">
      <c r="A23" s="2">
        <v>2</v>
      </c>
      <c r="B23" s="2">
        <v>1024</v>
      </c>
      <c r="C23" s="2">
        <v>32</v>
      </c>
      <c r="D23" s="2" t="s">
        <v>13</v>
      </c>
      <c r="E23" s="2" t="s">
        <v>15</v>
      </c>
      <c r="F23" s="2">
        <v>44017</v>
      </c>
      <c r="G23" s="2">
        <v>145717.60003999999</v>
      </c>
      <c r="H23" s="2">
        <v>144001.16766766601</v>
      </c>
      <c r="I23" s="2">
        <f t="shared" si="0"/>
        <v>1.1779169927742496E-2</v>
      </c>
      <c r="J23" s="2">
        <v>334.44045972824</v>
      </c>
      <c r="K23" s="2">
        <v>2.64700000116135E-4</v>
      </c>
      <c r="M23" s="2">
        <v>0.88</v>
      </c>
    </row>
    <row r="24" spans="1:13" x14ac:dyDescent="0.3">
      <c r="A24" s="2">
        <v>3</v>
      </c>
      <c r="B24" s="2">
        <v>1024</v>
      </c>
      <c r="C24" s="2">
        <v>32</v>
      </c>
      <c r="D24" s="2" t="s">
        <v>13</v>
      </c>
      <c r="E24" s="2" t="s">
        <v>14</v>
      </c>
      <c r="F24" s="2">
        <v>108529</v>
      </c>
      <c r="G24" s="2">
        <v>374226.15861400001</v>
      </c>
      <c r="H24" s="2">
        <v>375655.316001</v>
      </c>
      <c r="I24" s="2">
        <f t="shared" si="0"/>
        <v>3.8189670981127379E-3</v>
      </c>
      <c r="J24" s="2">
        <v>776.322487354278</v>
      </c>
      <c r="K24" s="2">
        <v>2.4459999985992898E-4</v>
      </c>
      <c r="M24" s="2">
        <v>0.88</v>
      </c>
    </row>
    <row r="25" spans="1:13" x14ac:dyDescent="0.3">
      <c r="A25" s="2">
        <v>3</v>
      </c>
      <c r="B25" s="2">
        <v>1024</v>
      </c>
      <c r="C25" s="2">
        <v>32</v>
      </c>
      <c r="D25" s="2" t="s">
        <v>13</v>
      </c>
      <c r="E25" s="2" t="s">
        <v>15</v>
      </c>
      <c r="F25" s="2">
        <v>108374</v>
      </c>
      <c r="G25" s="2">
        <v>374578.39860900003</v>
      </c>
      <c r="H25" s="2">
        <v>376076.43600099999</v>
      </c>
      <c r="I25" s="2">
        <f t="shared" si="0"/>
        <v>3.9992626311686512E-3</v>
      </c>
      <c r="J25" s="2">
        <v>778.03406000137295</v>
      </c>
      <c r="K25" s="2">
        <v>2.42000000071129E-4</v>
      </c>
      <c r="M25" s="2">
        <v>0.88</v>
      </c>
    </row>
    <row r="26" spans="1:13" x14ac:dyDescent="0.3">
      <c r="A26" s="2">
        <v>4</v>
      </c>
      <c r="B26" s="2">
        <v>1024</v>
      </c>
      <c r="C26" s="2">
        <v>32</v>
      </c>
      <c r="D26" s="2" t="s">
        <v>13</v>
      </c>
      <c r="E26" s="2" t="s">
        <v>14</v>
      </c>
      <c r="F26" s="2">
        <v>151449</v>
      </c>
      <c r="G26" s="2">
        <v>507738.837825</v>
      </c>
      <c r="H26" s="2">
        <v>501209.39600100002</v>
      </c>
      <c r="I26" s="2">
        <f t="shared" si="0"/>
        <v>1.2859843166558103E-2</v>
      </c>
      <c r="J26" s="2">
        <v>1165.5845944881401</v>
      </c>
      <c r="K26" s="2">
        <v>2.3019999935058801E-4</v>
      </c>
      <c r="M26" s="2">
        <v>0.88</v>
      </c>
    </row>
    <row r="27" spans="1:13" x14ac:dyDescent="0.3">
      <c r="A27" s="2">
        <v>4</v>
      </c>
      <c r="B27" s="2">
        <v>1024</v>
      </c>
      <c r="C27" s="2">
        <v>32</v>
      </c>
      <c r="D27" s="2" t="s">
        <v>13</v>
      </c>
      <c r="E27" s="2" t="s">
        <v>15</v>
      </c>
      <c r="F27" s="2">
        <v>152025</v>
      </c>
      <c r="G27" s="2">
        <v>508419.797823</v>
      </c>
      <c r="H27" s="2">
        <v>501881.39600100002</v>
      </c>
      <c r="I27" s="2">
        <f t="shared" si="0"/>
        <v>1.2860242362702501E-2</v>
      </c>
      <c r="J27" s="2">
        <v>1532.1608674526201</v>
      </c>
      <c r="K27" s="2">
        <v>2.30899999223765E-4</v>
      </c>
      <c r="M27" s="2">
        <v>0.83</v>
      </c>
    </row>
    <row r="28" spans="1:13" x14ac:dyDescent="0.3">
      <c r="A28" s="2">
        <v>5</v>
      </c>
      <c r="B28" s="2">
        <v>1024</v>
      </c>
      <c r="C28" s="2">
        <v>32</v>
      </c>
      <c r="D28" s="2" t="s">
        <v>13</v>
      </c>
      <c r="E28" s="2" t="s">
        <v>14</v>
      </c>
      <c r="F28" s="2">
        <v>151002</v>
      </c>
      <c r="G28" s="2">
        <v>630419.43727400003</v>
      </c>
      <c r="H28" s="2">
        <v>631044.43600099999</v>
      </c>
      <c r="I28" s="2">
        <f t="shared" si="0"/>
        <v>9.9140142268222173E-4</v>
      </c>
      <c r="J28" s="2">
        <v>1696.7375199794701</v>
      </c>
      <c r="K28" s="2">
        <v>2.2639999951934401E-4</v>
      </c>
      <c r="M28" s="2">
        <v>0.88</v>
      </c>
    </row>
    <row r="29" spans="1:13" x14ac:dyDescent="0.3">
      <c r="A29" s="2">
        <v>5</v>
      </c>
      <c r="B29" s="2">
        <v>1024</v>
      </c>
      <c r="C29" s="2">
        <v>32</v>
      </c>
      <c r="D29" s="2" t="s">
        <v>13</v>
      </c>
      <c r="E29" s="2" t="s">
        <v>15</v>
      </c>
      <c r="F29" s="2">
        <v>200693</v>
      </c>
      <c r="G29" s="2">
        <v>631310.95727899997</v>
      </c>
      <c r="H29" s="2">
        <v>631752.27600099996</v>
      </c>
      <c r="I29" s="2">
        <f t="shared" si="0"/>
        <v>6.9905126294990167E-4</v>
      </c>
      <c r="J29" s="2">
        <v>1682.8763830661701</v>
      </c>
      <c r="K29" s="2">
        <v>2.52399999226327E-4</v>
      </c>
      <c r="M29" s="2">
        <v>0.88</v>
      </c>
    </row>
    <row r="30" spans="1:13" x14ac:dyDescent="0.3">
      <c r="A30" s="2">
        <v>6</v>
      </c>
      <c r="B30" s="2">
        <v>1024</v>
      </c>
      <c r="C30" s="2">
        <v>32</v>
      </c>
      <c r="D30" s="2" t="s">
        <v>13</v>
      </c>
      <c r="E30" s="2" t="s">
        <v>14</v>
      </c>
      <c r="F30" s="2">
        <v>182792</v>
      </c>
      <c r="G30" s="2">
        <v>752904.87670699996</v>
      </c>
      <c r="H30" s="2">
        <v>758319.47600099898</v>
      </c>
      <c r="I30" s="2">
        <f t="shared" si="0"/>
        <v>7.1916113994121029E-3</v>
      </c>
      <c r="J30" s="2">
        <v>3244.9576117992401</v>
      </c>
      <c r="K30" s="2">
        <v>2.25100000534439E-4</v>
      </c>
      <c r="M30" s="2">
        <v>0</v>
      </c>
    </row>
    <row r="31" spans="1:13" x14ac:dyDescent="0.3">
      <c r="A31" s="2">
        <v>6</v>
      </c>
      <c r="B31" s="2">
        <v>1024</v>
      </c>
      <c r="C31" s="2">
        <v>32</v>
      </c>
      <c r="D31" s="2" t="s">
        <v>13</v>
      </c>
      <c r="E31" s="2" t="s">
        <v>15</v>
      </c>
      <c r="F31" s="2">
        <v>239975</v>
      </c>
      <c r="G31" s="2">
        <v>754121.19670199999</v>
      </c>
      <c r="H31" s="2">
        <v>759170.67600099905</v>
      </c>
      <c r="I31" s="2">
        <f t="shared" si="0"/>
        <v>6.6958458681203592E-3</v>
      </c>
      <c r="J31" s="2">
        <v>3215.51496839523</v>
      </c>
      <c r="K31" s="2">
        <v>2.6120000075025002E-4</v>
      </c>
      <c r="M31" s="2">
        <v>0</v>
      </c>
    </row>
    <row r="32" spans="1:13" x14ac:dyDescent="0.3">
      <c r="A32" s="2">
        <v>7</v>
      </c>
      <c r="B32" s="2">
        <v>1024</v>
      </c>
      <c r="C32" s="2">
        <v>32</v>
      </c>
      <c r="D32" s="2" t="s">
        <v>13</v>
      </c>
      <c r="E32" s="2" t="s">
        <v>14</v>
      </c>
      <c r="F32" s="2">
        <v>282003</v>
      </c>
      <c r="G32" s="2">
        <v>872897.75617399998</v>
      </c>
      <c r="H32" s="2">
        <v>888652.116000999</v>
      </c>
      <c r="I32" s="2">
        <f t="shared" si="0"/>
        <v>1.8048344970036337E-2</v>
      </c>
      <c r="J32" s="2">
        <v>4698.4754924774097</v>
      </c>
      <c r="K32" s="2">
        <v>4.4650000018009401E-4</v>
      </c>
      <c r="M32" s="2">
        <v>1.0900000000000001</v>
      </c>
    </row>
    <row r="33" spans="1:20" x14ac:dyDescent="0.3">
      <c r="A33" s="2">
        <v>7</v>
      </c>
      <c r="B33" s="2">
        <v>1024</v>
      </c>
      <c r="C33" s="2">
        <v>32</v>
      </c>
      <c r="D33" s="2" t="s">
        <v>13</v>
      </c>
      <c r="E33" s="2" t="s">
        <v>15</v>
      </c>
      <c r="F33" s="2">
        <v>282563</v>
      </c>
      <c r="G33" s="2">
        <v>874430.19617100002</v>
      </c>
      <c r="H33" s="2">
        <v>889834.83600099897</v>
      </c>
      <c r="I33" s="2">
        <f t="shared" si="0"/>
        <v>1.7616774783686086E-2</v>
      </c>
      <c r="J33" s="2">
        <v>4488.3389456272098</v>
      </c>
      <c r="K33" s="2">
        <v>3.23100000969134E-4</v>
      </c>
      <c r="M33" s="2">
        <v>1.0900000000000001</v>
      </c>
    </row>
    <row r="34" spans="1:20" x14ac:dyDescent="0.3">
      <c r="A34" s="2">
        <v>8</v>
      </c>
      <c r="B34" s="2">
        <v>1024</v>
      </c>
      <c r="C34" s="2">
        <v>32</v>
      </c>
      <c r="D34" s="2" t="s">
        <v>13</v>
      </c>
      <c r="E34" s="2" t="s">
        <v>14</v>
      </c>
      <c r="F34" s="2">
        <v>317710</v>
      </c>
      <c r="G34" s="2">
        <v>990656.79560199997</v>
      </c>
      <c r="H34" s="2">
        <v>1015947.6360009999</v>
      </c>
      <c r="I34" s="2">
        <f t="shared" si="0"/>
        <v>2.5529366488251163E-2</v>
      </c>
      <c r="J34" s="2">
        <v>4401.11694908142</v>
      </c>
      <c r="K34" s="2">
        <v>2.3739999960525801E-4</v>
      </c>
      <c r="M34" s="2">
        <v>1.21</v>
      </c>
    </row>
    <row r="35" spans="1:20" x14ac:dyDescent="0.3">
      <c r="A35" s="2">
        <v>8</v>
      </c>
      <c r="B35" s="2">
        <v>1024</v>
      </c>
      <c r="C35" s="2">
        <v>32</v>
      </c>
      <c r="D35" s="2" t="s">
        <v>13</v>
      </c>
      <c r="E35" s="2" t="s">
        <v>15</v>
      </c>
      <c r="F35" s="2">
        <v>318414</v>
      </c>
      <c r="G35" s="2">
        <v>992426.39560499997</v>
      </c>
      <c r="H35" s="2">
        <v>1017139.316001</v>
      </c>
      <c r="I35" s="2">
        <f t="shared" si="0"/>
        <v>2.4901514616542032E-2</v>
      </c>
      <c r="J35" s="2">
        <v>4556.9292681217103</v>
      </c>
      <c r="K35" s="2">
        <v>2.37600001128157E-4</v>
      </c>
      <c r="M35" s="2">
        <v>1.21</v>
      </c>
    </row>
    <row r="36" spans="1:20" x14ac:dyDescent="0.3">
      <c r="A36" s="2">
        <v>9</v>
      </c>
      <c r="B36" s="2">
        <v>1024</v>
      </c>
      <c r="C36" s="2">
        <v>32</v>
      </c>
      <c r="D36" s="2" t="s">
        <v>13</v>
      </c>
      <c r="E36" s="2" t="s">
        <v>14</v>
      </c>
      <c r="F36" s="2">
        <v>362989</v>
      </c>
      <c r="G36" s="2">
        <v>1010182.314736</v>
      </c>
      <c r="H36" s="2">
        <v>1151130.7080009901</v>
      </c>
      <c r="I36" s="2">
        <f t="shared" si="0"/>
        <v>0.13952767852783621</v>
      </c>
      <c r="J36" s="2">
        <v>5073.0258190631803</v>
      </c>
      <c r="K36" s="2">
        <v>2.4429999939456999E-4</v>
      </c>
      <c r="M36" s="2">
        <v>1.33</v>
      </c>
    </row>
    <row r="37" spans="1:20" x14ac:dyDescent="0.3">
      <c r="A37" s="2">
        <v>9</v>
      </c>
      <c r="B37" s="2">
        <v>1024</v>
      </c>
      <c r="C37" s="2">
        <v>32</v>
      </c>
      <c r="D37" s="2" t="s">
        <v>13</v>
      </c>
      <c r="E37" s="2" t="s">
        <v>15</v>
      </c>
      <c r="F37" s="2">
        <v>363758</v>
      </c>
      <c r="G37" s="2">
        <v>1119471.075033</v>
      </c>
      <c r="H37" s="2">
        <v>1143584.5960009899</v>
      </c>
      <c r="I37" s="2">
        <f t="shared" si="0"/>
        <v>2.154010184432778E-2</v>
      </c>
      <c r="J37" s="2">
        <v>5317.7509021758997</v>
      </c>
      <c r="K37" s="2">
        <v>2.40800000028684E-4</v>
      </c>
      <c r="M37" s="2">
        <v>1.33</v>
      </c>
    </row>
    <row r="38" spans="1:20" s="3" customFormat="1" x14ac:dyDescent="0.3">
      <c r="A38" s="3">
        <v>10</v>
      </c>
      <c r="B38" s="3">
        <v>1024</v>
      </c>
      <c r="C38" s="3">
        <v>32</v>
      </c>
      <c r="D38" s="3" t="s">
        <v>13</v>
      </c>
      <c r="E38" s="3" t="s">
        <v>14</v>
      </c>
      <c r="F38" s="3">
        <v>400469</v>
      </c>
      <c r="G38" s="3">
        <v>1329477.78718</v>
      </c>
      <c r="H38" s="3">
        <v>1267406.5160010001</v>
      </c>
      <c r="I38" s="3">
        <f t="shared" si="0"/>
        <v>4.6688460520022207E-2</v>
      </c>
      <c r="J38" s="3">
        <v>6018.7911977767899</v>
      </c>
      <c r="K38" s="3">
        <v>2.4490000032528699E-4</v>
      </c>
      <c r="M38" s="3">
        <v>1.47</v>
      </c>
      <c r="T38" s="2"/>
    </row>
    <row r="39" spans="1:20" s="3" customFormat="1" x14ac:dyDescent="0.3">
      <c r="A39" s="3">
        <v>10</v>
      </c>
      <c r="B39" s="3">
        <v>1024</v>
      </c>
      <c r="C39" s="3">
        <v>32</v>
      </c>
      <c r="D39" s="3" t="s">
        <v>13</v>
      </c>
      <c r="E39" s="3" t="s">
        <v>15</v>
      </c>
      <c r="F39" s="3">
        <v>396503</v>
      </c>
      <c r="G39" s="3">
        <v>1327073.147354</v>
      </c>
      <c r="H39" s="3">
        <v>1268831.156001</v>
      </c>
      <c r="I39" s="3">
        <f t="shared" si="0"/>
        <v>4.3887551691575183E-2</v>
      </c>
      <c r="J39" s="3">
        <v>6208.3204677104904</v>
      </c>
      <c r="K39" s="3">
        <v>2.3820000023988501E-4</v>
      </c>
      <c r="M39" s="3">
        <v>1.47</v>
      </c>
      <c r="T39" s="2"/>
    </row>
    <row r="40" spans="1:20" x14ac:dyDescent="0.3">
      <c r="A40" s="2">
        <v>11</v>
      </c>
      <c r="B40" s="2">
        <v>1024</v>
      </c>
      <c r="C40" s="2">
        <v>32</v>
      </c>
      <c r="D40" s="2" t="s">
        <v>13</v>
      </c>
      <c r="E40" s="2" t="s">
        <v>14</v>
      </c>
      <c r="F40" s="2">
        <v>22941</v>
      </c>
      <c r="G40" s="2">
        <v>1166786.5929010001</v>
      </c>
      <c r="H40" s="2">
        <v>1395175.95600099</v>
      </c>
      <c r="I40" s="2">
        <f t="shared" si="0"/>
        <v>0.19574219012248148</v>
      </c>
      <c r="J40" s="2">
        <v>7469.0318388938904</v>
      </c>
      <c r="K40" s="2">
        <v>2.30499999815947E-4</v>
      </c>
      <c r="M40" s="2">
        <v>1.56</v>
      </c>
    </row>
    <row r="41" spans="1:20" x14ac:dyDescent="0.3">
      <c r="A41" s="2">
        <v>11</v>
      </c>
      <c r="B41" s="2">
        <v>1024</v>
      </c>
      <c r="C41" s="2">
        <v>32</v>
      </c>
      <c r="D41" s="2" t="s">
        <v>13</v>
      </c>
      <c r="E41" s="2" t="s">
        <v>15</v>
      </c>
      <c r="F41" s="2">
        <v>441064</v>
      </c>
      <c r="G41" s="2">
        <v>1359102.9138730001</v>
      </c>
      <c r="H41" s="2">
        <v>1397039.6360009899</v>
      </c>
      <c r="I41" s="2">
        <f t="shared" si="0"/>
        <v>2.7913060696693366E-2</v>
      </c>
      <c r="J41" s="2">
        <v>8793.0223865508997</v>
      </c>
      <c r="K41" s="2">
        <v>2.46200001129182E-4</v>
      </c>
      <c r="M41" s="2">
        <v>1.56</v>
      </c>
    </row>
    <row r="42" spans="1:20" x14ac:dyDescent="0.3">
      <c r="A42" s="2">
        <v>12</v>
      </c>
      <c r="B42" s="2">
        <v>1024</v>
      </c>
      <c r="C42" s="2">
        <v>32</v>
      </c>
      <c r="D42" s="2" t="s">
        <v>13</v>
      </c>
      <c r="E42" s="2" t="s">
        <v>14</v>
      </c>
      <c r="F42" s="2">
        <v>480501</v>
      </c>
      <c r="G42" s="2">
        <v>1479878.9533470001</v>
      </c>
      <c r="H42" s="2">
        <v>1521150.196001</v>
      </c>
      <c r="I42" s="2">
        <f t="shared" si="0"/>
        <v>2.7888255698655589E-2</v>
      </c>
      <c r="J42" s="2">
        <v>5517.9555866718201</v>
      </c>
      <c r="K42" s="2">
        <v>2.3890000011306199E-4</v>
      </c>
      <c r="M42" s="2">
        <v>1.67</v>
      </c>
    </row>
    <row r="43" spans="1:20" x14ac:dyDescent="0.3">
      <c r="A43" s="2">
        <v>12</v>
      </c>
      <c r="B43" s="2">
        <v>1024</v>
      </c>
      <c r="C43" s="2">
        <v>32</v>
      </c>
      <c r="D43" s="2" t="s">
        <v>13</v>
      </c>
      <c r="E43" s="2" t="s">
        <v>15</v>
      </c>
      <c r="F43" s="2">
        <v>481461</v>
      </c>
      <c r="G43" s="2">
        <v>1482025.713342</v>
      </c>
      <c r="H43" s="2">
        <v>1523202.0360010001</v>
      </c>
      <c r="I43" s="2">
        <f t="shared" si="0"/>
        <v>2.7783811231012017E-2</v>
      </c>
      <c r="J43" s="2">
        <v>5453.9946150779697</v>
      </c>
      <c r="K43" s="2">
        <v>2.3710000095888899E-4</v>
      </c>
      <c r="M43" s="2">
        <v>1.67</v>
      </c>
    </row>
    <row r="44" spans="1:20" x14ac:dyDescent="0.3">
      <c r="A44" s="2">
        <v>2</v>
      </c>
      <c r="B44" s="2">
        <v>1024</v>
      </c>
      <c r="C44" s="2">
        <v>64</v>
      </c>
      <c r="D44" s="2" t="s">
        <v>13</v>
      </c>
      <c r="E44" s="2" t="s">
        <v>14</v>
      </c>
      <c r="F44" s="2">
        <v>72601</v>
      </c>
      <c r="G44" s="2">
        <v>249900.83897000001</v>
      </c>
      <c r="H44" s="2">
        <v>247257.585996999</v>
      </c>
      <c r="I44" s="2">
        <f t="shared" si="0"/>
        <v>1.0577207279077322E-2</v>
      </c>
      <c r="J44" s="2">
        <v>348.437555789947</v>
      </c>
      <c r="K44" s="2">
        <v>3.1129999842960301E-4</v>
      </c>
      <c r="M44" s="2">
        <v>0.59</v>
      </c>
    </row>
    <row r="45" spans="1:20" x14ac:dyDescent="0.3">
      <c r="A45" s="2">
        <v>2</v>
      </c>
      <c r="B45" s="2">
        <v>1024</v>
      </c>
      <c r="C45" s="2">
        <v>64</v>
      </c>
      <c r="D45" s="2" t="s">
        <v>13</v>
      </c>
      <c r="E45" s="2" t="s">
        <v>15</v>
      </c>
      <c r="F45" s="2">
        <v>16943</v>
      </c>
      <c r="G45" s="2">
        <v>146794.19984700001</v>
      </c>
      <c r="H45" s="2">
        <v>143864.74433033299</v>
      </c>
      <c r="I45" s="2">
        <f t="shared" si="0"/>
        <v>1.9956207532179866E-2</v>
      </c>
      <c r="J45" s="2">
        <v>356.91855883598299</v>
      </c>
      <c r="K45" s="2">
        <v>3.92800000554416E-4</v>
      </c>
      <c r="M45" s="2">
        <v>0</v>
      </c>
    </row>
    <row r="46" spans="1:20" x14ac:dyDescent="0.3">
      <c r="A46" s="2">
        <v>3</v>
      </c>
      <c r="B46" s="2">
        <v>1024</v>
      </c>
      <c r="C46" s="2">
        <v>64</v>
      </c>
      <c r="D46" s="2" t="s">
        <v>13</v>
      </c>
      <c r="E46" s="2" t="s">
        <v>14</v>
      </c>
      <c r="F46" s="2">
        <v>17647</v>
      </c>
      <c r="G46" s="2">
        <v>378937.71807900001</v>
      </c>
      <c r="H46" s="2">
        <v>379026.481997</v>
      </c>
      <c r="I46" s="2">
        <f t="shared" si="0"/>
        <v>2.3424408224645792E-4</v>
      </c>
      <c r="J46" s="2">
        <v>357.68471550941399</v>
      </c>
      <c r="K46" s="2">
        <v>4.1199999941454702E-4</v>
      </c>
      <c r="M46" s="2">
        <v>0</v>
      </c>
    </row>
    <row r="47" spans="1:20" x14ac:dyDescent="0.3">
      <c r="A47" s="2">
        <v>3</v>
      </c>
      <c r="B47" s="2">
        <v>1024</v>
      </c>
      <c r="C47" s="2">
        <v>64</v>
      </c>
      <c r="D47" s="2" t="s">
        <v>13</v>
      </c>
      <c r="E47" s="2" t="s">
        <v>15</v>
      </c>
      <c r="F47" s="2">
        <v>95169</v>
      </c>
      <c r="G47" s="2">
        <v>378920.35806599999</v>
      </c>
      <c r="H47" s="2">
        <v>379868.72199699999</v>
      </c>
      <c r="I47" s="2">
        <f t="shared" si="0"/>
        <v>2.5028054334172638E-3</v>
      </c>
      <c r="J47" s="2">
        <v>708.23479843139603</v>
      </c>
      <c r="K47" s="2">
        <v>2.7730000147130302E-4</v>
      </c>
      <c r="M47" s="2">
        <v>0.59</v>
      </c>
    </row>
    <row r="48" spans="1:20" x14ac:dyDescent="0.3">
      <c r="A48" s="2">
        <v>4</v>
      </c>
      <c r="B48" s="2">
        <v>1024</v>
      </c>
      <c r="C48" s="2">
        <v>64</v>
      </c>
      <c r="D48" s="2" t="s">
        <v>13</v>
      </c>
      <c r="E48" s="2" t="s">
        <v>14</v>
      </c>
      <c r="F48" s="2">
        <v>123987</v>
      </c>
      <c r="G48" s="2">
        <v>513965.47710399999</v>
      </c>
      <c r="H48" s="2">
        <v>506424.17799699999</v>
      </c>
      <c r="I48" s="2">
        <f t="shared" si="0"/>
        <v>1.4672773645211253E-2</v>
      </c>
      <c r="J48" s="2">
        <v>1773.6435360908499</v>
      </c>
      <c r="K48" s="2">
        <v>2.6460000117367599E-4</v>
      </c>
      <c r="M48" s="2">
        <v>0.56999999999999995</v>
      </c>
    </row>
    <row r="49" spans="1:20" x14ac:dyDescent="0.3">
      <c r="A49" s="2">
        <v>4</v>
      </c>
      <c r="B49" s="2">
        <v>1024</v>
      </c>
      <c r="C49" s="2">
        <v>64</v>
      </c>
      <c r="D49" s="2" t="s">
        <v>13</v>
      </c>
      <c r="E49" s="2" t="s">
        <v>15</v>
      </c>
      <c r="F49" s="2">
        <v>151246</v>
      </c>
      <c r="G49" s="2">
        <v>516146.39710100001</v>
      </c>
      <c r="H49" s="2">
        <v>507768.17799699999</v>
      </c>
      <c r="I49" s="2">
        <f t="shared" si="0"/>
        <v>1.623225338984699E-2</v>
      </c>
      <c r="J49" s="2">
        <v>1106.7473196983301</v>
      </c>
      <c r="K49" s="2">
        <v>2.7559999944060099E-4</v>
      </c>
      <c r="M49" s="2">
        <v>0.62</v>
      </c>
    </row>
    <row r="50" spans="1:20" x14ac:dyDescent="0.3">
      <c r="A50" s="2">
        <v>5</v>
      </c>
      <c r="B50" s="2">
        <v>1024</v>
      </c>
      <c r="C50" s="2">
        <v>64</v>
      </c>
      <c r="D50" s="2" t="s">
        <v>13</v>
      </c>
      <c r="E50" s="2" t="s">
        <v>14</v>
      </c>
      <c r="F50" s="2">
        <v>202062</v>
      </c>
      <c r="G50" s="2">
        <v>640003.836366</v>
      </c>
      <c r="H50" s="2">
        <v>638472.11399700004</v>
      </c>
      <c r="I50" s="2">
        <f t="shared" si="0"/>
        <v>2.3933018553407826E-3</v>
      </c>
      <c r="J50" s="2">
        <v>1680.3005657195999</v>
      </c>
      <c r="K50" s="2">
        <v>2.6070000058098198E-4</v>
      </c>
      <c r="M50" s="2">
        <v>0.83</v>
      </c>
    </row>
    <row r="51" spans="1:20" x14ac:dyDescent="0.3">
      <c r="A51" s="2">
        <v>5</v>
      </c>
      <c r="B51" s="2">
        <v>1024</v>
      </c>
      <c r="C51" s="2">
        <v>64</v>
      </c>
      <c r="D51" s="2" t="s">
        <v>13</v>
      </c>
      <c r="E51" s="2" t="s">
        <v>15</v>
      </c>
      <c r="F51" s="2">
        <v>202766</v>
      </c>
      <c r="G51" s="2">
        <v>641786.876376</v>
      </c>
      <c r="H51" s="2">
        <v>639887.79399699997</v>
      </c>
      <c r="I51" s="2">
        <f t="shared" si="0"/>
        <v>2.9590545536294578E-3</v>
      </c>
      <c r="J51" s="2">
        <v>2022.8714284896801</v>
      </c>
      <c r="K51" s="2">
        <v>2.6710000020102598E-4</v>
      </c>
      <c r="M51" s="2">
        <v>0.65</v>
      </c>
    </row>
    <row r="52" spans="1:20" x14ac:dyDescent="0.3">
      <c r="A52" s="2">
        <v>6</v>
      </c>
      <c r="B52" s="2">
        <v>1024</v>
      </c>
      <c r="C52" s="2">
        <v>64</v>
      </c>
      <c r="D52" s="2" t="s">
        <v>13</v>
      </c>
      <c r="E52" s="2" t="s">
        <v>14</v>
      </c>
      <c r="F52" s="2">
        <v>242728</v>
      </c>
      <c r="G52" s="2">
        <v>764406.43567599996</v>
      </c>
      <c r="H52" s="2">
        <v>767755.24999699905</v>
      </c>
      <c r="I52" s="2">
        <f t="shared" si="0"/>
        <v>4.3809342317187193E-3</v>
      </c>
      <c r="J52" s="2">
        <v>2242.0267510414101</v>
      </c>
      <c r="K52" s="2">
        <v>3.9640000068175097E-4</v>
      </c>
      <c r="M52" s="2">
        <v>0.95</v>
      </c>
    </row>
    <row r="53" spans="1:20" x14ac:dyDescent="0.3">
      <c r="A53" s="2">
        <v>6</v>
      </c>
      <c r="B53" s="2">
        <v>1024</v>
      </c>
      <c r="C53" s="2">
        <v>64</v>
      </c>
      <c r="D53" s="2" t="s">
        <v>13</v>
      </c>
      <c r="E53" s="2" t="s">
        <v>15</v>
      </c>
      <c r="F53" s="2">
        <v>243880</v>
      </c>
      <c r="G53" s="2">
        <v>766832.07566700003</v>
      </c>
      <c r="H53" s="2">
        <v>769457.64999699895</v>
      </c>
      <c r="I53" s="2">
        <f t="shared" si="0"/>
        <v>3.4239234550995654E-3</v>
      </c>
      <c r="J53" s="2">
        <v>3903.1159222125998</v>
      </c>
      <c r="K53" s="2">
        <v>2.7320000117470001E-4</v>
      </c>
      <c r="M53" s="2">
        <v>0.83</v>
      </c>
    </row>
    <row r="54" spans="1:20" x14ac:dyDescent="0.3">
      <c r="A54" s="2">
        <v>7</v>
      </c>
      <c r="B54" s="2">
        <v>1024</v>
      </c>
      <c r="C54" s="2">
        <v>64</v>
      </c>
      <c r="D54" s="2" t="s">
        <v>13</v>
      </c>
      <c r="E54" s="2" t="s">
        <v>14</v>
      </c>
      <c r="F54" s="2">
        <v>233992</v>
      </c>
      <c r="G54" s="2">
        <v>891552.47495800001</v>
      </c>
      <c r="H54" s="2">
        <v>900235.18599699799</v>
      </c>
      <c r="I54" s="2">
        <f t="shared" si="0"/>
        <v>9.7388670693859172E-3</v>
      </c>
      <c r="J54" s="2">
        <v>3911.5386314391999</v>
      </c>
      <c r="K54" s="2">
        <v>2.6550000075076198E-4</v>
      </c>
      <c r="M54" s="2">
        <v>0</v>
      </c>
    </row>
    <row r="55" spans="1:20" x14ac:dyDescent="0.3">
      <c r="A55" s="2">
        <v>7</v>
      </c>
      <c r="B55" s="2">
        <v>1024</v>
      </c>
      <c r="C55" s="2">
        <v>64</v>
      </c>
      <c r="D55" s="2" t="s">
        <v>13</v>
      </c>
      <c r="E55" s="2" t="s">
        <v>15</v>
      </c>
      <c r="F55" s="2">
        <v>290633</v>
      </c>
      <c r="G55" s="2">
        <v>752276.55466499995</v>
      </c>
      <c r="H55" s="2">
        <v>902600.62599699898</v>
      </c>
      <c r="I55" s="2">
        <f t="shared" si="0"/>
        <v>0.19982554341194456</v>
      </c>
      <c r="J55" s="2">
        <v>4322.7355902194904</v>
      </c>
      <c r="K55" s="2">
        <v>2.6740000066638399E-4</v>
      </c>
      <c r="M55" s="2">
        <v>1.0900000000000001</v>
      </c>
    </row>
    <row r="56" spans="1:20" x14ac:dyDescent="0.3">
      <c r="A56" s="2">
        <v>8</v>
      </c>
      <c r="B56" s="2">
        <v>1024</v>
      </c>
      <c r="C56" s="2">
        <v>64</v>
      </c>
      <c r="D56" s="2" t="s">
        <v>13</v>
      </c>
      <c r="E56" s="2" t="s">
        <v>14</v>
      </c>
      <c r="F56" s="2">
        <v>328738</v>
      </c>
      <c r="G56" s="2">
        <v>1015891.514247</v>
      </c>
      <c r="H56" s="2">
        <v>1030685.681997</v>
      </c>
      <c r="I56" s="2">
        <f t="shared" si="0"/>
        <v>1.4562743701000169E-2</v>
      </c>
      <c r="J56" s="2">
        <v>4120.6035230159696</v>
      </c>
      <c r="K56" s="2">
        <v>3.0390000029001298E-4</v>
      </c>
      <c r="M56" s="2">
        <v>1.21</v>
      </c>
    </row>
    <row r="57" spans="1:20" x14ac:dyDescent="0.3">
      <c r="A57" s="2">
        <v>8</v>
      </c>
      <c r="B57" s="2">
        <v>1024</v>
      </c>
      <c r="C57" s="2">
        <v>64</v>
      </c>
      <c r="D57" s="2" t="s">
        <v>13</v>
      </c>
      <c r="E57" s="2" t="s">
        <v>15</v>
      </c>
      <c r="F57" s="2">
        <v>329922</v>
      </c>
      <c r="G57" s="2">
        <v>1019431.834253</v>
      </c>
      <c r="H57" s="2">
        <v>1033069.041997</v>
      </c>
      <c r="I57" s="2">
        <f t="shared" si="0"/>
        <v>1.3377262986880167E-2</v>
      </c>
      <c r="J57" s="2">
        <v>4325.4024281501697</v>
      </c>
      <c r="K57" s="2">
        <v>2.8299999939917998E-4</v>
      </c>
      <c r="M57" s="2">
        <v>1.21</v>
      </c>
    </row>
    <row r="58" spans="1:20" x14ac:dyDescent="0.3">
      <c r="A58" s="2">
        <v>9</v>
      </c>
      <c r="B58" s="2">
        <v>1024</v>
      </c>
      <c r="C58" s="2">
        <v>64</v>
      </c>
      <c r="D58" s="2" t="s">
        <v>13</v>
      </c>
      <c r="E58" s="2" t="s">
        <v>14</v>
      </c>
      <c r="F58" s="2">
        <v>276719</v>
      </c>
      <c r="G58" s="2">
        <v>1141690.7535240001</v>
      </c>
      <c r="H58" s="2">
        <v>1159210.41799699</v>
      </c>
      <c r="I58" s="2">
        <f t="shared" si="0"/>
        <v>1.5345367752968913E-2</v>
      </c>
      <c r="J58" s="2">
        <v>6302.4513657093003</v>
      </c>
      <c r="K58" s="2">
        <v>3.41400000252178E-4</v>
      </c>
      <c r="M58" s="2">
        <v>0</v>
      </c>
    </row>
    <row r="59" spans="1:20" x14ac:dyDescent="0.3">
      <c r="A59" s="2">
        <v>9</v>
      </c>
      <c r="B59" s="2">
        <v>1024</v>
      </c>
      <c r="C59" s="2">
        <v>64</v>
      </c>
      <c r="D59" s="2" t="s">
        <v>13</v>
      </c>
      <c r="E59" s="2" t="s">
        <v>15</v>
      </c>
      <c r="F59" s="2">
        <v>345073</v>
      </c>
      <c r="G59" s="2">
        <v>1145104.513521</v>
      </c>
      <c r="H59" s="2">
        <v>1161665.4579969901</v>
      </c>
      <c r="I59" s="2">
        <f t="shared" si="0"/>
        <v>1.4462386865516718E-2</v>
      </c>
      <c r="J59" s="2">
        <v>90.637887001037598</v>
      </c>
      <c r="K59" s="2">
        <v>3.1719999969936902E-4</v>
      </c>
      <c r="M59" s="2">
        <v>0</v>
      </c>
    </row>
    <row r="60" spans="1:20" s="3" customFormat="1" x14ac:dyDescent="0.3">
      <c r="A60" s="3">
        <v>10</v>
      </c>
      <c r="B60" s="3">
        <v>1024</v>
      </c>
      <c r="C60" s="3">
        <v>64</v>
      </c>
      <c r="D60" s="3" t="s">
        <v>13</v>
      </c>
      <c r="E60" s="3" t="s">
        <v>14</v>
      </c>
      <c r="F60" s="3">
        <v>407495</v>
      </c>
      <c r="G60" s="3">
        <v>1344542.625606</v>
      </c>
      <c r="H60" s="3">
        <v>1286295.1539970001</v>
      </c>
      <c r="I60" s="3">
        <f t="shared" si="0"/>
        <v>4.3321402014121428E-2</v>
      </c>
      <c r="J60" s="3">
        <v>7682.8488438129398</v>
      </c>
      <c r="K60" s="3">
        <v>3.3770000118238299E-4</v>
      </c>
      <c r="M60" s="3">
        <v>0</v>
      </c>
      <c r="T60" s="2"/>
    </row>
    <row r="61" spans="1:20" s="3" customFormat="1" x14ac:dyDescent="0.3">
      <c r="A61" s="3">
        <v>10</v>
      </c>
      <c r="B61" s="3">
        <v>1024</v>
      </c>
      <c r="C61" s="3">
        <v>64</v>
      </c>
      <c r="D61" s="3" t="s">
        <v>13</v>
      </c>
      <c r="E61" s="3" t="s">
        <v>15</v>
      </c>
      <c r="F61" s="3">
        <v>355607</v>
      </c>
      <c r="G61" s="3">
        <v>1257819.9057440001</v>
      </c>
      <c r="H61" s="3">
        <v>1289144.4339970001</v>
      </c>
      <c r="I61" s="3">
        <f t="shared" si="0"/>
        <v>2.4903826143911713E-2</v>
      </c>
      <c r="J61" s="3">
        <v>6532.7057800292896</v>
      </c>
      <c r="K61" s="3">
        <v>2.9709999944316202E-4</v>
      </c>
      <c r="M61" s="3">
        <v>1.47</v>
      </c>
      <c r="T61" s="2"/>
    </row>
    <row r="62" spans="1:20" x14ac:dyDescent="0.3">
      <c r="A62" s="2">
        <v>11</v>
      </c>
      <c r="B62" s="2">
        <v>1024</v>
      </c>
      <c r="C62" s="2">
        <v>64</v>
      </c>
      <c r="D62" s="2" t="s">
        <v>13</v>
      </c>
      <c r="E62" s="2" t="s">
        <v>14</v>
      </c>
      <c r="F62" s="2">
        <v>444186</v>
      </c>
      <c r="G62" s="2">
        <v>98388.081193000005</v>
      </c>
      <c r="H62" s="2">
        <v>1416259.8899969901</v>
      </c>
      <c r="I62" s="2">
        <f t="shared" si="0"/>
        <v>13.394628625990039</v>
      </c>
      <c r="J62" s="2">
        <v>7478.2377736568396</v>
      </c>
      <c r="K62" s="2">
        <v>2.59599999480997E-4</v>
      </c>
      <c r="M62" s="2">
        <v>1.56</v>
      </c>
    </row>
    <row r="63" spans="1:20" x14ac:dyDescent="0.3">
      <c r="A63" s="2">
        <v>11</v>
      </c>
      <c r="B63" s="2">
        <v>1024</v>
      </c>
      <c r="C63" s="2">
        <v>64</v>
      </c>
      <c r="D63" s="2" t="s">
        <v>13</v>
      </c>
      <c r="E63" s="2" t="s">
        <v>15</v>
      </c>
      <c r="F63" s="2">
        <v>445690</v>
      </c>
      <c r="G63" s="2">
        <v>1393538.712027</v>
      </c>
      <c r="H63" s="2">
        <v>1419987.24999699</v>
      </c>
      <c r="I63" s="2">
        <f t="shared" si="0"/>
        <v>1.897940670160406E-2</v>
      </c>
      <c r="J63" s="2">
        <v>8935.4969224929791</v>
      </c>
      <c r="K63" s="2">
        <v>2.64300000708317E-4</v>
      </c>
      <c r="M63" s="2">
        <v>1.56</v>
      </c>
    </row>
    <row r="64" spans="1:20" x14ac:dyDescent="0.3">
      <c r="A64" s="2">
        <v>12</v>
      </c>
      <c r="B64" s="2">
        <v>1024</v>
      </c>
      <c r="C64" s="2">
        <v>64</v>
      </c>
      <c r="D64" s="2" t="s">
        <v>13</v>
      </c>
      <c r="E64" s="2" t="s">
        <v>14</v>
      </c>
      <c r="F64" s="2">
        <v>482851</v>
      </c>
      <c r="G64" s="2">
        <v>1513176.271318</v>
      </c>
      <c r="H64" s="2">
        <v>1544323.8259970001</v>
      </c>
      <c r="I64" s="2">
        <f t="shared" si="0"/>
        <v>2.0584220932747015E-2</v>
      </c>
      <c r="J64" s="2">
        <v>5747.5484769344303</v>
      </c>
      <c r="K64" s="2">
        <v>2.5679999998828802E-4</v>
      </c>
      <c r="M64" s="2">
        <v>1.67</v>
      </c>
    </row>
    <row r="65" spans="1:13" x14ac:dyDescent="0.3">
      <c r="A65" s="2">
        <v>12</v>
      </c>
      <c r="B65" s="2">
        <v>1024</v>
      </c>
      <c r="C65" s="2">
        <v>64</v>
      </c>
      <c r="D65" s="2" t="s">
        <v>13</v>
      </c>
      <c r="E65" s="2" t="s">
        <v>15</v>
      </c>
      <c r="F65" s="2">
        <v>484751</v>
      </c>
      <c r="G65" s="2">
        <v>1517466.9913089999</v>
      </c>
      <c r="H65" s="2">
        <v>1548427.505997</v>
      </c>
      <c r="I65" s="2">
        <f t="shared" si="0"/>
        <v>2.0402759905368929E-2</v>
      </c>
      <c r="J65" s="2">
        <v>5551.7044711112903</v>
      </c>
      <c r="K65" s="2">
        <v>2.6500000058149399E-4</v>
      </c>
      <c r="M65" s="2">
        <v>1.67</v>
      </c>
    </row>
    <row r="66" spans="1:13" x14ac:dyDescent="0.3">
      <c r="A66" s="2">
        <v>2</v>
      </c>
      <c r="B66" s="2">
        <v>1024</v>
      </c>
      <c r="C66" s="2">
        <v>128</v>
      </c>
      <c r="D66" s="2" t="s">
        <v>13</v>
      </c>
      <c r="E66" s="2" t="s">
        <v>14</v>
      </c>
      <c r="F66" s="2">
        <v>75023</v>
      </c>
      <c r="G66" s="2">
        <v>252397.59850399999</v>
      </c>
      <c r="H66" s="2">
        <v>250454.86799799901</v>
      </c>
      <c r="I66" s="2">
        <f t="shared" si="0"/>
        <v>7.6971037661049445E-3</v>
      </c>
      <c r="J66" s="2">
        <v>358.26144051551802</v>
      </c>
      <c r="K66" s="2">
        <v>4.3050000022049002E-4</v>
      </c>
      <c r="M66" s="2">
        <v>0.73</v>
      </c>
    </row>
    <row r="67" spans="1:13" x14ac:dyDescent="0.3">
      <c r="A67" s="2">
        <v>2</v>
      </c>
      <c r="B67" s="2">
        <v>1024</v>
      </c>
      <c r="C67" s="2">
        <v>128</v>
      </c>
      <c r="D67" s="2" t="s">
        <v>13</v>
      </c>
      <c r="E67" s="2" t="s">
        <v>15</v>
      </c>
      <c r="F67" s="2">
        <v>45996</v>
      </c>
      <c r="G67" s="2">
        <v>147289.51957199999</v>
      </c>
      <c r="H67" s="2">
        <v>145012.23966466601</v>
      </c>
      <c r="I67" s="2">
        <f t="shared" ref="I67:I130" si="1">ABS(G67-H67)/G67</f>
        <v>1.5461248797276271E-2</v>
      </c>
      <c r="J67" s="2">
        <v>248.02714776992701</v>
      </c>
      <c r="K67" s="2">
        <v>3.6919999911333402E-4</v>
      </c>
      <c r="M67" s="2">
        <v>0.73</v>
      </c>
    </row>
    <row r="68" spans="1:13" x14ac:dyDescent="0.3">
      <c r="A68" s="2">
        <v>3</v>
      </c>
      <c r="B68" s="2">
        <v>1024</v>
      </c>
      <c r="C68" s="2">
        <v>128</v>
      </c>
      <c r="D68" s="2" t="s">
        <v>13</v>
      </c>
      <c r="E68" s="2" t="s">
        <v>14</v>
      </c>
      <c r="F68" s="2">
        <v>116833</v>
      </c>
      <c r="G68" s="2">
        <v>384770.39735500002</v>
      </c>
      <c r="H68" s="2">
        <v>386867.155998</v>
      </c>
      <c r="I68" s="2">
        <f t="shared" si="1"/>
        <v>5.4493761926946022E-3</v>
      </c>
      <c r="J68" s="2">
        <v>583.75672864913895</v>
      </c>
      <c r="K68" s="2">
        <v>3.5970000135421201E-4</v>
      </c>
      <c r="M68" s="2">
        <v>0.73</v>
      </c>
    </row>
    <row r="69" spans="1:13" x14ac:dyDescent="0.3">
      <c r="A69" s="2">
        <v>3</v>
      </c>
      <c r="B69" s="2">
        <v>1024</v>
      </c>
      <c r="C69" s="2">
        <v>128</v>
      </c>
      <c r="D69" s="2" t="s">
        <v>13</v>
      </c>
      <c r="E69" s="2" t="s">
        <v>15</v>
      </c>
      <c r="F69" s="2">
        <v>117537</v>
      </c>
      <c r="G69" s="2">
        <v>346907.117081</v>
      </c>
      <c r="H69" s="2">
        <v>388551.63599799998</v>
      </c>
      <c r="I69" s="2">
        <f t="shared" si="1"/>
        <v>0.12004515579677866</v>
      </c>
      <c r="J69" s="2">
        <v>606.63104891777004</v>
      </c>
      <c r="K69" s="2">
        <v>3.6009999894304201E-4</v>
      </c>
      <c r="M69" s="2">
        <v>0.73</v>
      </c>
    </row>
    <row r="70" spans="1:13" x14ac:dyDescent="0.3">
      <c r="A70" s="2">
        <v>4</v>
      </c>
      <c r="B70" s="2">
        <v>1024</v>
      </c>
      <c r="C70" s="2">
        <v>128</v>
      </c>
      <c r="D70" s="2" t="s">
        <v>13</v>
      </c>
      <c r="E70" s="2" t="s">
        <v>14</v>
      </c>
      <c r="F70" s="2">
        <v>158281</v>
      </c>
      <c r="G70" s="2">
        <v>528844.39612799999</v>
      </c>
      <c r="H70" s="2">
        <v>517701.20399800001</v>
      </c>
      <c r="I70" s="2">
        <f t="shared" si="1"/>
        <v>2.1070833333181268E-2</v>
      </c>
      <c r="J70" s="2">
        <v>908.93569421768098</v>
      </c>
      <c r="K70" s="2">
        <v>3.8350000068021402E-4</v>
      </c>
      <c r="M70" s="2">
        <v>0.73</v>
      </c>
    </row>
    <row r="71" spans="1:13" x14ac:dyDescent="0.3">
      <c r="A71" s="2">
        <v>4</v>
      </c>
      <c r="B71" s="2">
        <v>1024</v>
      </c>
      <c r="C71" s="2">
        <v>128</v>
      </c>
      <c r="D71" s="2" t="s">
        <v>13</v>
      </c>
      <c r="E71" s="2" t="s">
        <v>15</v>
      </c>
      <c r="F71" s="2">
        <v>160585</v>
      </c>
      <c r="G71" s="2">
        <v>531562.63611700002</v>
      </c>
      <c r="H71" s="2">
        <v>520389.20399800001</v>
      </c>
      <c r="I71" s="2">
        <f t="shared" si="1"/>
        <v>2.1019972736647855E-2</v>
      </c>
      <c r="J71" s="2">
        <v>898.68233847618103</v>
      </c>
      <c r="K71" s="2">
        <v>5.3339999976742504E-4</v>
      </c>
      <c r="M71" s="2">
        <v>0.73</v>
      </c>
    </row>
    <row r="72" spans="1:13" x14ac:dyDescent="0.3">
      <c r="A72" s="2">
        <v>5</v>
      </c>
      <c r="B72" s="2">
        <v>1024</v>
      </c>
      <c r="C72" s="2">
        <v>128</v>
      </c>
      <c r="D72" s="2" t="s">
        <v>13</v>
      </c>
      <c r="E72" s="2" t="s">
        <v>14</v>
      </c>
      <c r="F72" s="2">
        <v>156614</v>
      </c>
      <c r="G72" s="2">
        <v>656034.67514900002</v>
      </c>
      <c r="H72" s="2">
        <v>653924.05199800001</v>
      </c>
      <c r="I72" s="2">
        <f t="shared" si="1"/>
        <v>3.2172432814174612E-3</v>
      </c>
      <c r="J72" s="2">
        <v>1925.73553419113</v>
      </c>
      <c r="K72" s="2">
        <v>3.7840000004507601E-4</v>
      </c>
      <c r="M72" s="2">
        <v>0.73</v>
      </c>
    </row>
    <row r="73" spans="1:13" x14ac:dyDescent="0.3">
      <c r="A73" s="2">
        <v>5</v>
      </c>
      <c r="B73" s="2">
        <v>1024</v>
      </c>
      <c r="C73" s="2">
        <v>128</v>
      </c>
      <c r="D73" s="2" t="s">
        <v>13</v>
      </c>
      <c r="E73" s="2" t="s">
        <v>15</v>
      </c>
      <c r="F73" s="2">
        <v>210401</v>
      </c>
      <c r="G73" s="2">
        <v>659600.75517000002</v>
      </c>
      <c r="H73" s="2">
        <v>656755.411998</v>
      </c>
      <c r="I73" s="2">
        <f t="shared" si="1"/>
        <v>4.3137354675506509E-3</v>
      </c>
      <c r="J73" s="2">
        <v>2116.45075368881</v>
      </c>
      <c r="K73" s="2">
        <v>3.5380000008444702E-4</v>
      </c>
      <c r="M73" s="2">
        <v>0</v>
      </c>
    </row>
    <row r="74" spans="1:13" x14ac:dyDescent="0.3">
      <c r="A74" s="2">
        <v>6</v>
      </c>
      <c r="B74" s="2">
        <v>1024</v>
      </c>
      <c r="C74" s="2">
        <v>128</v>
      </c>
      <c r="D74" s="2" t="s">
        <v>13</v>
      </c>
      <c r="E74" s="2" t="s">
        <v>14</v>
      </c>
      <c r="F74" s="2">
        <v>250786</v>
      </c>
      <c r="G74" s="2">
        <v>785769.03424900002</v>
      </c>
      <c r="H74" s="2">
        <v>786972.49999799905</v>
      </c>
      <c r="I74" s="2">
        <f t="shared" si="1"/>
        <v>1.5315769603331966E-3</v>
      </c>
      <c r="J74" s="2">
        <v>2457.8172471523199</v>
      </c>
      <c r="K74" s="2">
        <v>3.2370000008086197E-4</v>
      </c>
      <c r="M74" s="2">
        <v>0.95</v>
      </c>
    </row>
    <row r="75" spans="1:13" x14ac:dyDescent="0.3">
      <c r="A75" s="2">
        <v>6</v>
      </c>
      <c r="B75" s="2">
        <v>1024</v>
      </c>
      <c r="C75" s="2">
        <v>128</v>
      </c>
      <c r="D75" s="2" t="s">
        <v>13</v>
      </c>
      <c r="E75" s="2" t="s">
        <v>15</v>
      </c>
      <c r="F75" s="2">
        <v>253090</v>
      </c>
      <c r="G75" s="2">
        <v>691127.91415099998</v>
      </c>
      <c r="H75" s="2">
        <v>790377.29999799898</v>
      </c>
      <c r="I75" s="2">
        <f t="shared" si="1"/>
        <v>0.14360494463448145</v>
      </c>
      <c r="J75" s="2">
        <v>2432.88663721084</v>
      </c>
      <c r="K75" s="2">
        <v>3.4229999982926502E-4</v>
      </c>
      <c r="M75" s="2">
        <v>0.95</v>
      </c>
    </row>
    <row r="76" spans="1:13" x14ac:dyDescent="0.3">
      <c r="A76" s="2">
        <v>7</v>
      </c>
      <c r="B76" s="2">
        <v>1024</v>
      </c>
      <c r="C76" s="2">
        <v>128</v>
      </c>
      <c r="D76" s="2" t="s">
        <v>13</v>
      </c>
      <c r="E76" s="2" t="s">
        <v>14</v>
      </c>
      <c r="F76" s="2">
        <v>303192</v>
      </c>
      <c r="G76" s="2">
        <v>916304.19328899996</v>
      </c>
      <c r="H76" s="2">
        <v>923496.14799799898</v>
      </c>
      <c r="I76" s="2">
        <f t="shared" si="1"/>
        <v>7.8488724177765493E-3</v>
      </c>
      <c r="J76" s="2">
        <v>5037.4065973758698</v>
      </c>
      <c r="K76" s="2">
        <v>4.2539999958535099E-4</v>
      </c>
      <c r="M76" s="2">
        <v>1.0900000000000001</v>
      </c>
    </row>
    <row r="77" spans="1:13" x14ac:dyDescent="0.3">
      <c r="A77" s="2">
        <v>7</v>
      </c>
      <c r="B77" s="2">
        <v>1024</v>
      </c>
      <c r="C77" s="2">
        <v>128</v>
      </c>
      <c r="D77" s="2" t="s">
        <v>13</v>
      </c>
      <c r="E77" s="2" t="s">
        <v>15</v>
      </c>
      <c r="F77" s="2">
        <v>305431</v>
      </c>
      <c r="G77" s="2">
        <v>922450.75327900006</v>
      </c>
      <c r="H77" s="2">
        <v>928227.02799799806</v>
      </c>
      <c r="I77" s="2">
        <f t="shared" si="1"/>
        <v>6.2618786948412143E-3</v>
      </c>
      <c r="J77" s="2">
        <v>5302.8743853569003</v>
      </c>
      <c r="K77" s="2">
        <v>7.8759999996691401E-4</v>
      </c>
      <c r="M77" s="2">
        <v>1.0900000000000001</v>
      </c>
    </row>
    <row r="78" spans="1:13" x14ac:dyDescent="0.3">
      <c r="A78" s="2">
        <v>8</v>
      </c>
      <c r="B78" s="2">
        <v>1024</v>
      </c>
      <c r="C78" s="2">
        <v>128</v>
      </c>
      <c r="D78" s="2" t="s">
        <v>13</v>
      </c>
      <c r="E78" s="2" t="s">
        <v>14</v>
      </c>
      <c r="F78" s="2">
        <v>343874</v>
      </c>
      <c r="G78" s="2">
        <v>1050011.4723189999</v>
      </c>
      <c r="H78" s="2">
        <v>1060005.715998</v>
      </c>
      <c r="I78" s="2">
        <f t="shared" si="1"/>
        <v>9.5182233170531989E-3</v>
      </c>
      <c r="J78" s="2">
        <v>4861.8408124446796</v>
      </c>
      <c r="K78" s="2">
        <v>5.2299999879323802E-4</v>
      </c>
      <c r="M78" s="2">
        <v>1.21</v>
      </c>
    </row>
    <row r="79" spans="1:13" x14ac:dyDescent="0.3">
      <c r="A79" s="2">
        <v>8</v>
      </c>
      <c r="B79" s="2">
        <v>1024</v>
      </c>
      <c r="C79" s="2">
        <v>128</v>
      </c>
      <c r="D79" s="2" t="s">
        <v>13</v>
      </c>
      <c r="E79" s="2" t="s">
        <v>15</v>
      </c>
      <c r="F79" s="2">
        <v>346243</v>
      </c>
      <c r="G79" s="2">
        <v>1057089.8723319999</v>
      </c>
      <c r="H79" s="2">
        <v>1064772.435998</v>
      </c>
      <c r="I79" s="2">
        <f t="shared" si="1"/>
        <v>7.2676542147280835E-3</v>
      </c>
      <c r="J79" s="2">
        <v>5649.2295191287903</v>
      </c>
      <c r="K79" s="2">
        <v>6.0630000007222396E-4</v>
      </c>
      <c r="M79" s="2">
        <v>1.21</v>
      </c>
    </row>
    <row r="80" spans="1:13" x14ac:dyDescent="0.3">
      <c r="A80" s="2">
        <v>9</v>
      </c>
      <c r="B80" s="2">
        <v>1024</v>
      </c>
      <c r="C80" s="2">
        <v>128</v>
      </c>
      <c r="D80" s="2" t="s">
        <v>13</v>
      </c>
      <c r="E80" s="2" t="s">
        <v>14</v>
      </c>
      <c r="F80" s="2">
        <v>385172</v>
      </c>
      <c r="G80" s="2">
        <v>1123235.111449</v>
      </c>
      <c r="H80" s="2">
        <v>1192510.1639979901</v>
      </c>
      <c r="I80" s="2">
        <f t="shared" si="1"/>
        <v>6.1674578939776604E-2</v>
      </c>
      <c r="J80" s="2">
        <v>5841.17887568473</v>
      </c>
      <c r="K80" s="2">
        <v>7.6260000059846702E-4</v>
      </c>
      <c r="M80" s="2">
        <v>1.33</v>
      </c>
    </row>
    <row r="81" spans="1:20" s="3" customFormat="1" x14ac:dyDescent="0.3">
      <c r="A81" s="3">
        <v>9</v>
      </c>
      <c r="B81" s="3">
        <v>1024</v>
      </c>
      <c r="C81" s="3">
        <v>128</v>
      </c>
      <c r="D81" s="3" t="s">
        <v>13</v>
      </c>
      <c r="E81" s="3" t="s">
        <v>15</v>
      </c>
      <c r="F81" s="3">
        <v>388248</v>
      </c>
      <c r="G81" s="3">
        <v>1249173.785074</v>
      </c>
      <c r="H81" s="3">
        <v>1197420.2439979899</v>
      </c>
      <c r="I81" s="3">
        <f t="shared" si="1"/>
        <v>4.1430217071793785E-2</v>
      </c>
      <c r="J81" s="3">
        <v>5543.3156597614197</v>
      </c>
      <c r="K81" s="3">
        <v>1.17460000001301E-3</v>
      </c>
      <c r="M81" s="3">
        <v>1.33</v>
      </c>
      <c r="T81" s="2"/>
    </row>
    <row r="82" spans="1:20" s="3" customFormat="1" x14ac:dyDescent="0.3">
      <c r="A82" s="3">
        <v>10</v>
      </c>
      <c r="B82" s="3">
        <v>1024</v>
      </c>
      <c r="C82" s="3">
        <v>128</v>
      </c>
      <c r="D82" s="3" t="s">
        <v>13</v>
      </c>
      <c r="E82" s="3" t="s">
        <v>14</v>
      </c>
      <c r="F82" s="3">
        <v>427530</v>
      </c>
      <c r="G82" s="3">
        <v>1381199.9434470001</v>
      </c>
      <c r="H82" s="3">
        <v>1323414.6119979999</v>
      </c>
      <c r="I82" s="3">
        <f t="shared" si="1"/>
        <v>4.1837050257030745E-2</v>
      </c>
      <c r="J82" s="3">
        <v>5859.2912905216199</v>
      </c>
      <c r="K82" s="3">
        <v>8.7379999968106804E-4</v>
      </c>
      <c r="M82" s="3">
        <v>1.47</v>
      </c>
      <c r="T82" s="2"/>
    </row>
    <row r="83" spans="1:20" x14ac:dyDescent="0.3">
      <c r="A83" s="2">
        <v>10</v>
      </c>
      <c r="B83" s="2">
        <v>1024</v>
      </c>
      <c r="C83" s="2">
        <v>128</v>
      </c>
      <c r="D83" s="2" t="s">
        <v>13</v>
      </c>
      <c r="E83" s="2" t="s">
        <v>15</v>
      </c>
      <c r="F83" s="2">
        <v>430609</v>
      </c>
      <c r="G83" s="2">
        <v>1112431.3105289999</v>
      </c>
      <c r="H83" s="2">
        <v>1329113.171998</v>
      </c>
      <c r="I83" s="2">
        <f t="shared" si="1"/>
        <v>0.19478223906333625</v>
      </c>
      <c r="J83" s="2">
        <v>7027.4621984958603</v>
      </c>
      <c r="K83" s="2">
        <v>1.2341000001469999E-3</v>
      </c>
      <c r="M83" s="2">
        <v>0.73</v>
      </c>
    </row>
    <row r="84" spans="1:20" x14ac:dyDescent="0.3">
      <c r="A84" s="2">
        <v>11</v>
      </c>
      <c r="B84" s="2">
        <v>1024</v>
      </c>
      <c r="C84" s="2">
        <v>128</v>
      </c>
      <c r="D84" s="2" t="s">
        <v>13</v>
      </c>
      <c r="E84" s="2" t="s">
        <v>14</v>
      </c>
      <c r="F84" s="2">
        <v>469827</v>
      </c>
      <c r="G84" s="2">
        <v>1436751.949421</v>
      </c>
      <c r="H84" s="2">
        <v>1457519.05999799</v>
      </c>
      <c r="I84" s="2">
        <f t="shared" si="1"/>
        <v>1.4454207342721232E-2</v>
      </c>
      <c r="J84" s="2">
        <v>7126.0301840305301</v>
      </c>
      <c r="K84" s="2">
        <v>1.2191000005259401E-3</v>
      </c>
      <c r="M84" s="2">
        <v>1.56</v>
      </c>
    </row>
    <row r="85" spans="1:20" x14ac:dyDescent="0.3">
      <c r="A85" s="2">
        <v>11</v>
      </c>
      <c r="B85" s="2">
        <v>1024</v>
      </c>
      <c r="C85" s="2">
        <v>128</v>
      </c>
      <c r="D85" s="2" t="s">
        <v>13</v>
      </c>
      <c r="E85" s="2" t="s">
        <v>15</v>
      </c>
      <c r="F85" s="2">
        <v>472836</v>
      </c>
      <c r="G85" s="2">
        <v>1445265.0693950001</v>
      </c>
      <c r="H85" s="2">
        <v>1464973.77999799</v>
      </c>
      <c r="I85" s="2">
        <f t="shared" si="1"/>
        <v>1.3636744580867865E-2</v>
      </c>
      <c r="J85" s="2">
        <v>8675.8378987312299</v>
      </c>
      <c r="K85" s="2">
        <v>8.8519999917480098E-4</v>
      </c>
      <c r="M85" s="2">
        <v>1.56</v>
      </c>
    </row>
    <row r="86" spans="1:20" x14ac:dyDescent="0.3">
      <c r="A86" s="2">
        <v>12</v>
      </c>
      <c r="B86" s="2">
        <v>1024</v>
      </c>
      <c r="C86" s="2">
        <v>128</v>
      </c>
      <c r="D86" s="2" t="s">
        <v>13</v>
      </c>
      <c r="E86" s="2" t="s">
        <v>14</v>
      </c>
      <c r="F86" s="2">
        <v>49009</v>
      </c>
      <c r="G86" s="2">
        <v>1317213.5088480001</v>
      </c>
      <c r="H86" s="2">
        <v>1589511.5079979999</v>
      </c>
      <c r="I86" s="2">
        <f t="shared" si="1"/>
        <v>0.20672275020026512</v>
      </c>
      <c r="J86" s="2">
        <v>10080.128430843301</v>
      </c>
      <c r="K86" s="2">
        <v>7.9080000068643098E-4</v>
      </c>
      <c r="M86" s="2">
        <v>0</v>
      </c>
    </row>
    <row r="87" spans="1:20" x14ac:dyDescent="0.3">
      <c r="A87" s="2">
        <v>12</v>
      </c>
      <c r="B87" s="2">
        <v>1024</v>
      </c>
      <c r="C87" s="2">
        <v>128</v>
      </c>
      <c r="D87" s="2" t="s">
        <v>13</v>
      </c>
      <c r="E87" s="2" t="s">
        <v>15</v>
      </c>
      <c r="F87" s="2">
        <v>14240</v>
      </c>
      <c r="G87" s="2">
        <v>1579471.308469</v>
      </c>
      <c r="H87" s="2">
        <v>1597718.867998</v>
      </c>
      <c r="I87" s="2">
        <f t="shared" si="1"/>
        <v>1.1552954099994088E-2</v>
      </c>
      <c r="J87" s="2">
        <v>6331.24652910232</v>
      </c>
      <c r="K87" s="2">
        <v>9.9799999952665508E-4</v>
      </c>
      <c r="M87" s="2">
        <v>1.67</v>
      </c>
    </row>
    <row r="88" spans="1:20" x14ac:dyDescent="0.3">
      <c r="A88" s="2">
        <v>2</v>
      </c>
      <c r="B88" s="2">
        <v>1024</v>
      </c>
      <c r="C88" s="2">
        <v>256</v>
      </c>
      <c r="D88" s="2" t="s">
        <v>13</v>
      </c>
      <c r="E88" s="2" t="s">
        <v>14</v>
      </c>
      <c r="F88" s="2">
        <v>86263</v>
      </c>
      <c r="G88" s="2">
        <v>258618.35920100001</v>
      </c>
      <c r="H88" s="2">
        <v>256666.07399799899</v>
      </c>
      <c r="I88" s="2">
        <f t="shared" si="1"/>
        <v>7.548904142121231E-3</v>
      </c>
      <c r="J88" s="2">
        <v>388.283952474594</v>
      </c>
      <c r="K88" s="2">
        <v>3.79900000552879E-4</v>
      </c>
      <c r="M88" s="2">
        <v>0.61</v>
      </c>
    </row>
    <row r="89" spans="1:20" x14ac:dyDescent="0.3">
      <c r="A89" s="2">
        <v>2</v>
      </c>
      <c r="B89" s="2">
        <v>1024</v>
      </c>
      <c r="C89" s="2">
        <v>256</v>
      </c>
      <c r="D89" s="2" t="s">
        <v>13</v>
      </c>
      <c r="E89" s="2" t="s">
        <v>15</v>
      </c>
      <c r="F89" s="2">
        <v>51166</v>
      </c>
      <c r="G89" s="2">
        <v>147824.319846</v>
      </c>
      <c r="H89" s="2">
        <v>147266.67233133299</v>
      </c>
      <c r="I89" s="2">
        <f t="shared" si="1"/>
        <v>3.7723665175524376E-3</v>
      </c>
      <c r="J89" s="2">
        <v>276.90587306022599</v>
      </c>
      <c r="K89" s="2">
        <v>4.69900000098277E-4</v>
      </c>
      <c r="M89" s="2">
        <v>0.61</v>
      </c>
    </row>
    <row r="90" spans="1:20" x14ac:dyDescent="0.3">
      <c r="A90" s="2">
        <v>3</v>
      </c>
      <c r="B90" s="2">
        <v>1024</v>
      </c>
      <c r="C90" s="2">
        <v>256</v>
      </c>
      <c r="D90" s="2" t="s">
        <v>13</v>
      </c>
      <c r="E90" s="2" t="s">
        <v>14</v>
      </c>
      <c r="F90" s="2">
        <v>132141</v>
      </c>
      <c r="G90" s="2">
        <v>397299.27833100001</v>
      </c>
      <c r="H90" s="2">
        <v>401863.38599799998</v>
      </c>
      <c r="I90" s="2">
        <f t="shared" si="1"/>
        <v>1.1487832764693577E-2</v>
      </c>
      <c r="J90" s="2">
        <v>895.88108181953396</v>
      </c>
      <c r="K90" s="2">
        <v>3.8400000084948201E-4</v>
      </c>
      <c r="M90" s="2">
        <v>0.61</v>
      </c>
    </row>
    <row r="91" spans="1:20" x14ac:dyDescent="0.3">
      <c r="A91" s="2">
        <v>3</v>
      </c>
      <c r="B91" s="2">
        <v>1024</v>
      </c>
      <c r="C91" s="2">
        <v>256</v>
      </c>
      <c r="D91" s="2" t="s">
        <v>13</v>
      </c>
      <c r="E91" s="2" t="s">
        <v>15</v>
      </c>
      <c r="F91" s="2">
        <v>96343</v>
      </c>
      <c r="G91" s="2">
        <v>399998.47829</v>
      </c>
      <c r="H91" s="2">
        <v>405232.345998</v>
      </c>
      <c r="I91" s="2">
        <f t="shared" si="1"/>
        <v>1.3084719047869569E-2</v>
      </c>
      <c r="J91" s="2">
        <v>805.63585758209194</v>
      </c>
      <c r="K91" s="2">
        <v>4.7679999988758899E-4</v>
      </c>
      <c r="M91" s="2">
        <v>0.61</v>
      </c>
    </row>
    <row r="92" spans="1:20" x14ac:dyDescent="0.3">
      <c r="A92" s="2">
        <v>4</v>
      </c>
      <c r="B92" s="2">
        <v>1024</v>
      </c>
      <c r="C92" s="2">
        <v>256</v>
      </c>
      <c r="D92" s="2" t="s">
        <v>13</v>
      </c>
      <c r="E92" s="2" t="s">
        <v>14</v>
      </c>
      <c r="F92" s="2">
        <v>177453</v>
      </c>
      <c r="G92" s="2">
        <v>548837.79736800003</v>
      </c>
      <c r="H92" s="2">
        <v>539068.37799800001</v>
      </c>
      <c r="I92" s="2">
        <f t="shared" si="1"/>
        <v>1.7800194186424711E-2</v>
      </c>
      <c r="J92" s="2">
        <v>1126.55833649635</v>
      </c>
      <c r="K92" s="2">
        <v>6.3810000028752202E-4</v>
      </c>
      <c r="M92" s="2">
        <v>0.62</v>
      </c>
    </row>
    <row r="93" spans="1:20" x14ac:dyDescent="0.3">
      <c r="A93" s="2">
        <v>4</v>
      </c>
      <c r="B93" s="2">
        <v>1024</v>
      </c>
      <c r="C93" s="2">
        <v>256</v>
      </c>
      <c r="D93" s="2" t="s">
        <v>13</v>
      </c>
      <c r="E93" s="2" t="s">
        <v>15</v>
      </c>
      <c r="F93" s="2">
        <v>182061</v>
      </c>
      <c r="G93" s="2">
        <v>554290.79734499997</v>
      </c>
      <c r="H93" s="2">
        <v>544444.37799800001</v>
      </c>
      <c r="I93" s="2">
        <f t="shared" si="1"/>
        <v>1.7763995711571199E-2</v>
      </c>
      <c r="J93" s="2">
        <v>110.919094800949</v>
      </c>
      <c r="K93" s="2">
        <v>4.6449999899778001E-4</v>
      </c>
      <c r="M93" s="2">
        <v>0</v>
      </c>
    </row>
    <row r="94" spans="1:20" x14ac:dyDescent="0.3">
      <c r="A94" s="2">
        <v>5</v>
      </c>
      <c r="B94" s="2">
        <v>1024</v>
      </c>
      <c r="C94" s="2">
        <v>256</v>
      </c>
      <c r="D94" s="2" t="s">
        <v>13</v>
      </c>
      <c r="E94" s="2" t="s">
        <v>14</v>
      </c>
      <c r="F94" s="2">
        <v>235047</v>
      </c>
      <c r="G94" s="2">
        <v>682629.35671800002</v>
      </c>
      <c r="H94" s="2">
        <v>683139.28999800002</v>
      </c>
      <c r="I94" s="2">
        <f t="shared" si="1"/>
        <v>7.4701340483171637E-4</v>
      </c>
      <c r="J94" s="2">
        <v>1774.98084259033</v>
      </c>
      <c r="K94" s="2">
        <v>4.4270000034884999E-4</v>
      </c>
      <c r="M94" s="2">
        <v>0.83</v>
      </c>
    </row>
    <row r="95" spans="1:20" x14ac:dyDescent="0.3">
      <c r="A95" s="2">
        <v>5</v>
      </c>
      <c r="B95" s="2">
        <v>1024</v>
      </c>
      <c r="C95" s="2">
        <v>256</v>
      </c>
      <c r="D95" s="2" t="s">
        <v>13</v>
      </c>
      <c r="E95" s="2" t="s">
        <v>15</v>
      </c>
      <c r="F95" s="2">
        <v>184234</v>
      </c>
      <c r="G95" s="2">
        <v>689761.51676000003</v>
      </c>
      <c r="H95" s="2">
        <v>688802.00999799999</v>
      </c>
      <c r="I95" s="2">
        <f t="shared" si="1"/>
        <v>1.3910703028303193E-3</v>
      </c>
      <c r="J95" s="2">
        <v>1937.70070242881</v>
      </c>
      <c r="K95" s="2">
        <v>3.8279999898804801E-4</v>
      </c>
      <c r="M95" s="2">
        <v>0.83</v>
      </c>
    </row>
    <row r="96" spans="1:20" x14ac:dyDescent="0.3">
      <c r="A96" s="2">
        <v>6</v>
      </c>
      <c r="B96" s="2">
        <v>1024</v>
      </c>
      <c r="C96" s="2">
        <v>256</v>
      </c>
      <c r="D96" s="2" t="s">
        <v>13</v>
      </c>
      <c r="E96" s="2" t="s">
        <v>14</v>
      </c>
      <c r="F96" s="2">
        <v>285914</v>
      </c>
      <c r="G96" s="2">
        <v>825723.07622399996</v>
      </c>
      <c r="H96" s="2">
        <v>823216.60199799901</v>
      </c>
      <c r="I96" s="2">
        <f t="shared" si="1"/>
        <v>3.0354901033685074E-3</v>
      </c>
      <c r="J96" s="2">
        <v>2618.6219620704601</v>
      </c>
      <c r="K96" s="2">
        <v>3.54600000719074E-4</v>
      </c>
      <c r="M96" s="2">
        <v>0.95</v>
      </c>
    </row>
    <row r="97" spans="1:20" x14ac:dyDescent="0.3">
      <c r="A97" s="2">
        <v>6</v>
      </c>
      <c r="B97" s="2">
        <v>1024</v>
      </c>
      <c r="C97" s="2">
        <v>256</v>
      </c>
      <c r="D97" s="2" t="s">
        <v>13</v>
      </c>
      <c r="E97" s="2" t="s">
        <v>15</v>
      </c>
      <c r="F97" s="2">
        <v>290522</v>
      </c>
      <c r="G97" s="2">
        <v>835435.71618500003</v>
      </c>
      <c r="H97" s="2">
        <v>830026.20199799899</v>
      </c>
      <c r="I97" s="2">
        <f t="shared" si="1"/>
        <v>6.4750813045239154E-3</v>
      </c>
      <c r="J97" s="2">
        <v>2853.6572065353298</v>
      </c>
      <c r="K97" s="2">
        <v>4.8609999976178999E-4</v>
      </c>
      <c r="M97" s="2">
        <v>0.95</v>
      </c>
    </row>
    <row r="98" spans="1:20" s="3" customFormat="1" x14ac:dyDescent="0.3">
      <c r="A98" s="3">
        <v>7</v>
      </c>
      <c r="B98" s="3">
        <v>1024</v>
      </c>
      <c r="C98" s="3">
        <v>256</v>
      </c>
      <c r="D98" s="3" t="s">
        <v>13</v>
      </c>
      <c r="E98" s="3" t="s">
        <v>14</v>
      </c>
      <c r="F98" s="3">
        <v>341025</v>
      </c>
      <c r="G98" s="3">
        <v>1021325.470022</v>
      </c>
      <c r="H98" s="3">
        <v>967325.913997998</v>
      </c>
      <c r="I98" s="3">
        <f t="shared" si="1"/>
        <v>5.2872035026051825E-2</v>
      </c>
      <c r="J98" s="3">
        <v>5963.1464505195599</v>
      </c>
      <c r="K98" s="3">
        <v>3.6120000004302699E-4</v>
      </c>
      <c r="M98" s="3">
        <v>1.0900000000000001</v>
      </c>
      <c r="T98" s="2"/>
    </row>
    <row r="99" spans="1:20" s="3" customFormat="1" x14ac:dyDescent="0.3">
      <c r="A99" s="3">
        <v>7</v>
      </c>
      <c r="B99" s="3">
        <v>1024</v>
      </c>
      <c r="C99" s="3">
        <v>256</v>
      </c>
      <c r="D99" s="3" t="s">
        <v>13</v>
      </c>
      <c r="E99" s="3" t="s">
        <v>15</v>
      </c>
      <c r="F99" s="3">
        <v>345505</v>
      </c>
      <c r="G99" s="3">
        <v>1028206.470013</v>
      </c>
      <c r="H99" s="3">
        <v>976787.67399799905</v>
      </c>
      <c r="I99" s="3">
        <f t="shared" si="1"/>
        <v>5.0008240090485712E-2</v>
      </c>
      <c r="J99" s="3">
        <v>6055.9377751350403</v>
      </c>
      <c r="K99" s="3">
        <v>4.4549999984155799E-4</v>
      </c>
      <c r="M99" s="3">
        <v>1.0900000000000001</v>
      </c>
      <c r="T99" s="2"/>
    </row>
    <row r="100" spans="1:20" s="3" customFormat="1" x14ac:dyDescent="0.3">
      <c r="A100" s="3">
        <v>8</v>
      </c>
      <c r="B100" s="3">
        <v>1024</v>
      </c>
      <c r="C100" s="3">
        <v>256</v>
      </c>
      <c r="D100" s="3" t="s">
        <v>13</v>
      </c>
      <c r="E100" s="3" t="s">
        <v>14</v>
      </c>
      <c r="F100" s="3">
        <v>52461</v>
      </c>
      <c r="G100" s="3">
        <v>132000.400287</v>
      </c>
      <c r="H100" s="3">
        <v>1115451.8659979999</v>
      </c>
      <c r="I100" s="3">
        <f t="shared" si="1"/>
        <v>7.4503672986804927</v>
      </c>
      <c r="J100" s="3">
        <v>210.015091419219</v>
      </c>
      <c r="K100" s="3">
        <v>4.0730000000621598E-4</v>
      </c>
      <c r="M100" s="3">
        <v>0</v>
      </c>
      <c r="T100" s="2"/>
    </row>
    <row r="101" spans="1:20" s="3" customFormat="1" x14ac:dyDescent="0.3">
      <c r="A101" s="3">
        <v>8</v>
      </c>
      <c r="B101" s="3">
        <v>1024</v>
      </c>
      <c r="C101" s="3">
        <v>256</v>
      </c>
      <c r="D101" s="3" t="s">
        <v>13</v>
      </c>
      <c r="E101" s="3" t="s">
        <v>15</v>
      </c>
      <c r="F101" s="3">
        <v>280240</v>
      </c>
      <c r="G101" s="3">
        <v>958553.94973200001</v>
      </c>
      <c r="H101" s="3">
        <v>1124985.3059980001</v>
      </c>
      <c r="I101" s="3">
        <f t="shared" si="1"/>
        <v>0.17362753167156866</v>
      </c>
      <c r="J101" s="3">
        <v>6054.4035129547101</v>
      </c>
      <c r="K101" s="3">
        <v>5.1859999985026596E-4</v>
      </c>
      <c r="M101" s="3">
        <v>0</v>
      </c>
      <c r="T101" s="2"/>
    </row>
    <row r="102" spans="1:20" s="3" customFormat="1" x14ac:dyDescent="0.3">
      <c r="A102" s="3">
        <v>9</v>
      </c>
      <c r="B102" s="3">
        <v>1024</v>
      </c>
      <c r="C102" s="3">
        <v>256</v>
      </c>
      <c r="D102" s="3" t="s">
        <v>13</v>
      </c>
      <c r="E102" s="3" t="s">
        <v>14</v>
      </c>
      <c r="F102" s="3">
        <v>436230</v>
      </c>
      <c r="G102" s="3">
        <v>1317947.667262</v>
      </c>
      <c r="H102" s="3">
        <v>1255413.9779979901</v>
      </c>
      <c r="I102" s="3">
        <f t="shared" si="1"/>
        <v>4.7447778707269885E-2</v>
      </c>
      <c r="J102" s="3">
        <v>7411.9654898643403</v>
      </c>
      <c r="K102" s="3">
        <v>5.2250000044295997E-4</v>
      </c>
      <c r="M102" s="3">
        <v>0</v>
      </c>
      <c r="T102" s="2"/>
    </row>
    <row r="103" spans="1:20" x14ac:dyDescent="0.3">
      <c r="A103" s="2">
        <v>9</v>
      </c>
      <c r="B103" s="2">
        <v>1024</v>
      </c>
      <c r="C103" s="2">
        <v>256</v>
      </c>
      <c r="D103" s="2" t="s">
        <v>13</v>
      </c>
      <c r="E103" s="2" t="s">
        <v>15</v>
      </c>
      <c r="F103" s="2">
        <v>442378</v>
      </c>
      <c r="G103" s="2">
        <v>70900.479609999995</v>
      </c>
      <c r="H103" s="2">
        <v>1265234.13799799</v>
      </c>
      <c r="I103" s="2">
        <f t="shared" si="1"/>
        <v>16.845212683434909</v>
      </c>
      <c r="J103" s="2">
        <v>8655.7831284999793</v>
      </c>
      <c r="K103" s="2">
        <v>6.4100000054167995E-4</v>
      </c>
      <c r="M103" s="2">
        <v>1.33</v>
      </c>
    </row>
    <row r="104" spans="1:20" x14ac:dyDescent="0.3">
      <c r="A104" s="2">
        <v>10</v>
      </c>
      <c r="B104" s="2">
        <v>1024</v>
      </c>
      <c r="C104" s="2">
        <v>256</v>
      </c>
      <c r="D104" s="2" t="s">
        <v>13</v>
      </c>
      <c r="E104" s="2" t="s">
        <v>14</v>
      </c>
      <c r="F104" s="2">
        <v>483348</v>
      </c>
      <c r="G104" s="2">
        <v>164277.40046199999</v>
      </c>
      <c r="H104" s="2">
        <v>1393456.0899980001</v>
      </c>
      <c r="I104" s="2">
        <f t="shared" si="1"/>
        <v>7.4823358908721529</v>
      </c>
      <c r="J104" s="2">
        <v>7105.6472327709198</v>
      </c>
      <c r="K104" s="2">
        <v>4.6930000098655E-4</v>
      </c>
      <c r="M104" s="2">
        <v>1.47</v>
      </c>
    </row>
    <row r="105" spans="1:20" x14ac:dyDescent="0.3">
      <c r="A105" s="2">
        <v>10</v>
      </c>
      <c r="B105" s="2">
        <v>1024</v>
      </c>
      <c r="C105" s="2">
        <v>256</v>
      </c>
      <c r="D105" s="2" t="s">
        <v>13</v>
      </c>
      <c r="E105" s="2" t="s">
        <v>15</v>
      </c>
      <c r="F105" s="2">
        <v>355860</v>
      </c>
      <c r="G105" s="2">
        <v>1382550.1137570001</v>
      </c>
      <c r="H105" s="2">
        <v>1404853.2099979999</v>
      </c>
      <c r="I105" s="2">
        <f t="shared" si="1"/>
        <v>1.6131853752767412E-2</v>
      </c>
      <c r="J105" s="2">
        <v>7689.28512406349</v>
      </c>
      <c r="K105" s="2">
        <v>5.0440000086382497E-4</v>
      </c>
      <c r="M105" s="2">
        <v>1.47</v>
      </c>
    </row>
    <row r="106" spans="1:20" x14ac:dyDescent="0.3">
      <c r="A106" s="2">
        <v>11</v>
      </c>
      <c r="B106" s="2">
        <v>1024</v>
      </c>
      <c r="C106" s="2">
        <v>256</v>
      </c>
      <c r="D106" s="2" t="s">
        <v>13</v>
      </c>
      <c r="E106" s="2" t="s">
        <v>14</v>
      </c>
      <c r="F106" s="2">
        <v>501881</v>
      </c>
      <c r="G106" s="2">
        <v>1503968.1929969999</v>
      </c>
      <c r="H106" s="2">
        <v>1535338.20199799</v>
      </c>
      <c r="I106" s="2">
        <f t="shared" si="1"/>
        <v>2.0858159864723051E-2</v>
      </c>
      <c r="J106" s="2">
        <v>12190.2471094131</v>
      </c>
      <c r="K106" s="2">
        <v>4.2969999958586403E-4</v>
      </c>
      <c r="M106" s="2">
        <v>1.56</v>
      </c>
    </row>
    <row r="107" spans="1:20" x14ac:dyDescent="0.3">
      <c r="A107" s="2">
        <v>11</v>
      </c>
      <c r="B107" s="2">
        <v>1024</v>
      </c>
      <c r="C107" s="2">
        <v>256</v>
      </c>
      <c r="D107" s="2" t="s">
        <v>13</v>
      </c>
      <c r="E107" s="2" t="s">
        <v>15</v>
      </c>
      <c r="F107" s="2">
        <v>507887</v>
      </c>
      <c r="G107" s="2">
        <v>1520993.5929439999</v>
      </c>
      <c r="H107" s="2">
        <v>1550247.64199799</v>
      </c>
      <c r="I107" s="2">
        <f t="shared" si="1"/>
        <v>1.9233512349888727E-2</v>
      </c>
      <c r="J107" s="2">
        <v>13067.8747498989</v>
      </c>
      <c r="K107" s="2">
        <v>4.3960000039078198E-4</v>
      </c>
      <c r="M107" s="2">
        <v>1.56</v>
      </c>
    </row>
    <row r="108" spans="1:20" x14ac:dyDescent="0.3">
      <c r="A108" s="2">
        <v>12</v>
      </c>
      <c r="B108" s="2">
        <v>1024</v>
      </c>
      <c r="C108" s="2">
        <v>256</v>
      </c>
      <c r="D108" s="2" t="s">
        <v>13</v>
      </c>
      <c r="E108" s="2" t="s">
        <v>14</v>
      </c>
      <c r="F108" s="2">
        <v>545649</v>
      </c>
      <c r="G108" s="2">
        <v>1639356.312381</v>
      </c>
      <c r="H108" s="2">
        <v>1674685.9139980001</v>
      </c>
      <c r="I108" s="2">
        <f t="shared" si="1"/>
        <v>2.1550898575360578E-2</v>
      </c>
      <c r="J108" s="2">
        <v>7195.2394256591797</v>
      </c>
      <c r="K108" s="2">
        <v>5.6169999879784795E-4</v>
      </c>
      <c r="M108" s="2">
        <v>1.67</v>
      </c>
    </row>
    <row r="109" spans="1:20" x14ac:dyDescent="0.3">
      <c r="A109" s="2">
        <v>12</v>
      </c>
      <c r="B109" s="2">
        <v>1024</v>
      </c>
      <c r="C109" s="2">
        <v>256</v>
      </c>
      <c r="D109" s="2" t="s">
        <v>13</v>
      </c>
      <c r="E109" s="2" t="s">
        <v>15</v>
      </c>
      <c r="F109" s="2">
        <v>553328</v>
      </c>
      <c r="G109" s="2">
        <v>1656522.552344</v>
      </c>
      <c r="H109" s="2">
        <v>1691100.6339980001</v>
      </c>
      <c r="I109" s="2">
        <f t="shared" si="1"/>
        <v>2.087389731282057E-2</v>
      </c>
      <c r="J109" s="2">
        <v>7380.4905071258499</v>
      </c>
      <c r="K109" s="2">
        <v>5.4650000129185996E-4</v>
      </c>
      <c r="M109" s="2">
        <v>1.67</v>
      </c>
    </row>
    <row r="110" spans="1:20" x14ac:dyDescent="0.3">
      <c r="A110" s="2">
        <v>2</v>
      </c>
      <c r="B110" s="2">
        <v>1024</v>
      </c>
      <c r="C110" s="2">
        <v>512</v>
      </c>
      <c r="D110" s="2" t="s">
        <v>13</v>
      </c>
      <c r="E110" s="2" t="s">
        <v>14</v>
      </c>
      <c r="F110" s="2">
        <v>96317</v>
      </c>
      <c r="G110" s="2">
        <v>271381.87890499999</v>
      </c>
      <c r="H110" s="2">
        <v>267546.427998</v>
      </c>
      <c r="I110" s="2">
        <f t="shared" si="1"/>
        <v>1.4133039842142998E-2</v>
      </c>
      <c r="J110" s="2">
        <v>584.72976636886597</v>
      </c>
      <c r="K110" s="2">
        <v>4.1799999962677199E-4</v>
      </c>
      <c r="M110" s="2">
        <v>0.61</v>
      </c>
    </row>
    <row r="111" spans="1:20" x14ac:dyDescent="0.3">
      <c r="A111" s="2">
        <v>2</v>
      </c>
      <c r="B111" s="2">
        <v>1024</v>
      </c>
      <c r="C111" s="2">
        <v>512</v>
      </c>
      <c r="D111" s="2" t="s">
        <v>13</v>
      </c>
      <c r="E111" s="2" t="s">
        <v>15</v>
      </c>
      <c r="F111" s="2">
        <v>55175</v>
      </c>
      <c r="G111" s="2">
        <v>150503.07965</v>
      </c>
      <c r="H111" s="2">
        <v>150519.639664666</v>
      </c>
      <c r="I111" s="2">
        <f t="shared" si="1"/>
        <v>1.1003106849714165E-4</v>
      </c>
      <c r="J111" s="2">
        <v>262.01548433303799</v>
      </c>
      <c r="K111" s="2">
        <v>5.1999999959662004E-4</v>
      </c>
      <c r="M111" s="2">
        <v>0.61</v>
      </c>
    </row>
    <row r="112" spans="1:20" x14ac:dyDescent="0.3">
      <c r="A112" s="2">
        <v>3</v>
      </c>
      <c r="B112" s="2">
        <v>1024</v>
      </c>
      <c r="C112" s="2">
        <v>512</v>
      </c>
      <c r="D112" s="2" t="s">
        <v>13</v>
      </c>
      <c r="E112" s="2" t="s">
        <v>14</v>
      </c>
      <c r="F112" s="2">
        <v>152253</v>
      </c>
      <c r="G112" s="2">
        <v>427494.19776399998</v>
      </c>
      <c r="H112" s="2">
        <v>429310.26799800002</v>
      </c>
      <c r="I112" s="2">
        <f t="shared" si="1"/>
        <v>4.2481751647132577E-3</v>
      </c>
      <c r="J112" s="2">
        <v>703.75305557250897</v>
      </c>
      <c r="K112" s="2">
        <v>5.5179999981191897E-4</v>
      </c>
      <c r="M112" s="2">
        <v>0.61</v>
      </c>
    </row>
    <row r="113" spans="1:20" x14ac:dyDescent="0.3">
      <c r="A113" s="2">
        <v>3</v>
      </c>
      <c r="B113" s="2">
        <v>1024</v>
      </c>
      <c r="C113" s="2">
        <v>512</v>
      </c>
      <c r="D113" s="2" t="s">
        <v>13</v>
      </c>
      <c r="E113" s="2" t="s">
        <v>15</v>
      </c>
      <c r="F113" s="2">
        <v>155066</v>
      </c>
      <c r="G113" s="2">
        <v>432700.517681</v>
      </c>
      <c r="H113" s="2">
        <v>436048.18799800001</v>
      </c>
      <c r="I113" s="2">
        <f t="shared" si="1"/>
        <v>7.736691268458374E-3</v>
      </c>
      <c r="J113" s="2">
        <v>713.86491227149895</v>
      </c>
      <c r="K113" s="2">
        <v>6.0819999998784602E-4</v>
      </c>
      <c r="M113" s="2">
        <v>0.61</v>
      </c>
    </row>
    <row r="114" spans="1:20" x14ac:dyDescent="0.3">
      <c r="A114" s="2">
        <v>4</v>
      </c>
      <c r="B114" s="2">
        <v>1024</v>
      </c>
      <c r="C114" s="2">
        <v>512</v>
      </c>
      <c r="D114" s="2" t="s">
        <v>13</v>
      </c>
      <c r="E114" s="2" t="s">
        <v>14</v>
      </c>
      <c r="F114" s="2">
        <v>154295</v>
      </c>
      <c r="G114" s="2">
        <v>593075.27649299998</v>
      </c>
      <c r="H114" s="2">
        <v>578253.62799799896</v>
      </c>
      <c r="I114" s="2">
        <f t="shared" si="1"/>
        <v>2.49911757958367E-2</v>
      </c>
      <c r="J114" s="2">
        <v>1621.5945811271599</v>
      </c>
      <c r="K114" s="2">
        <v>4.8520000018470401E-4</v>
      </c>
      <c r="M114" s="2">
        <v>0.66</v>
      </c>
    </row>
    <row r="115" spans="1:20" x14ac:dyDescent="0.3">
      <c r="A115" s="2">
        <v>4</v>
      </c>
      <c r="B115" s="2">
        <v>1024</v>
      </c>
      <c r="C115" s="2">
        <v>512</v>
      </c>
      <c r="D115" s="2" t="s">
        <v>13</v>
      </c>
      <c r="E115" s="2" t="s">
        <v>15</v>
      </c>
      <c r="F115" s="2">
        <v>213105</v>
      </c>
      <c r="G115" s="2">
        <v>603970.63644799998</v>
      </c>
      <c r="H115" s="2">
        <v>589005.62799799896</v>
      </c>
      <c r="I115" s="2">
        <f t="shared" si="1"/>
        <v>2.4777708628372124E-2</v>
      </c>
      <c r="J115" s="2">
        <v>1464.22524428367</v>
      </c>
      <c r="K115" s="2">
        <v>5.9440000040922303E-4</v>
      </c>
      <c r="M115" s="2">
        <v>0.62</v>
      </c>
    </row>
    <row r="116" spans="1:20" x14ac:dyDescent="0.3">
      <c r="A116" s="2">
        <v>5</v>
      </c>
      <c r="B116" s="2">
        <v>1024</v>
      </c>
      <c r="C116" s="2">
        <v>512</v>
      </c>
      <c r="D116" s="2" t="s">
        <v>13</v>
      </c>
      <c r="E116" s="2" t="s">
        <v>14</v>
      </c>
      <c r="F116" s="2">
        <v>271789</v>
      </c>
      <c r="G116" s="2">
        <v>742239.39563399996</v>
      </c>
      <c r="H116" s="2">
        <v>737017.14799800003</v>
      </c>
      <c r="I116" s="2">
        <f t="shared" si="1"/>
        <v>7.0357995906957091E-3</v>
      </c>
      <c r="J116" s="2">
        <v>2208.1732347011498</v>
      </c>
      <c r="K116" s="2">
        <v>4.6130000009725298E-4</v>
      </c>
      <c r="M116" s="2">
        <v>0.83</v>
      </c>
    </row>
    <row r="117" spans="1:20" x14ac:dyDescent="0.3">
      <c r="A117" s="2">
        <v>5</v>
      </c>
      <c r="B117" s="2">
        <v>1024</v>
      </c>
      <c r="C117" s="2">
        <v>512</v>
      </c>
      <c r="D117" s="2" t="s">
        <v>13</v>
      </c>
      <c r="E117" s="2" t="s">
        <v>15</v>
      </c>
      <c r="F117" s="2">
        <v>277423</v>
      </c>
      <c r="G117" s="2">
        <v>756505.39571800001</v>
      </c>
      <c r="H117" s="2">
        <v>748342.58799799997</v>
      </c>
      <c r="I117" s="2">
        <f t="shared" si="1"/>
        <v>1.0790151354112567E-2</v>
      </c>
      <c r="J117" s="2">
        <v>2568.6663932800202</v>
      </c>
      <c r="K117" s="2">
        <v>5.1850000090780603E-4</v>
      </c>
      <c r="M117" s="2">
        <v>0.83</v>
      </c>
    </row>
    <row r="118" spans="1:20" x14ac:dyDescent="0.3">
      <c r="A118" s="2">
        <v>6</v>
      </c>
      <c r="B118" s="2">
        <v>1024</v>
      </c>
      <c r="C118" s="2">
        <v>512</v>
      </c>
      <c r="D118" s="2" t="s">
        <v>13</v>
      </c>
      <c r="E118" s="2" t="s">
        <v>14</v>
      </c>
      <c r="F118" s="2">
        <v>334593</v>
      </c>
      <c r="G118" s="2">
        <v>719723.47667300003</v>
      </c>
      <c r="H118" s="2">
        <v>890148.667997999</v>
      </c>
      <c r="I118" s="2">
        <f t="shared" si="1"/>
        <v>0.23679259722471183</v>
      </c>
      <c r="J118" s="2">
        <v>3764.1459763050002</v>
      </c>
      <c r="K118" s="2">
        <v>4.7799999993003401E-4</v>
      </c>
      <c r="M118" s="2">
        <v>0.95</v>
      </c>
    </row>
    <row r="119" spans="1:20" x14ac:dyDescent="0.3">
      <c r="A119" s="2">
        <v>6</v>
      </c>
      <c r="B119" s="2">
        <v>1024</v>
      </c>
      <c r="C119" s="2">
        <v>512</v>
      </c>
      <c r="D119" s="2" t="s">
        <v>13</v>
      </c>
      <c r="E119" s="2" t="s">
        <v>15</v>
      </c>
      <c r="F119" s="2">
        <v>343818</v>
      </c>
      <c r="G119" s="2">
        <v>921460.11502200004</v>
      </c>
      <c r="H119" s="2">
        <v>903767.86799799895</v>
      </c>
      <c r="I119" s="2">
        <f t="shared" si="1"/>
        <v>1.920023095473718E-2</v>
      </c>
      <c r="J119" s="2">
        <v>4260.4900496006003</v>
      </c>
      <c r="K119" s="2">
        <v>5.3169999955571202E-4</v>
      </c>
      <c r="M119" s="2">
        <v>0.95</v>
      </c>
    </row>
    <row r="120" spans="1:20" x14ac:dyDescent="0.3">
      <c r="A120" s="2">
        <v>7</v>
      </c>
      <c r="B120" s="2">
        <v>1024</v>
      </c>
      <c r="C120" s="2">
        <v>512</v>
      </c>
      <c r="D120" s="2" t="s">
        <v>13</v>
      </c>
      <c r="E120" s="2" t="s">
        <v>14</v>
      </c>
      <c r="F120" s="2">
        <v>399561</v>
      </c>
      <c r="G120" s="2">
        <v>53543.279906000003</v>
      </c>
      <c r="H120" s="2">
        <v>1048425.78799799</v>
      </c>
      <c r="I120" s="2">
        <f t="shared" si="1"/>
        <v>18.580903333501325</v>
      </c>
      <c r="J120" s="2">
        <v>7518.5014927387201</v>
      </c>
      <c r="K120" s="2">
        <v>5.0530000044091096E-4</v>
      </c>
      <c r="M120" s="2">
        <v>1.0900000000000001</v>
      </c>
    </row>
    <row r="121" spans="1:20" x14ac:dyDescent="0.3">
      <c r="A121" s="2">
        <v>7</v>
      </c>
      <c r="B121" s="2">
        <v>1024</v>
      </c>
      <c r="C121" s="2">
        <v>512</v>
      </c>
      <c r="D121" s="2" t="s">
        <v>13</v>
      </c>
      <c r="E121" s="2" t="s">
        <v>15</v>
      </c>
      <c r="F121" s="2">
        <v>408524</v>
      </c>
      <c r="G121" s="2">
        <v>1077573.5541409999</v>
      </c>
      <c r="H121" s="2">
        <v>1067349.3079979899</v>
      </c>
      <c r="I121" s="2">
        <f t="shared" si="1"/>
        <v>9.4882118289923642E-3</v>
      </c>
      <c r="J121" s="2">
        <v>8075.00720858573</v>
      </c>
      <c r="K121" s="2">
        <v>5.4090000048745402E-4</v>
      </c>
      <c r="M121" s="2">
        <v>1.0900000000000001</v>
      </c>
    </row>
    <row r="122" spans="1:20" x14ac:dyDescent="0.3">
      <c r="A122" s="2">
        <v>8</v>
      </c>
      <c r="B122" s="2">
        <v>1024</v>
      </c>
      <c r="C122" s="2">
        <v>512</v>
      </c>
      <c r="D122" s="2" t="s">
        <v>13</v>
      </c>
      <c r="E122" s="2" t="s">
        <v>14</v>
      </c>
      <c r="F122" s="2">
        <v>450901</v>
      </c>
      <c r="G122" s="2">
        <v>1203118.553236</v>
      </c>
      <c r="H122" s="2">
        <v>1218780.9879980001</v>
      </c>
      <c r="I122" s="2">
        <f t="shared" si="1"/>
        <v>1.3018197350438342E-2</v>
      </c>
      <c r="J122" s="2">
        <v>7321.7629058360999</v>
      </c>
      <c r="K122" s="2">
        <v>5.2289999985077797E-4</v>
      </c>
      <c r="M122" s="2">
        <v>1.21</v>
      </c>
    </row>
    <row r="123" spans="1:20" x14ac:dyDescent="0.3">
      <c r="A123" s="2">
        <v>8</v>
      </c>
      <c r="B123" s="2">
        <v>1024</v>
      </c>
      <c r="C123" s="2">
        <v>512</v>
      </c>
      <c r="D123" s="2" t="s">
        <v>13</v>
      </c>
      <c r="E123" s="2" t="s">
        <v>15</v>
      </c>
      <c r="F123" s="2">
        <v>460374</v>
      </c>
      <c r="G123" s="2">
        <v>1231431.3132879999</v>
      </c>
      <c r="H123" s="2">
        <v>1237847.867998</v>
      </c>
      <c r="I123" s="2">
        <f t="shared" si="1"/>
        <v>5.2106476754009493E-3</v>
      </c>
      <c r="J123" s="2">
        <v>8403.3401587009394</v>
      </c>
      <c r="K123" s="2">
        <v>5.91200001508696E-4</v>
      </c>
      <c r="M123" s="2">
        <v>1.21</v>
      </c>
    </row>
    <row r="124" spans="1:20" x14ac:dyDescent="0.3">
      <c r="A124" s="2">
        <v>9</v>
      </c>
      <c r="B124" s="2">
        <v>1024</v>
      </c>
      <c r="C124" s="2">
        <v>512</v>
      </c>
      <c r="D124" s="2" t="s">
        <v>13</v>
      </c>
      <c r="E124" s="2" t="s">
        <v>14</v>
      </c>
      <c r="F124" s="2">
        <v>506255</v>
      </c>
      <c r="G124" s="2">
        <v>1353333.7926109999</v>
      </c>
      <c r="H124" s="2">
        <v>1372654.907998</v>
      </c>
      <c r="I124" s="2">
        <f t="shared" si="1"/>
        <v>1.4276681401506815E-2</v>
      </c>
      <c r="J124" s="2">
        <v>9036.6655459403992</v>
      </c>
      <c r="K124" s="2">
        <v>6.1389999973471201E-4</v>
      </c>
      <c r="M124" s="2">
        <v>1.33</v>
      </c>
    </row>
    <row r="125" spans="1:20" x14ac:dyDescent="0.3">
      <c r="A125" s="2">
        <v>9</v>
      </c>
      <c r="B125" s="2">
        <v>1024</v>
      </c>
      <c r="C125" s="2">
        <v>512</v>
      </c>
      <c r="D125" s="2" t="s">
        <v>13</v>
      </c>
      <c r="E125" s="2" t="s">
        <v>15</v>
      </c>
      <c r="F125" s="2">
        <v>518542</v>
      </c>
      <c r="G125" s="2">
        <v>1380643.872583</v>
      </c>
      <c r="H125" s="2">
        <v>1392295.2279979901</v>
      </c>
      <c r="I125" s="2">
        <f t="shared" si="1"/>
        <v>8.4390737150717762E-3</v>
      </c>
      <c r="J125" s="2">
        <v>9014.9610431194305</v>
      </c>
      <c r="K125" s="2">
        <v>5.36899999133311E-4</v>
      </c>
      <c r="M125" s="2">
        <v>1.33</v>
      </c>
    </row>
    <row r="126" spans="1:20" x14ac:dyDescent="0.3">
      <c r="A126" s="2">
        <v>10</v>
      </c>
      <c r="B126" s="2">
        <v>1024</v>
      </c>
      <c r="C126" s="2">
        <v>512</v>
      </c>
      <c r="D126" s="2" t="s">
        <v>13</v>
      </c>
      <c r="E126" s="2" t="s">
        <v>14</v>
      </c>
      <c r="F126" s="2">
        <v>560085</v>
      </c>
      <c r="G126" s="2">
        <v>1504505.792011</v>
      </c>
      <c r="H126" s="2">
        <v>1523968.827998</v>
      </c>
      <c r="I126" s="2">
        <f t="shared" si="1"/>
        <v>1.2936497878804895E-2</v>
      </c>
      <c r="J126" s="2">
        <v>7200.3747651576996</v>
      </c>
      <c r="K126" s="2">
        <v>5.0260000170965202E-4</v>
      </c>
      <c r="M126" s="2">
        <v>1.47</v>
      </c>
    </row>
    <row r="127" spans="1:20" x14ac:dyDescent="0.3">
      <c r="A127" s="2">
        <v>10</v>
      </c>
      <c r="B127" s="2">
        <v>1024</v>
      </c>
      <c r="C127" s="2">
        <v>512</v>
      </c>
      <c r="D127" s="2" t="s">
        <v>13</v>
      </c>
      <c r="E127" s="2" t="s">
        <v>15</v>
      </c>
      <c r="F127" s="2">
        <v>572376</v>
      </c>
      <c r="G127" s="2">
        <v>1533679.5519439999</v>
      </c>
      <c r="H127" s="2">
        <v>1546763.067998</v>
      </c>
      <c r="I127" s="2">
        <f t="shared" si="1"/>
        <v>8.5308016511116223E-3</v>
      </c>
      <c r="J127" s="2">
        <v>8321.6550505161194</v>
      </c>
      <c r="K127" s="2">
        <v>7.5359999937063505E-4</v>
      </c>
      <c r="M127" s="2">
        <v>1.47</v>
      </c>
    </row>
    <row r="128" spans="1:20" s="3" customFormat="1" x14ac:dyDescent="0.3">
      <c r="A128" s="3">
        <v>11</v>
      </c>
      <c r="B128" s="3">
        <v>1024</v>
      </c>
      <c r="C128" s="3">
        <v>512</v>
      </c>
      <c r="D128" s="3" t="s">
        <v>13</v>
      </c>
      <c r="E128" s="3" t="s">
        <v>14</v>
      </c>
      <c r="F128" s="3">
        <v>69194</v>
      </c>
      <c r="G128" s="3">
        <v>84778.399856000004</v>
      </c>
      <c r="H128" s="3">
        <v>1680402.7479979999</v>
      </c>
      <c r="I128" s="3">
        <f t="shared" si="1"/>
        <v>18.821118950726142</v>
      </c>
      <c r="J128" s="3">
        <v>425.39773607254</v>
      </c>
      <c r="K128" s="3">
        <v>8.7059999896155205E-4</v>
      </c>
      <c r="M128" s="3">
        <v>0</v>
      </c>
      <c r="T128" s="2"/>
    </row>
    <row r="129" spans="1:20" s="3" customFormat="1" x14ac:dyDescent="0.3">
      <c r="A129" s="3">
        <v>11</v>
      </c>
      <c r="B129" s="3">
        <v>1024</v>
      </c>
      <c r="C129" s="3">
        <v>512</v>
      </c>
      <c r="D129" s="3" t="s">
        <v>13</v>
      </c>
      <c r="E129" s="3" t="s">
        <v>15</v>
      </c>
      <c r="F129" s="3">
        <v>117017</v>
      </c>
      <c r="G129" s="3">
        <v>201415.76169399999</v>
      </c>
      <c r="H129" s="3">
        <v>1710221.62799799</v>
      </c>
      <c r="I129" s="3">
        <f t="shared" si="1"/>
        <v>7.4910019633728409</v>
      </c>
      <c r="J129" s="3">
        <v>34.780910491943303</v>
      </c>
      <c r="K129" s="3">
        <v>6.9419999999809003E-4</v>
      </c>
      <c r="M129" s="3">
        <v>0.83</v>
      </c>
      <c r="T129" s="2"/>
    </row>
    <row r="130" spans="1:20" x14ac:dyDescent="0.3">
      <c r="A130" s="2">
        <v>12</v>
      </c>
      <c r="B130" s="2">
        <v>1024</v>
      </c>
      <c r="C130" s="2">
        <v>512</v>
      </c>
      <c r="D130" s="2" t="s">
        <v>13</v>
      </c>
      <c r="E130" s="2" t="s">
        <v>14</v>
      </c>
      <c r="F130" s="2">
        <v>127641</v>
      </c>
      <c r="G130" s="2">
        <v>193395.43880100001</v>
      </c>
      <c r="H130" s="2">
        <v>1833457.4679980001</v>
      </c>
      <c r="I130" s="2">
        <f t="shared" si="1"/>
        <v>8.480355272931698</v>
      </c>
      <c r="J130" s="2">
        <v>36.646604299545203</v>
      </c>
      <c r="K130" s="2">
        <v>5.0609999925654804E-4</v>
      </c>
      <c r="M130" s="2">
        <v>0.83</v>
      </c>
    </row>
    <row r="131" spans="1:20" x14ac:dyDescent="0.3">
      <c r="A131" s="2">
        <v>12</v>
      </c>
      <c r="B131" s="2">
        <v>1024</v>
      </c>
      <c r="C131" s="2">
        <v>512</v>
      </c>
      <c r="D131" s="2" t="s">
        <v>13</v>
      </c>
      <c r="E131" s="2" t="s">
        <v>15</v>
      </c>
      <c r="F131" s="2">
        <v>436744</v>
      </c>
      <c r="G131" s="2">
        <v>1454618.4708430001</v>
      </c>
      <c r="H131" s="2">
        <v>1866286.907998</v>
      </c>
      <c r="I131" s="2">
        <f t="shared" ref="I131:I194" si="2">ABS(G131-H131)/G131</f>
        <v>0.2830078439169168</v>
      </c>
      <c r="J131" s="2">
        <v>96.761588811874304</v>
      </c>
      <c r="K131" s="2">
        <v>5.6070000027830203E-4</v>
      </c>
      <c r="M131" s="2">
        <v>0</v>
      </c>
    </row>
    <row r="132" spans="1:20" x14ac:dyDescent="0.3">
      <c r="A132" s="2">
        <v>2</v>
      </c>
      <c r="B132" s="2">
        <v>1024</v>
      </c>
      <c r="C132" s="2">
        <v>1024</v>
      </c>
      <c r="D132" s="2" t="s">
        <v>13</v>
      </c>
      <c r="E132" s="2" t="s">
        <v>14</v>
      </c>
      <c r="F132" s="2">
        <v>114549</v>
      </c>
      <c r="G132" s="2">
        <v>290694.59726800001</v>
      </c>
      <c r="H132" s="2">
        <v>282033.602999</v>
      </c>
      <c r="I132" s="2">
        <f t="shared" si="2"/>
        <v>2.9794135668146555E-2</v>
      </c>
      <c r="J132" s="2">
        <v>519.13940286636296</v>
      </c>
      <c r="K132" s="2">
        <v>5.1419999908830505E-4</v>
      </c>
      <c r="M132" s="2">
        <v>0.81</v>
      </c>
    </row>
    <row r="133" spans="1:20" x14ac:dyDescent="0.3">
      <c r="A133" s="2">
        <v>2</v>
      </c>
      <c r="B133" s="2">
        <v>1024</v>
      </c>
      <c r="C133" s="2">
        <v>1024</v>
      </c>
      <c r="D133" s="2" t="s">
        <v>13</v>
      </c>
      <c r="E133" s="2" t="s">
        <v>15</v>
      </c>
      <c r="F133" s="2">
        <v>442378</v>
      </c>
      <c r="G133" s="2">
        <v>149839.479012</v>
      </c>
      <c r="H133" s="2">
        <v>150327.02133233301</v>
      </c>
      <c r="I133" s="2">
        <f t="shared" si="2"/>
        <v>3.2537641184268175E-3</v>
      </c>
      <c r="J133" s="2">
        <v>358.93692088127102</v>
      </c>
      <c r="K133" s="2">
        <v>4.53800001196214E-4</v>
      </c>
      <c r="M133" s="2">
        <v>0.81</v>
      </c>
    </row>
    <row r="134" spans="1:20" x14ac:dyDescent="0.3">
      <c r="A134" s="2">
        <v>3</v>
      </c>
      <c r="B134" s="2">
        <v>1024</v>
      </c>
      <c r="C134" s="2">
        <v>1024</v>
      </c>
      <c r="D134" s="2" t="s">
        <v>13</v>
      </c>
      <c r="E134" s="2" t="s">
        <v>14</v>
      </c>
      <c r="F134" s="2">
        <v>187525</v>
      </c>
      <c r="G134" s="2">
        <v>474104.95504600002</v>
      </c>
      <c r="H134" s="2">
        <v>473271.74699900002</v>
      </c>
      <c r="I134" s="2">
        <f t="shared" si="2"/>
        <v>1.7574337456969856E-3</v>
      </c>
      <c r="J134" s="2">
        <v>1138.7039754390701</v>
      </c>
      <c r="K134" s="2">
        <v>6.3599999884900095E-4</v>
      </c>
      <c r="M134" s="2">
        <v>0.81</v>
      </c>
    </row>
    <row r="135" spans="1:20" x14ac:dyDescent="0.3">
      <c r="A135" s="2">
        <v>3</v>
      </c>
      <c r="B135" s="2">
        <v>1024</v>
      </c>
      <c r="C135" s="2">
        <v>1024</v>
      </c>
      <c r="D135" s="2" t="s">
        <v>13</v>
      </c>
      <c r="E135" s="2" t="s">
        <v>15</v>
      </c>
      <c r="F135" s="2">
        <v>193156</v>
      </c>
      <c r="G135" s="2">
        <v>485002.554878</v>
      </c>
      <c r="H135" s="2">
        <v>486747.58699899999</v>
      </c>
      <c r="I135" s="2">
        <f t="shared" si="2"/>
        <v>3.5979854197653676E-3</v>
      </c>
      <c r="J135" s="2">
        <v>1100.25454115867</v>
      </c>
      <c r="K135" s="2">
        <v>7.3359999987587798E-4</v>
      </c>
      <c r="M135" s="2">
        <v>0.81</v>
      </c>
    </row>
    <row r="136" spans="1:20" x14ac:dyDescent="0.3">
      <c r="A136" s="2">
        <v>4</v>
      </c>
      <c r="B136" s="2">
        <v>1024</v>
      </c>
      <c r="C136" s="2">
        <v>1024</v>
      </c>
      <c r="D136" s="2" t="s">
        <v>13</v>
      </c>
      <c r="E136" s="2" t="s">
        <v>14</v>
      </c>
      <c r="F136" s="2">
        <v>253769</v>
      </c>
      <c r="G136" s="2">
        <v>668493.552639</v>
      </c>
      <c r="H136" s="2">
        <v>642033.09099899896</v>
      </c>
      <c r="I136" s="2">
        <f t="shared" si="2"/>
        <v>3.9582224144935362E-2</v>
      </c>
      <c r="J136" s="2">
        <v>1730.98853754997</v>
      </c>
      <c r="K136" s="2">
        <v>6.1749999986204698E-4</v>
      </c>
      <c r="M136" s="2">
        <v>0.81</v>
      </c>
    </row>
    <row r="137" spans="1:20" x14ac:dyDescent="0.3">
      <c r="A137" s="2">
        <v>4</v>
      </c>
      <c r="B137" s="2">
        <v>1024</v>
      </c>
      <c r="C137" s="2">
        <v>1024</v>
      </c>
      <c r="D137" s="2" t="s">
        <v>13</v>
      </c>
      <c r="E137" s="2" t="s">
        <v>15</v>
      </c>
      <c r="F137" s="2">
        <v>272203</v>
      </c>
      <c r="G137" s="2">
        <v>690283.15254799998</v>
      </c>
      <c r="H137" s="2">
        <v>663537.09099899896</v>
      </c>
      <c r="I137" s="2">
        <f t="shared" si="2"/>
        <v>3.8746507792164597E-2</v>
      </c>
      <c r="J137" s="2">
        <v>1968.9335002899099</v>
      </c>
      <c r="K137" s="2">
        <v>7.6330000047164503E-4</v>
      </c>
      <c r="M137" s="2">
        <v>0.81</v>
      </c>
    </row>
    <row r="138" spans="1:20" x14ac:dyDescent="0.3">
      <c r="A138" s="2">
        <v>5</v>
      </c>
      <c r="B138" s="2">
        <v>1024</v>
      </c>
      <c r="C138" s="2">
        <v>1024</v>
      </c>
      <c r="D138" s="2" t="s">
        <v>13</v>
      </c>
      <c r="E138" s="2" t="s">
        <v>14</v>
      </c>
      <c r="F138" s="2">
        <v>342797</v>
      </c>
      <c r="G138" s="2">
        <v>844985.11085499998</v>
      </c>
      <c r="H138" s="2">
        <v>826523.07499900099</v>
      </c>
      <c r="I138" s="2">
        <f t="shared" si="2"/>
        <v>2.1848948127994983E-2</v>
      </c>
      <c r="J138" s="2">
        <v>3013.8670969009399</v>
      </c>
      <c r="K138" s="2">
        <v>6.1650000134250095E-4</v>
      </c>
      <c r="M138" s="2">
        <v>0.83</v>
      </c>
    </row>
    <row r="139" spans="1:20" x14ac:dyDescent="0.3">
      <c r="A139" s="2">
        <v>5</v>
      </c>
      <c r="B139" s="2">
        <v>1024</v>
      </c>
      <c r="C139" s="2">
        <v>1024</v>
      </c>
      <c r="D139" s="2" t="s">
        <v>13</v>
      </c>
      <c r="E139" s="2" t="s">
        <v>15</v>
      </c>
      <c r="F139" s="2">
        <v>354061</v>
      </c>
      <c r="G139" s="2">
        <v>873516.55102300004</v>
      </c>
      <c r="H139" s="2">
        <v>849173.95499899902</v>
      </c>
      <c r="I139" s="2">
        <f t="shared" si="2"/>
        <v>2.7867355226976195E-2</v>
      </c>
      <c r="J139" s="2">
        <v>3930.22429156303</v>
      </c>
      <c r="K139" s="2">
        <v>7.3329999941051905E-4</v>
      </c>
      <c r="M139" s="2">
        <v>0.83</v>
      </c>
    </row>
    <row r="140" spans="1:20" x14ac:dyDescent="0.3">
      <c r="A140" s="2">
        <v>6</v>
      </c>
      <c r="B140" s="2">
        <v>1024</v>
      </c>
      <c r="C140" s="2">
        <v>1024</v>
      </c>
      <c r="D140" s="2" t="s">
        <v>13</v>
      </c>
      <c r="E140" s="2" t="s">
        <v>14</v>
      </c>
      <c r="F140" s="2">
        <v>428693</v>
      </c>
      <c r="G140" s="2">
        <v>1041325.589717</v>
      </c>
      <c r="H140" s="2">
        <v>1002104.2589989899</v>
      </c>
      <c r="I140" s="2">
        <f t="shared" si="2"/>
        <v>3.766481022392739E-2</v>
      </c>
      <c r="J140" s="2">
        <v>6435.4555208682996</v>
      </c>
      <c r="K140" s="2">
        <v>6.76899999234592E-4</v>
      </c>
      <c r="M140" s="2">
        <v>0.95</v>
      </c>
    </row>
    <row r="141" spans="1:20" x14ac:dyDescent="0.3">
      <c r="A141" s="2">
        <v>6</v>
      </c>
      <c r="B141" s="2">
        <v>1024</v>
      </c>
      <c r="C141" s="2">
        <v>1024</v>
      </c>
      <c r="D141" s="2" t="s">
        <v>13</v>
      </c>
      <c r="E141" s="2" t="s">
        <v>15</v>
      </c>
      <c r="F141" s="2">
        <v>447130</v>
      </c>
      <c r="G141" s="2">
        <v>1080173.9095620001</v>
      </c>
      <c r="H141" s="2">
        <v>1029342.658999</v>
      </c>
      <c r="I141" s="2">
        <f t="shared" si="2"/>
        <v>4.7058395053822095E-2</v>
      </c>
      <c r="J141" s="2">
        <v>8350.1649897098505</v>
      </c>
      <c r="K141" s="2">
        <v>7.4689999928523299E-4</v>
      </c>
      <c r="M141" s="2">
        <v>0.95</v>
      </c>
    </row>
    <row r="142" spans="1:20" x14ac:dyDescent="0.3">
      <c r="A142" s="2">
        <v>7</v>
      </c>
      <c r="B142" s="2">
        <v>1024</v>
      </c>
      <c r="C142" s="2">
        <v>1024</v>
      </c>
      <c r="D142" s="2" t="s">
        <v>13</v>
      </c>
      <c r="E142" s="2" t="s">
        <v>14</v>
      </c>
      <c r="F142" s="2">
        <v>48072</v>
      </c>
      <c r="G142" s="2">
        <v>1218092.9477599999</v>
      </c>
      <c r="H142" s="2">
        <v>1185058.242999</v>
      </c>
      <c r="I142" s="2">
        <f t="shared" si="2"/>
        <v>2.7120019717500811E-2</v>
      </c>
      <c r="J142" s="2">
        <v>475.13571262359602</v>
      </c>
      <c r="K142" s="2">
        <v>1.05230000008305E-3</v>
      </c>
      <c r="M142" s="2">
        <v>0</v>
      </c>
    </row>
    <row r="143" spans="1:20" s="3" customFormat="1" x14ac:dyDescent="0.3">
      <c r="A143" s="3">
        <v>7</v>
      </c>
      <c r="B143" s="3">
        <v>1024</v>
      </c>
      <c r="C143" s="3">
        <v>1024</v>
      </c>
      <c r="D143" s="3" t="s">
        <v>13</v>
      </c>
      <c r="E143" s="3" t="s">
        <v>15</v>
      </c>
      <c r="F143" s="3">
        <v>319525</v>
      </c>
      <c r="G143" s="3">
        <v>931221.464729</v>
      </c>
      <c r="H143" s="3">
        <v>1222905.28299899</v>
      </c>
      <c r="I143" s="3">
        <f t="shared" si="2"/>
        <v>0.31322712084914689</v>
      </c>
      <c r="J143" s="3">
        <v>52.808608055114703</v>
      </c>
      <c r="K143" s="3">
        <v>8.3930000073450996E-4</v>
      </c>
      <c r="M143" s="3">
        <v>0</v>
      </c>
      <c r="T143" s="2"/>
    </row>
    <row r="144" spans="1:20" s="3" customFormat="1" x14ac:dyDescent="0.3">
      <c r="A144" s="3">
        <v>8</v>
      </c>
      <c r="B144" s="3">
        <v>1024</v>
      </c>
      <c r="C144" s="3">
        <v>1024</v>
      </c>
      <c r="D144" s="3" t="s">
        <v>13</v>
      </c>
      <c r="E144" s="3" t="s">
        <v>14</v>
      </c>
      <c r="F144" s="3">
        <v>575970</v>
      </c>
      <c r="G144" s="3">
        <v>1450934.5011130001</v>
      </c>
      <c r="H144" s="3">
        <v>1396213.1869989999</v>
      </c>
      <c r="I144" s="3">
        <f t="shared" si="2"/>
        <v>3.7714530926119622E-2</v>
      </c>
      <c r="J144" s="3">
        <v>5372.7627224922098</v>
      </c>
      <c r="K144" s="3">
        <v>7.2949999957927503E-4</v>
      </c>
      <c r="M144" s="3">
        <v>0.8</v>
      </c>
      <c r="T144" s="2"/>
    </row>
    <row r="145" spans="1:20" x14ac:dyDescent="0.3">
      <c r="A145" s="2">
        <v>8</v>
      </c>
      <c r="B145" s="2">
        <v>1024</v>
      </c>
      <c r="C145" s="2">
        <v>1024</v>
      </c>
      <c r="D145" s="2" t="s">
        <v>13</v>
      </c>
      <c r="E145" s="2" t="s">
        <v>15</v>
      </c>
      <c r="F145" s="2">
        <v>364670</v>
      </c>
      <c r="G145" s="2">
        <v>111737.35974</v>
      </c>
      <c r="H145" s="2">
        <v>1434346.9469989999</v>
      </c>
      <c r="I145" s="2">
        <f t="shared" si="2"/>
        <v>11.836771428433252</v>
      </c>
      <c r="J145" s="2">
        <v>15087.502937793701</v>
      </c>
      <c r="K145" s="2">
        <v>8.4290000086184504E-4</v>
      </c>
      <c r="M145" s="2">
        <v>1.21</v>
      </c>
    </row>
    <row r="146" spans="1:20" x14ac:dyDescent="0.3">
      <c r="A146" s="2">
        <v>9</v>
      </c>
      <c r="B146" s="2">
        <v>1024</v>
      </c>
      <c r="C146" s="2">
        <v>1024</v>
      </c>
      <c r="D146" s="2" t="s">
        <v>13</v>
      </c>
      <c r="E146" s="2" t="s">
        <v>14</v>
      </c>
      <c r="F146" s="2">
        <v>646404</v>
      </c>
      <c r="G146" s="2">
        <v>1566322.5044559999</v>
      </c>
      <c r="H146" s="2">
        <v>1574251.9709989999</v>
      </c>
      <c r="I146" s="2">
        <f t="shared" si="2"/>
        <v>5.0624737373316008E-3</v>
      </c>
      <c r="J146" s="2">
        <v>13728.4331092834</v>
      </c>
      <c r="K146" s="2">
        <v>8.2780000047932801E-4</v>
      </c>
      <c r="M146" s="2">
        <v>1.33</v>
      </c>
    </row>
    <row r="147" spans="1:20" x14ac:dyDescent="0.3">
      <c r="A147" s="2">
        <v>9</v>
      </c>
      <c r="B147" s="2">
        <v>1024</v>
      </c>
      <c r="C147" s="2">
        <v>1024</v>
      </c>
      <c r="D147" s="2" t="s">
        <v>13</v>
      </c>
      <c r="E147" s="2" t="s">
        <v>15</v>
      </c>
      <c r="F147" s="2">
        <v>670975</v>
      </c>
      <c r="G147" s="2">
        <v>1620945.744398</v>
      </c>
      <c r="H147" s="2">
        <v>1613532.61099899</v>
      </c>
      <c r="I147" s="2">
        <f t="shared" si="2"/>
        <v>4.5733383887954174E-3</v>
      </c>
      <c r="J147" s="2">
        <v>9483.1514608859998</v>
      </c>
      <c r="K147" s="2">
        <v>1.05289999919477E-3</v>
      </c>
      <c r="M147" s="2">
        <v>0.81</v>
      </c>
    </row>
    <row r="148" spans="1:20" x14ac:dyDescent="0.3">
      <c r="A148" s="2">
        <v>10</v>
      </c>
      <c r="B148" s="2">
        <v>1024</v>
      </c>
      <c r="C148" s="2">
        <v>1024</v>
      </c>
      <c r="D148" s="2" t="s">
        <v>13</v>
      </c>
      <c r="E148" s="2" t="s">
        <v>14</v>
      </c>
      <c r="F148" s="2">
        <v>712932</v>
      </c>
      <c r="G148" s="2">
        <v>1743921.4631690001</v>
      </c>
      <c r="H148" s="2">
        <v>1748450.7549990001</v>
      </c>
      <c r="I148" s="2">
        <f t="shared" si="2"/>
        <v>2.5971879615321169E-3</v>
      </c>
      <c r="J148" s="2">
        <v>13342.331994533501</v>
      </c>
      <c r="K148" s="2">
        <v>6.8629999987024305E-4</v>
      </c>
      <c r="M148" s="2">
        <v>1.47</v>
      </c>
    </row>
    <row r="149" spans="1:20" x14ac:dyDescent="0.3">
      <c r="A149" s="2">
        <v>10</v>
      </c>
      <c r="B149" s="2">
        <v>1024</v>
      </c>
      <c r="C149" s="2">
        <v>1024</v>
      </c>
      <c r="D149" s="2" t="s">
        <v>13</v>
      </c>
      <c r="E149" s="2" t="s">
        <v>15</v>
      </c>
      <c r="F149" s="2">
        <v>737508</v>
      </c>
      <c r="G149" s="2">
        <v>1802268.703036</v>
      </c>
      <c r="H149" s="2">
        <v>1794039.2349990001</v>
      </c>
      <c r="I149" s="2">
        <f t="shared" si="2"/>
        <v>4.5661715276623452E-3</v>
      </c>
      <c r="J149" s="2">
        <v>17284.845546960802</v>
      </c>
      <c r="K149" s="2">
        <v>1.4228000000002701E-3</v>
      </c>
      <c r="M149" s="2">
        <v>1.47</v>
      </c>
    </row>
    <row r="150" spans="1:20" s="3" customFormat="1" x14ac:dyDescent="0.3">
      <c r="A150" s="3">
        <v>11</v>
      </c>
      <c r="B150" s="3">
        <v>1024</v>
      </c>
      <c r="C150" s="3">
        <v>1024</v>
      </c>
      <c r="D150" s="3" t="s">
        <v>13</v>
      </c>
      <c r="E150" s="3" t="s">
        <v>14</v>
      </c>
      <c r="F150" s="3">
        <v>793984</v>
      </c>
      <c r="G150" s="3">
        <v>2002943.854328</v>
      </c>
      <c r="H150" s="3">
        <v>1930329.5389989901</v>
      </c>
      <c r="I150" s="3">
        <f t="shared" si="2"/>
        <v>3.6253794719259595E-2</v>
      </c>
      <c r="J150" s="3">
        <v>16061.2017273902</v>
      </c>
      <c r="K150" s="3">
        <v>8.2500000098661899E-4</v>
      </c>
      <c r="M150" s="3">
        <v>1.56</v>
      </c>
      <c r="T150" s="2"/>
    </row>
    <row r="151" spans="1:20" x14ac:dyDescent="0.3">
      <c r="A151" s="2">
        <v>11</v>
      </c>
      <c r="B151" s="2">
        <v>1024</v>
      </c>
      <c r="C151" s="2">
        <v>1024</v>
      </c>
      <c r="D151" s="2" t="s">
        <v>13</v>
      </c>
      <c r="E151" s="2" t="s">
        <v>15</v>
      </c>
      <c r="F151" s="2">
        <v>818050</v>
      </c>
      <c r="G151" s="2">
        <v>1991878.2606029999</v>
      </c>
      <c r="H151" s="2">
        <v>1989967.2989990001</v>
      </c>
      <c r="I151" s="2">
        <f t="shared" si="2"/>
        <v>9.5937670579392348E-4</v>
      </c>
      <c r="J151" s="2">
        <v>14272.7022774219</v>
      </c>
      <c r="K151" s="2">
        <v>8.2070000098610697E-4</v>
      </c>
      <c r="M151" s="2">
        <v>1.56</v>
      </c>
    </row>
    <row r="152" spans="1:20" x14ac:dyDescent="0.3">
      <c r="A152" s="2">
        <v>12</v>
      </c>
      <c r="B152" s="2">
        <v>1024</v>
      </c>
      <c r="C152" s="2">
        <v>1024</v>
      </c>
      <c r="D152" s="2" t="s">
        <v>13</v>
      </c>
      <c r="E152" s="2" t="s">
        <v>14</v>
      </c>
      <c r="F152" s="2">
        <v>856344</v>
      </c>
      <c r="G152" s="2">
        <v>2098928.6991610001</v>
      </c>
      <c r="H152" s="2">
        <v>2107139.5229989998</v>
      </c>
      <c r="I152" s="2">
        <f t="shared" si="2"/>
        <v>3.9119117487324906E-3</v>
      </c>
      <c r="J152" s="2">
        <v>10801.2457447052</v>
      </c>
      <c r="K152" s="2">
        <v>9.0169999930367296E-4</v>
      </c>
      <c r="M152" s="2">
        <v>1.67</v>
      </c>
    </row>
    <row r="153" spans="1:20" x14ac:dyDescent="0.3">
      <c r="A153" s="2">
        <v>12</v>
      </c>
      <c r="B153" s="2">
        <v>1024</v>
      </c>
      <c r="C153" s="2">
        <v>1024</v>
      </c>
      <c r="D153" s="2" t="s">
        <v>13</v>
      </c>
      <c r="E153" s="2" t="s">
        <v>15</v>
      </c>
      <c r="F153" s="2">
        <v>887064</v>
      </c>
      <c r="G153" s="2">
        <v>166725.15960799999</v>
      </c>
      <c r="H153" s="2">
        <v>2172798.4029990002</v>
      </c>
      <c r="I153" s="2">
        <f t="shared" si="2"/>
        <v>12.032216661886121</v>
      </c>
      <c r="J153" s="2">
        <v>12655.681247234301</v>
      </c>
      <c r="K153" s="2">
        <v>8.43800000438932E-4</v>
      </c>
      <c r="M153" s="2">
        <v>1.67</v>
      </c>
    </row>
    <row r="154" spans="1:20" x14ac:dyDescent="0.3">
      <c r="A154" s="2">
        <v>5</v>
      </c>
      <c r="B154" s="2">
        <v>512</v>
      </c>
      <c r="C154" s="2">
        <v>16</v>
      </c>
      <c r="D154" s="2" t="s">
        <v>13</v>
      </c>
      <c r="E154" s="2" t="s">
        <v>14</v>
      </c>
      <c r="F154" s="2">
        <v>85867</v>
      </c>
      <c r="G154" s="2">
        <v>295583.67587799998</v>
      </c>
      <c r="H154" s="2">
        <v>288790.47600099997</v>
      </c>
      <c r="I154" s="2">
        <f t="shared" si="2"/>
        <v>2.2982324232965593E-2</v>
      </c>
      <c r="J154" s="2">
        <v>379.92073917388899</v>
      </c>
      <c r="K154" s="2">
        <v>1.48600000102305E-4</v>
      </c>
      <c r="M154" s="2">
        <v>0.83</v>
      </c>
    </row>
    <row r="155" spans="1:20" x14ac:dyDescent="0.3">
      <c r="A155" s="2">
        <v>5</v>
      </c>
      <c r="B155" s="2">
        <v>512</v>
      </c>
      <c r="C155" s="2">
        <v>16</v>
      </c>
      <c r="D155" s="2" t="s">
        <v>13</v>
      </c>
      <c r="E155" s="2" t="s">
        <v>15</v>
      </c>
      <c r="F155" s="2">
        <v>86045</v>
      </c>
      <c r="G155" s="2">
        <v>296029.15588099998</v>
      </c>
      <c r="H155" s="2">
        <v>289144.39600100002</v>
      </c>
      <c r="I155" s="2">
        <f t="shared" si="2"/>
        <v>2.3257033110507384E-2</v>
      </c>
      <c r="J155" s="2">
        <v>373.42428922653198</v>
      </c>
      <c r="K155" s="2">
        <v>1.41200000143726E-4</v>
      </c>
      <c r="M155" s="2">
        <v>0.83</v>
      </c>
    </row>
    <row r="156" spans="1:20" x14ac:dyDescent="0.3">
      <c r="A156" s="2">
        <v>5</v>
      </c>
      <c r="B156" s="2">
        <v>512</v>
      </c>
      <c r="C156" s="2">
        <v>32</v>
      </c>
      <c r="D156" s="2" t="s">
        <v>13</v>
      </c>
      <c r="E156" s="2" t="s">
        <v>14</v>
      </c>
      <c r="F156" s="2">
        <v>77486</v>
      </c>
      <c r="G156" s="2">
        <v>300037.075748</v>
      </c>
      <c r="H156" s="2">
        <v>291876.953997</v>
      </c>
      <c r="I156" s="2">
        <f t="shared" si="2"/>
        <v>2.7197044667418548E-2</v>
      </c>
      <c r="J156" s="2">
        <v>501.68151617050103</v>
      </c>
      <c r="K156" s="2">
        <v>1.3979999857838201E-4</v>
      </c>
      <c r="M156" s="2">
        <v>0.83</v>
      </c>
    </row>
    <row r="157" spans="1:20" x14ac:dyDescent="0.3">
      <c r="A157" s="2">
        <v>5</v>
      </c>
      <c r="B157" s="2">
        <v>512</v>
      </c>
      <c r="C157" s="2">
        <v>32</v>
      </c>
      <c r="D157" s="2" t="s">
        <v>13</v>
      </c>
      <c r="E157" s="2" t="s">
        <v>15</v>
      </c>
      <c r="F157" s="2">
        <v>95169</v>
      </c>
      <c r="G157" s="2">
        <v>300935.035753</v>
      </c>
      <c r="H157" s="2">
        <v>292584.79399699997</v>
      </c>
      <c r="I157" s="2">
        <f t="shared" si="2"/>
        <v>2.7747655686238219E-2</v>
      </c>
      <c r="J157" s="2">
        <v>326.02211785316399</v>
      </c>
      <c r="K157" s="2">
        <v>1.3749999925494099E-4</v>
      </c>
      <c r="M157" s="2">
        <v>0</v>
      </c>
    </row>
    <row r="158" spans="1:20" x14ac:dyDescent="0.3">
      <c r="A158" s="2">
        <v>5</v>
      </c>
      <c r="B158" s="2">
        <v>512</v>
      </c>
      <c r="C158" s="2">
        <v>64</v>
      </c>
      <c r="D158" s="2" t="s">
        <v>13</v>
      </c>
      <c r="E158" s="2" t="s">
        <v>14</v>
      </c>
      <c r="F158" s="2">
        <v>124626</v>
      </c>
      <c r="G158" s="2">
        <v>308239.95551399997</v>
      </c>
      <c r="H158" s="2">
        <v>299287.13199800003</v>
      </c>
      <c r="I158" s="2">
        <f t="shared" si="2"/>
        <v>2.9044980560910174E-2</v>
      </c>
      <c r="J158" s="2">
        <v>478.77808094024601</v>
      </c>
      <c r="K158" s="2">
        <v>2.0749999930558201E-4</v>
      </c>
      <c r="M158" s="2">
        <v>0.83</v>
      </c>
    </row>
    <row r="159" spans="1:20" x14ac:dyDescent="0.3">
      <c r="A159" s="2">
        <v>5</v>
      </c>
      <c r="B159" s="2">
        <v>512</v>
      </c>
      <c r="C159" s="2">
        <v>64</v>
      </c>
      <c r="D159" s="2" t="s">
        <v>13</v>
      </c>
      <c r="E159" s="2" t="s">
        <v>15</v>
      </c>
      <c r="F159" s="2">
        <v>94546</v>
      </c>
      <c r="G159" s="2">
        <v>310022.155524</v>
      </c>
      <c r="H159" s="2">
        <v>300702.81199800002</v>
      </c>
      <c r="I159" s="2">
        <f t="shared" si="2"/>
        <v>3.0060250081960792E-2</v>
      </c>
      <c r="J159" s="2">
        <v>507.12205839157099</v>
      </c>
      <c r="K159" s="2">
        <v>2.4870000015653199E-4</v>
      </c>
      <c r="M159" s="2">
        <v>0.83</v>
      </c>
    </row>
    <row r="160" spans="1:20" x14ac:dyDescent="0.3">
      <c r="A160" s="2">
        <v>5</v>
      </c>
      <c r="B160" s="2">
        <v>512</v>
      </c>
      <c r="C160" s="2">
        <v>128</v>
      </c>
      <c r="D160" s="2" t="s">
        <v>13</v>
      </c>
      <c r="E160" s="2" t="s">
        <v>14</v>
      </c>
      <c r="F160" s="2">
        <v>104009</v>
      </c>
      <c r="G160" s="2">
        <v>321579.15516899998</v>
      </c>
      <c r="H160" s="2">
        <v>313700.12999799999</v>
      </c>
      <c r="I160" s="2">
        <f t="shared" si="2"/>
        <v>2.4501044437595189E-2</v>
      </c>
      <c r="J160" s="2">
        <v>502.838391304016</v>
      </c>
      <c r="K160" s="2">
        <v>1.96599999981117E-4</v>
      </c>
      <c r="M160" s="2">
        <v>0.83</v>
      </c>
    </row>
    <row r="161" spans="1:13" x14ac:dyDescent="0.3">
      <c r="A161" s="2">
        <v>5</v>
      </c>
      <c r="B161" s="2">
        <v>512</v>
      </c>
      <c r="C161" s="2">
        <v>128</v>
      </c>
      <c r="D161" s="2" t="s">
        <v>13</v>
      </c>
      <c r="E161" s="2" t="s">
        <v>15</v>
      </c>
      <c r="F161" s="2">
        <v>105417</v>
      </c>
      <c r="G161" s="2">
        <v>325145.51519000001</v>
      </c>
      <c r="H161" s="2">
        <v>316531.48999799998</v>
      </c>
      <c r="I161" s="2">
        <f t="shared" si="2"/>
        <v>2.6492831023569224E-2</v>
      </c>
      <c r="J161" s="2">
        <v>549.33954930305401</v>
      </c>
      <c r="K161" s="2">
        <v>2.71700000666896E-4</v>
      </c>
      <c r="M161" s="2">
        <v>0.83</v>
      </c>
    </row>
    <row r="162" spans="1:13" x14ac:dyDescent="0.3">
      <c r="A162" s="2">
        <v>5</v>
      </c>
      <c r="B162" s="2">
        <v>512</v>
      </c>
      <c r="C162" s="2">
        <v>256</v>
      </c>
      <c r="D162" s="2" t="s">
        <v>13</v>
      </c>
      <c r="E162" s="2" t="s">
        <v>14</v>
      </c>
      <c r="F162" s="2">
        <v>123832</v>
      </c>
      <c r="G162" s="2">
        <v>349250.71507699997</v>
      </c>
      <c r="H162" s="2">
        <v>340536.06799800001</v>
      </c>
      <c r="I162" s="2">
        <f t="shared" si="2"/>
        <v>2.4952410124854357E-2</v>
      </c>
      <c r="J162" s="2">
        <v>634.89067769050598</v>
      </c>
      <c r="K162" s="2">
        <v>3.50800000887829E-4</v>
      </c>
      <c r="M162" s="2">
        <v>0.83</v>
      </c>
    </row>
    <row r="163" spans="1:13" x14ac:dyDescent="0.3">
      <c r="A163" s="2">
        <v>5</v>
      </c>
      <c r="B163" s="2">
        <v>512</v>
      </c>
      <c r="C163" s="2">
        <v>256</v>
      </c>
      <c r="D163" s="2" t="s">
        <v>13</v>
      </c>
      <c r="E163" s="2" t="s">
        <v>15</v>
      </c>
      <c r="F163" s="2">
        <v>126651</v>
      </c>
      <c r="G163" s="2">
        <v>356387.915118</v>
      </c>
      <c r="H163" s="2">
        <v>346198.78799799999</v>
      </c>
      <c r="I163" s="2">
        <f t="shared" si="2"/>
        <v>2.8589990534966372E-2</v>
      </c>
      <c r="J163" s="2">
        <v>358.17362308502197</v>
      </c>
      <c r="K163" s="2">
        <v>3.0950000109442001E-4</v>
      </c>
      <c r="M163" s="2">
        <v>0</v>
      </c>
    </row>
    <row r="164" spans="1:13" x14ac:dyDescent="0.3">
      <c r="A164" s="2">
        <v>5</v>
      </c>
      <c r="B164" s="2">
        <v>512</v>
      </c>
      <c r="C164" s="2">
        <v>512</v>
      </c>
      <c r="D164" s="2" t="s">
        <v>13</v>
      </c>
      <c r="E164" s="2" t="s">
        <v>14</v>
      </c>
      <c r="F164" s="2">
        <v>157617</v>
      </c>
      <c r="G164" s="2">
        <v>397177.19517199998</v>
      </c>
      <c r="H164" s="2">
        <v>385212.55499899999</v>
      </c>
      <c r="I164" s="2">
        <f t="shared" si="2"/>
        <v>3.0124187185063919E-2</v>
      </c>
      <c r="J164" s="2">
        <v>832.82534360885597</v>
      </c>
      <c r="K164" s="2">
        <v>5.4129999989527202E-4</v>
      </c>
      <c r="M164" s="2">
        <v>0.83</v>
      </c>
    </row>
    <row r="165" spans="1:13" x14ac:dyDescent="0.3">
      <c r="A165" s="2">
        <v>5</v>
      </c>
      <c r="B165" s="2">
        <v>512</v>
      </c>
      <c r="C165" s="2">
        <v>512</v>
      </c>
      <c r="D165" s="2" t="s">
        <v>13</v>
      </c>
      <c r="E165" s="2" t="s">
        <v>15</v>
      </c>
      <c r="F165" s="2">
        <v>163247</v>
      </c>
      <c r="G165" s="2">
        <v>411441.79525600001</v>
      </c>
      <c r="H165" s="2">
        <v>396537.99499899999</v>
      </c>
      <c r="I165" s="2">
        <f t="shared" si="2"/>
        <v>3.6223350249886127E-2</v>
      </c>
      <c r="J165" s="2">
        <v>1087.91209602355</v>
      </c>
      <c r="K165" s="2">
        <v>4.4350000098347599E-4</v>
      </c>
      <c r="M165" s="2">
        <v>0.83</v>
      </c>
    </row>
    <row r="166" spans="1:13" x14ac:dyDescent="0.3">
      <c r="A166" s="2">
        <v>5</v>
      </c>
      <c r="B166" s="2">
        <v>256</v>
      </c>
      <c r="C166" s="2">
        <v>16</v>
      </c>
      <c r="D166" s="2" t="s">
        <v>13</v>
      </c>
      <c r="E166" s="2" t="s">
        <v>14</v>
      </c>
      <c r="F166" s="2">
        <v>41120</v>
      </c>
      <c r="G166" s="2">
        <v>134059.51917300001</v>
      </c>
      <c r="H166" s="2">
        <v>132415.23399699901</v>
      </c>
      <c r="I166" s="2">
        <f t="shared" si="2"/>
        <v>1.2265336964837916E-2</v>
      </c>
      <c r="J166" s="2">
        <v>191.04377627372699</v>
      </c>
      <c r="K166" s="2">
        <v>1.14700000267475E-4</v>
      </c>
      <c r="M166" s="2">
        <v>0.83</v>
      </c>
    </row>
    <row r="167" spans="1:13" x14ac:dyDescent="0.3">
      <c r="A167" s="2">
        <v>5</v>
      </c>
      <c r="B167" s="2">
        <v>256</v>
      </c>
      <c r="C167" s="2">
        <v>16</v>
      </c>
      <c r="D167" s="2" t="s">
        <v>13</v>
      </c>
      <c r="E167" s="2" t="s">
        <v>15</v>
      </c>
      <c r="F167" s="2">
        <v>41295</v>
      </c>
      <c r="G167" s="2">
        <v>134505.279175</v>
      </c>
      <c r="H167" s="2">
        <v>132988.67399699899</v>
      </c>
      <c r="I167" s="2">
        <f t="shared" si="2"/>
        <v>1.1275432364463673E-2</v>
      </c>
      <c r="J167" s="2">
        <v>188.59661555290199</v>
      </c>
      <c r="K167" s="2">
        <v>7.6299998909235001E-5</v>
      </c>
      <c r="M167" s="2">
        <v>0.83</v>
      </c>
    </row>
    <row r="168" spans="1:13" x14ac:dyDescent="0.3">
      <c r="A168" s="2">
        <v>5</v>
      </c>
      <c r="B168" s="2">
        <v>256</v>
      </c>
      <c r="C168" s="2">
        <v>32</v>
      </c>
      <c r="D168" s="2" t="s">
        <v>13</v>
      </c>
      <c r="E168" s="2" t="s">
        <v>14</v>
      </c>
      <c r="F168" s="2">
        <v>45503</v>
      </c>
      <c r="G168" s="2">
        <v>136401.99974</v>
      </c>
      <c r="H168" s="2">
        <v>136024.05199799899</v>
      </c>
      <c r="I168" s="2">
        <f t="shared" si="2"/>
        <v>2.7708372510771521E-3</v>
      </c>
      <c r="J168" s="2">
        <v>183.402932167053</v>
      </c>
      <c r="K168" s="2">
        <v>1.19199999971897E-4</v>
      </c>
      <c r="M168" s="2">
        <v>0.83</v>
      </c>
    </row>
    <row r="169" spans="1:13" x14ac:dyDescent="0.3">
      <c r="A169" s="2">
        <v>5</v>
      </c>
      <c r="B169" s="2">
        <v>256</v>
      </c>
      <c r="C169" s="2">
        <v>32</v>
      </c>
      <c r="D169" s="2" t="s">
        <v>13</v>
      </c>
      <c r="E169" s="2" t="s">
        <v>15</v>
      </c>
      <c r="F169" s="2">
        <v>45855</v>
      </c>
      <c r="G169" s="2">
        <v>137293.519745</v>
      </c>
      <c r="H169" s="2">
        <v>136731.89199799899</v>
      </c>
      <c r="I169" s="2">
        <f t="shared" si="2"/>
        <v>4.0907083454786554E-3</v>
      </c>
      <c r="J169" s="2">
        <v>187.76464796066199</v>
      </c>
      <c r="K169" s="2">
        <v>1.0970000039378599E-4</v>
      </c>
      <c r="M169" s="2">
        <v>0.83</v>
      </c>
    </row>
    <row r="170" spans="1:13" x14ac:dyDescent="0.3">
      <c r="A170" s="2">
        <v>5</v>
      </c>
      <c r="B170" s="2">
        <v>256</v>
      </c>
      <c r="C170" s="2">
        <v>64</v>
      </c>
      <c r="D170" s="2" t="s">
        <v>13</v>
      </c>
      <c r="E170" s="2" t="s">
        <v>14</v>
      </c>
      <c r="F170" s="2">
        <v>50403</v>
      </c>
      <c r="G170" s="2">
        <v>143312.959489</v>
      </c>
      <c r="H170" s="2">
        <v>143035.92999799899</v>
      </c>
      <c r="I170" s="2">
        <f t="shared" si="2"/>
        <v>1.9330386588121218E-3</v>
      </c>
      <c r="J170" s="2">
        <v>201.879832267761</v>
      </c>
      <c r="K170" s="2">
        <v>9.7899999673245393E-5</v>
      </c>
      <c r="M170" s="2">
        <v>0.83</v>
      </c>
    </row>
    <row r="171" spans="1:13" x14ac:dyDescent="0.3">
      <c r="A171" s="2">
        <v>5</v>
      </c>
      <c r="B171" s="2">
        <v>256</v>
      </c>
      <c r="C171" s="2">
        <v>64</v>
      </c>
      <c r="D171" s="2" t="s">
        <v>13</v>
      </c>
      <c r="E171" s="2" t="s">
        <v>15</v>
      </c>
      <c r="F171" s="2">
        <v>51108</v>
      </c>
      <c r="G171" s="2">
        <v>145095.99950000001</v>
      </c>
      <c r="H171" s="2">
        <v>144451.60999799901</v>
      </c>
      <c r="I171" s="2">
        <f t="shared" si="2"/>
        <v>4.4411252151786238E-3</v>
      </c>
      <c r="J171" s="2">
        <v>226.127195358276</v>
      </c>
      <c r="K171" s="2">
        <v>1.13800000690389E-4</v>
      </c>
      <c r="M171" s="2">
        <v>0.83</v>
      </c>
    </row>
    <row r="172" spans="1:13" x14ac:dyDescent="0.3">
      <c r="A172" s="2">
        <v>5</v>
      </c>
      <c r="B172" s="2">
        <v>256</v>
      </c>
      <c r="C172" s="2">
        <v>128</v>
      </c>
      <c r="D172" s="2" t="s">
        <v>13</v>
      </c>
      <c r="E172" s="2" t="s">
        <v>14</v>
      </c>
      <c r="F172" s="2">
        <v>60054</v>
      </c>
      <c r="G172" s="2">
        <v>159114.47849800001</v>
      </c>
      <c r="H172" s="2">
        <v>156350.90799799899</v>
      </c>
      <c r="I172" s="2">
        <f t="shared" si="2"/>
        <v>1.7368441427131075E-2</v>
      </c>
      <c r="J172" s="2">
        <v>244.265396833419</v>
      </c>
      <c r="K172" s="2">
        <v>1.97200000911834E-4</v>
      </c>
      <c r="M172" s="2">
        <v>0.83</v>
      </c>
    </row>
    <row r="173" spans="1:13" x14ac:dyDescent="0.3">
      <c r="A173" s="2">
        <v>5</v>
      </c>
      <c r="B173" s="2">
        <v>256</v>
      </c>
      <c r="C173" s="2">
        <v>128</v>
      </c>
      <c r="D173" s="2" t="s">
        <v>13</v>
      </c>
      <c r="E173" s="2" t="s">
        <v>15</v>
      </c>
      <c r="F173" s="2">
        <v>61462</v>
      </c>
      <c r="G173" s="2">
        <v>162680.55851900001</v>
      </c>
      <c r="H173" s="2">
        <v>159182.26799799901</v>
      </c>
      <c r="I173" s="2">
        <f t="shared" si="2"/>
        <v>2.1504047888994859E-2</v>
      </c>
      <c r="J173" s="2">
        <v>260.26190972328101</v>
      </c>
      <c r="K173" s="2">
        <v>2.0990000120946201E-4</v>
      </c>
      <c r="M173" s="2">
        <v>0.83</v>
      </c>
    </row>
    <row r="174" spans="1:13" x14ac:dyDescent="0.3">
      <c r="A174" s="2">
        <v>5</v>
      </c>
      <c r="B174" s="2">
        <v>256</v>
      </c>
      <c r="C174" s="2">
        <v>256</v>
      </c>
      <c r="D174" s="2" t="s">
        <v>13</v>
      </c>
      <c r="E174" s="2" t="s">
        <v>14</v>
      </c>
      <c r="F174" s="2">
        <v>76312</v>
      </c>
      <c r="G174" s="2">
        <v>183117.19865599999</v>
      </c>
      <c r="H174" s="2">
        <v>178612.67499899899</v>
      </c>
      <c r="I174" s="2">
        <f t="shared" si="2"/>
        <v>2.4599129355747203E-2</v>
      </c>
      <c r="J174" s="2">
        <v>333.30560779571499</v>
      </c>
      <c r="K174" s="2">
        <v>3.3710000025166599E-4</v>
      </c>
      <c r="M174" s="2">
        <v>0.83</v>
      </c>
    </row>
    <row r="175" spans="1:13" x14ac:dyDescent="0.3">
      <c r="A175" s="2">
        <v>5</v>
      </c>
      <c r="B175" s="2">
        <v>256</v>
      </c>
      <c r="C175" s="2">
        <v>256</v>
      </c>
      <c r="D175" s="2" t="s">
        <v>13</v>
      </c>
      <c r="E175" s="2" t="s">
        <v>15</v>
      </c>
      <c r="F175" s="2">
        <v>79128</v>
      </c>
      <c r="G175" s="2">
        <v>190249.358698</v>
      </c>
      <c r="H175" s="2">
        <v>184275.39499900001</v>
      </c>
      <c r="I175" s="2">
        <f t="shared" si="2"/>
        <v>3.1400703476131019E-2</v>
      </c>
      <c r="J175" s="2">
        <v>395.99326848983702</v>
      </c>
      <c r="K175" s="2">
        <v>2.6639999850885899E-4</v>
      </c>
      <c r="M175" s="2">
        <v>0.83</v>
      </c>
    </row>
    <row r="176" spans="1:13" x14ac:dyDescent="0.3">
      <c r="A176" s="2">
        <v>5</v>
      </c>
      <c r="B176" s="2">
        <v>128</v>
      </c>
      <c r="C176" s="2">
        <v>16</v>
      </c>
      <c r="D176" s="2" t="s">
        <v>13</v>
      </c>
      <c r="E176" s="2" t="s">
        <v>14</v>
      </c>
      <c r="F176" s="2">
        <v>18520</v>
      </c>
      <c r="G176" s="2">
        <v>61038.880144000002</v>
      </c>
      <c r="H176" s="2">
        <v>61418.731997999901</v>
      </c>
      <c r="I176" s="2">
        <f t="shared" si="2"/>
        <v>6.2231130896204237E-3</v>
      </c>
      <c r="J176" s="2">
        <v>92.7677063941955</v>
      </c>
      <c r="K176" s="2">
        <v>1.3120000039634701E-4</v>
      </c>
      <c r="M176" s="2">
        <v>0.83</v>
      </c>
    </row>
    <row r="177" spans="1:13" x14ac:dyDescent="0.3">
      <c r="A177" s="2">
        <v>5</v>
      </c>
      <c r="B177" s="2">
        <v>128</v>
      </c>
      <c r="C177" s="2">
        <v>16</v>
      </c>
      <c r="D177" s="2" t="s">
        <v>13</v>
      </c>
      <c r="E177" s="2" t="s">
        <v>15</v>
      </c>
      <c r="F177" s="2">
        <v>18696</v>
      </c>
      <c r="G177" s="2">
        <v>61484.640145999998</v>
      </c>
      <c r="H177" s="2">
        <v>61772.651997999899</v>
      </c>
      <c r="I177" s="2">
        <f t="shared" si="2"/>
        <v>4.684289463449654E-3</v>
      </c>
      <c r="J177" s="2">
        <v>93.177078008651705</v>
      </c>
      <c r="K177" s="2">
        <v>7.749999895168E-5</v>
      </c>
      <c r="M177" s="2">
        <v>0.83</v>
      </c>
    </row>
    <row r="178" spans="1:13" x14ac:dyDescent="0.3">
      <c r="A178" s="2">
        <v>5</v>
      </c>
      <c r="B178" s="2">
        <v>128</v>
      </c>
      <c r="C178" s="2">
        <v>32</v>
      </c>
      <c r="D178" s="2" t="s">
        <v>13</v>
      </c>
      <c r="E178" s="2" t="s">
        <v>14</v>
      </c>
      <c r="F178" s="2">
        <v>22161</v>
      </c>
      <c r="G178" s="2">
        <v>64784.719766000002</v>
      </c>
      <c r="H178" s="2">
        <v>64730.049998000002</v>
      </c>
      <c r="I178" s="2">
        <f t="shared" si="2"/>
        <v>8.4386824852318446E-4</v>
      </c>
      <c r="J178" s="2">
        <v>97.979178667068396</v>
      </c>
      <c r="K178" s="2">
        <v>6.0200000007171103E-5</v>
      </c>
      <c r="M178" s="2">
        <v>0.83</v>
      </c>
    </row>
    <row r="179" spans="1:13" x14ac:dyDescent="0.3">
      <c r="A179" s="2">
        <v>5</v>
      </c>
      <c r="B179" s="2">
        <v>128</v>
      </c>
      <c r="C179" s="2">
        <v>32</v>
      </c>
      <c r="D179" s="2" t="s">
        <v>13</v>
      </c>
      <c r="E179" s="2" t="s">
        <v>15</v>
      </c>
      <c r="F179" s="2">
        <v>22513</v>
      </c>
      <c r="G179" s="2">
        <v>65677.359771000003</v>
      </c>
      <c r="H179" s="2">
        <v>65437.889997999999</v>
      </c>
      <c r="I179" s="2">
        <f t="shared" si="2"/>
        <v>3.646154075544048E-3</v>
      </c>
      <c r="J179" s="2">
        <v>97.669081926345797</v>
      </c>
      <c r="K179" s="2">
        <v>1.12800000351853E-4</v>
      </c>
      <c r="M179" s="2">
        <v>0.83</v>
      </c>
    </row>
    <row r="180" spans="1:13" x14ac:dyDescent="0.3">
      <c r="A180" s="2">
        <v>5</v>
      </c>
      <c r="B180" s="2">
        <v>128</v>
      </c>
      <c r="C180" s="2">
        <v>64</v>
      </c>
      <c r="D180" s="2" t="s">
        <v>13</v>
      </c>
      <c r="E180" s="2" t="s">
        <v>14</v>
      </c>
      <c r="F180" s="2">
        <v>26934</v>
      </c>
      <c r="G180" s="2">
        <v>72845.639012</v>
      </c>
      <c r="H180" s="2">
        <v>71284.547997999995</v>
      </c>
      <c r="I180" s="2">
        <f t="shared" si="2"/>
        <v>2.143012313671713E-2</v>
      </c>
      <c r="J180" s="2">
        <v>105.321544647216</v>
      </c>
      <c r="K180" s="2">
        <v>6.9599998823832693E-5</v>
      </c>
      <c r="M180" s="2">
        <v>0.83</v>
      </c>
    </row>
    <row r="181" spans="1:13" x14ac:dyDescent="0.3">
      <c r="A181" s="2">
        <v>5</v>
      </c>
      <c r="B181" s="2">
        <v>128</v>
      </c>
      <c r="C181" s="2">
        <v>64</v>
      </c>
      <c r="D181" s="2" t="s">
        <v>13</v>
      </c>
      <c r="E181" s="2" t="s">
        <v>15</v>
      </c>
      <c r="F181" s="2">
        <v>27638</v>
      </c>
      <c r="G181" s="2">
        <v>74628.679021999997</v>
      </c>
      <c r="H181" s="2">
        <v>72700.2279979999</v>
      </c>
      <c r="I181" s="2">
        <f t="shared" si="2"/>
        <v>2.5840615823195839E-2</v>
      </c>
      <c r="J181" s="2">
        <v>111.171567678451</v>
      </c>
      <c r="K181" s="2">
        <v>1.4549999832524899E-4</v>
      </c>
      <c r="M181" s="2">
        <v>0.83</v>
      </c>
    </row>
    <row r="182" spans="1:13" x14ac:dyDescent="0.3">
      <c r="A182" s="2">
        <v>5</v>
      </c>
      <c r="B182" s="2">
        <v>128</v>
      </c>
      <c r="C182" s="2">
        <v>128</v>
      </c>
      <c r="D182" s="2" t="s">
        <v>13</v>
      </c>
      <c r="E182" s="2" t="s">
        <v>14</v>
      </c>
      <c r="F182" s="2">
        <v>35334</v>
      </c>
      <c r="G182" s="2">
        <v>84816.199093000003</v>
      </c>
      <c r="H182" s="2">
        <v>82338.954998999907</v>
      </c>
      <c r="I182" s="2">
        <f t="shared" si="2"/>
        <v>2.9207204761484609E-2</v>
      </c>
      <c r="J182" s="2">
        <v>133.10082530975299</v>
      </c>
      <c r="K182" s="2">
        <v>9.0199999249307398E-5</v>
      </c>
      <c r="M182" s="2">
        <v>0.83</v>
      </c>
    </row>
    <row r="183" spans="1:13" x14ac:dyDescent="0.3">
      <c r="A183" s="2">
        <v>5</v>
      </c>
      <c r="B183" s="2">
        <v>128</v>
      </c>
      <c r="C183" s="2">
        <v>128</v>
      </c>
      <c r="D183" s="2" t="s">
        <v>13</v>
      </c>
      <c r="E183" s="2" t="s">
        <v>15</v>
      </c>
      <c r="F183" s="2">
        <v>36742</v>
      </c>
      <c r="G183" s="2">
        <v>88382.279114000004</v>
      </c>
      <c r="H183" s="2">
        <v>85170.314998999995</v>
      </c>
      <c r="I183" s="2">
        <f t="shared" si="2"/>
        <v>3.6341720842670885E-2</v>
      </c>
      <c r="J183" s="2">
        <v>149.09170484542801</v>
      </c>
      <c r="K183" s="2">
        <v>1.16600000183098E-4</v>
      </c>
      <c r="M183" s="2">
        <v>0.83</v>
      </c>
    </row>
    <row r="184" spans="1:13" x14ac:dyDescent="0.3">
      <c r="A184" s="2">
        <v>5</v>
      </c>
      <c r="B184" s="2">
        <v>64</v>
      </c>
      <c r="C184" s="2">
        <v>16</v>
      </c>
      <c r="D184" s="2" t="s">
        <v>13</v>
      </c>
      <c r="E184" s="2" t="s">
        <v>14</v>
      </c>
      <c r="F184" s="2">
        <v>9705</v>
      </c>
      <c r="G184" s="2">
        <v>29370.879850000001</v>
      </c>
      <c r="H184" s="2">
        <v>29091.6899979999</v>
      </c>
      <c r="I184" s="2">
        <f t="shared" si="2"/>
        <v>9.5056686563682012E-3</v>
      </c>
      <c r="J184" s="2">
        <v>50.004048585891702</v>
      </c>
      <c r="K184" s="2">
        <v>3.8300000596791499E-5</v>
      </c>
      <c r="M184" s="2">
        <v>0.83</v>
      </c>
    </row>
    <row r="185" spans="1:13" x14ac:dyDescent="0.3">
      <c r="A185" s="2">
        <v>5</v>
      </c>
      <c r="B185" s="2">
        <v>64</v>
      </c>
      <c r="C185" s="2">
        <v>16</v>
      </c>
      <c r="D185" s="2" t="s">
        <v>13</v>
      </c>
      <c r="E185" s="2" t="s">
        <v>15</v>
      </c>
      <c r="F185" s="2">
        <v>9881</v>
      </c>
      <c r="G185" s="2">
        <v>29815.519853000002</v>
      </c>
      <c r="H185" s="2">
        <v>29445.609998</v>
      </c>
      <c r="I185" s="2">
        <f t="shared" si="2"/>
        <v>1.2406621008916664E-2</v>
      </c>
      <c r="J185" s="2">
        <v>53.549429893493603</v>
      </c>
      <c r="K185" s="2">
        <v>3.6800000088987797E-5</v>
      </c>
      <c r="M185" s="2">
        <v>0.83</v>
      </c>
    </row>
    <row r="186" spans="1:13" x14ac:dyDescent="0.3">
      <c r="A186" s="2">
        <v>5</v>
      </c>
      <c r="B186" s="2">
        <v>64</v>
      </c>
      <c r="C186" s="2">
        <v>32</v>
      </c>
      <c r="D186" s="2" t="s">
        <v>13</v>
      </c>
      <c r="E186" s="2" t="s">
        <v>14</v>
      </c>
      <c r="F186" s="2">
        <v>13405</v>
      </c>
      <c r="G186" s="2">
        <v>32993.239713000003</v>
      </c>
      <c r="H186" s="2">
        <v>32265.947998</v>
      </c>
      <c r="I186" s="2">
        <f t="shared" si="2"/>
        <v>2.2043658680582234E-2</v>
      </c>
      <c r="J186" s="2">
        <v>57.850877285003598</v>
      </c>
      <c r="K186" s="2">
        <v>4.57000005553709E-5</v>
      </c>
      <c r="M186" s="2">
        <v>0.83</v>
      </c>
    </row>
    <row r="187" spans="1:13" x14ac:dyDescent="0.3">
      <c r="A187" s="2">
        <v>5</v>
      </c>
      <c r="B187" s="2">
        <v>64</v>
      </c>
      <c r="C187" s="2">
        <v>32</v>
      </c>
      <c r="D187" s="2" t="s">
        <v>13</v>
      </c>
      <c r="E187" s="2" t="s">
        <v>15</v>
      </c>
      <c r="F187" s="2">
        <v>13757</v>
      </c>
      <c r="G187" s="2">
        <v>33871.879717999997</v>
      </c>
      <c r="H187" s="2">
        <v>32973.787998</v>
      </c>
      <c r="I187" s="2">
        <f t="shared" si="2"/>
        <v>2.6514374976442125E-2</v>
      </c>
      <c r="J187" s="2">
        <v>60.911739349365199</v>
      </c>
      <c r="K187" s="2">
        <v>8.5900001067784601E-5</v>
      </c>
      <c r="M187" s="2">
        <v>0.83</v>
      </c>
    </row>
    <row r="188" spans="1:13" x14ac:dyDescent="0.3">
      <c r="A188" s="2">
        <v>5</v>
      </c>
      <c r="B188" s="2">
        <v>64</v>
      </c>
      <c r="C188" s="2">
        <v>64</v>
      </c>
      <c r="D188" s="2" t="s">
        <v>13</v>
      </c>
      <c r="E188" s="2" t="s">
        <v>14</v>
      </c>
      <c r="F188" s="2">
        <v>16943</v>
      </c>
      <c r="G188" s="2">
        <v>38873.519700999997</v>
      </c>
      <c r="H188" s="2">
        <v>37716.674999000003</v>
      </c>
      <c r="I188" s="2">
        <f t="shared" si="2"/>
        <v>2.9759196257452235E-2</v>
      </c>
      <c r="J188" s="2">
        <v>70.849924802780095</v>
      </c>
      <c r="K188" s="2">
        <v>5.2800000048591701E-5</v>
      </c>
      <c r="M188" s="2">
        <v>0.83</v>
      </c>
    </row>
    <row r="189" spans="1:13" x14ac:dyDescent="0.3">
      <c r="A189" s="2">
        <v>5</v>
      </c>
      <c r="B189" s="2">
        <v>64</v>
      </c>
      <c r="C189" s="2">
        <v>64</v>
      </c>
      <c r="D189" s="2" t="s">
        <v>13</v>
      </c>
      <c r="E189" s="2" t="s">
        <v>15</v>
      </c>
      <c r="F189" s="2">
        <v>17647</v>
      </c>
      <c r="G189" s="2">
        <v>40652.919711000002</v>
      </c>
      <c r="H189" s="2">
        <v>39132.354999000003</v>
      </c>
      <c r="I189" s="2">
        <f t="shared" si="2"/>
        <v>3.7403579442992871E-2</v>
      </c>
      <c r="J189" s="2">
        <v>73.378971815109196</v>
      </c>
      <c r="K189" s="2">
        <v>5.7699999160831699E-5</v>
      </c>
      <c r="M189" s="2">
        <v>0.83</v>
      </c>
    </row>
    <row r="190" spans="1:13" x14ac:dyDescent="0.3">
      <c r="A190" s="2">
        <v>5</v>
      </c>
      <c r="B190" s="2">
        <v>32</v>
      </c>
      <c r="C190" s="2">
        <v>16</v>
      </c>
      <c r="D190" s="2" t="s">
        <v>13</v>
      </c>
      <c r="E190" s="2" t="s">
        <v>14</v>
      </c>
      <c r="F190" s="2">
        <v>95169</v>
      </c>
      <c r="G190" s="2">
        <v>14930.999851</v>
      </c>
      <c r="H190" s="2">
        <v>14512.467998</v>
      </c>
      <c r="I190" s="2">
        <f t="shared" si="2"/>
        <v>2.8031066718681222E-2</v>
      </c>
      <c r="J190" s="2">
        <v>34.770394086837698</v>
      </c>
      <c r="K190" s="2">
        <v>2.83999997918726E-5</v>
      </c>
      <c r="M190" s="2">
        <v>0.83</v>
      </c>
    </row>
    <row r="191" spans="1:13" x14ac:dyDescent="0.3">
      <c r="A191" s="2">
        <v>5</v>
      </c>
      <c r="B191" s="2">
        <v>32</v>
      </c>
      <c r="C191" s="2">
        <v>16</v>
      </c>
      <c r="D191" s="2" t="s">
        <v>13</v>
      </c>
      <c r="E191" s="2" t="s">
        <v>15</v>
      </c>
      <c r="F191" s="2">
        <v>5931</v>
      </c>
      <c r="G191" s="2">
        <v>15376.759854</v>
      </c>
      <c r="H191" s="2">
        <v>14866.3879979999</v>
      </c>
      <c r="I191" s="2">
        <f t="shared" si="2"/>
        <v>3.3191118340014612E-2</v>
      </c>
      <c r="J191" s="2">
        <v>37.7718634605407</v>
      </c>
      <c r="K191" s="2">
        <v>6.5399999584769803E-5</v>
      </c>
      <c r="M191" s="2">
        <v>0.83</v>
      </c>
    </row>
    <row r="192" spans="1:13" x14ac:dyDescent="0.3">
      <c r="A192" s="2">
        <v>5</v>
      </c>
      <c r="B192" s="2">
        <v>32</v>
      </c>
      <c r="C192" s="2">
        <v>32</v>
      </c>
      <c r="D192" s="2" t="s">
        <v>13</v>
      </c>
      <c r="E192" s="2" t="s">
        <v>14</v>
      </c>
      <c r="F192" s="2">
        <v>8120</v>
      </c>
      <c r="G192" s="2">
        <v>18008.759825000001</v>
      </c>
      <c r="H192" s="2">
        <v>17161.354998999999</v>
      </c>
      <c r="I192" s="2">
        <f t="shared" si="2"/>
        <v>4.7055146175230961E-2</v>
      </c>
      <c r="J192" s="2">
        <v>40.812759160995398</v>
      </c>
      <c r="K192" s="2">
        <v>3.5900000511901399E-5</v>
      </c>
      <c r="M192" s="2">
        <v>0.83</v>
      </c>
    </row>
    <row r="193" spans="1:13" x14ac:dyDescent="0.3">
      <c r="A193" s="2">
        <v>5</v>
      </c>
      <c r="B193" s="2">
        <v>32</v>
      </c>
      <c r="C193" s="2">
        <v>32</v>
      </c>
      <c r="D193" s="2" t="s">
        <v>13</v>
      </c>
      <c r="E193" s="2" t="s">
        <v>15</v>
      </c>
      <c r="F193" s="2">
        <v>8472</v>
      </c>
      <c r="G193" s="2">
        <v>18900.279829999999</v>
      </c>
      <c r="H193" s="2">
        <v>17869.194998999999</v>
      </c>
      <c r="I193" s="2">
        <f t="shared" si="2"/>
        <v>5.4553945247063577E-2</v>
      </c>
      <c r="J193" s="2">
        <v>5315.3496959209397</v>
      </c>
      <c r="K193" s="2">
        <v>4.9300000682706E-5</v>
      </c>
      <c r="M193" s="2">
        <v>0.8</v>
      </c>
    </row>
    <row r="194" spans="1:13" x14ac:dyDescent="0.3">
      <c r="A194" s="2">
        <v>5</v>
      </c>
      <c r="B194" s="2">
        <v>16</v>
      </c>
      <c r="C194" s="2">
        <v>16</v>
      </c>
      <c r="D194" s="2" t="s">
        <v>13</v>
      </c>
      <c r="E194" s="2" t="s">
        <v>14</v>
      </c>
      <c r="F194" s="2">
        <v>3626</v>
      </c>
      <c r="G194" s="2">
        <v>7974.679983</v>
      </c>
      <c r="H194" s="2">
        <v>7763.0749989999904</v>
      </c>
      <c r="I194" s="2">
        <f t="shared" si="2"/>
        <v>2.653460508147009E-2</v>
      </c>
      <c r="J194" s="2">
        <v>30.569370508193899</v>
      </c>
      <c r="K194" s="2">
        <v>4.7600000470993102E-5</v>
      </c>
      <c r="M194" s="2">
        <v>0.83</v>
      </c>
    </row>
    <row r="195" spans="1:13" x14ac:dyDescent="0.3">
      <c r="A195" s="2">
        <v>5</v>
      </c>
      <c r="B195" s="2">
        <v>16</v>
      </c>
      <c r="C195" s="2">
        <v>16</v>
      </c>
      <c r="D195" s="2" t="s">
        <v>13</v>
      </c>
      <c r="E195" s="2" t="s">
        <v>15</v>
      </c>
      <c r="F195" s="2">
        <v>3802</v>
      </c>
      <c r="G195" s="2">
        <v>8420.4399859999994</v>
      </c>
      <c r="H195" s="2">
        <v>8116.9949989999996</v>
      </c>
      <c r="I195" s="2">
        <f t="shared" ref="I195" si="3">ABS(G195-H195)/G195</f>
        <v>3.6036713937099944E-2</v>
      </c>
      <c r="J195" s="2">
        <v>31.462598562240601</v>
      </c>
      <c r="K195" s="2">
        <v>5.12000005983281E-5</v>
      </c>
      <c r="M195" s="2">
        <v>0.83</v>
      </c>
    </row>
    <row r="196" spans="1:13" x14ac:dyDescent="0.3">
      <c r="F196" s="2">
        <f>MIN(F2:F195)</f>
        <v>3626</v>
      </c>
      <c r="I196" s="2">
        <f>AVERAGE(I2:I195)</f>
        <v>0.75239413174395864</v>
      </c>
      <c r="K196" s="2">
        <f>AVERAGE(K2:K195)</f>
        <v>4.4427835058103419E-4</v>
      </c>
    </row>
    <row r="197" spans="1:13" x14ac:dyDescent="0.3">
      <c r="F197" s="2">
        <f>AVERAGE(F2:F195)</f>
        <v>258103.95360824742</v>
      </c>
    </row>
    <row r="198" spans="1:13" x14ac:dyDescent="0.3">
      <c r="F198" s="2">
        <f>MAX(F2:F195)</f>
        <v>887064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晶杰 马</dc:creator>
  <cp:lastModifiedBy>晶杰 马</cp:lastModifiedBy>
  <dcterms:created xsi:type="dcterms:W3CDTF">2026-07-23T04:37:39Z</dcterms:created>
  <dcterms:modified xsi:type="dcterms:W3CDTF">2026-07-23T04:38:34Z</dcterms:modified>
</cp:coreProperties>
</file>