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F:\课题组指标评估（9，10月完成）\Area_TP_Estimator\Est_LS_CE_M2V\"/>
    </mc:Choice>
  </mc:AlternateContent>
  <xr:revisionPtr revIDLastSave="0" documentId="8_{A8BB9B08-6D5C-4CE1-B47B-956FD47832C5}" xr6:coauthVersionLast="47" xr6:coauthVersionMax="47" xr10:uidLastSave="{00000000-0000-0000-0000-000000000000}"/>
  <bookViews>
    <workbookView xWindow="340" yWindow="380" windowWidth="25260" windowHeight="13720" xr2:uid="{82470A7F-69A0-4409-BBBD-F48D474FA58D}"/>
  </bookViews>
  <sheets>
    <sheet name="LS" sheetId="1" r:id="rId1"/>
  </sheets>
  <definedNames>
    <definedName name="_xlnm._FilterDatabase" localSheetId="0" hidden="1">LS!$A$1:$O$47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7" i="1" l="1"/>
  <c r="I46" i="1"/>
  <c r="N45" i="1"/>
  <c r="M45" i="1"/>
  <c r="I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O2" i="1"/>
  <c r="L2" i="1"/>
  <c r="L45" i="1" s="1"/>
</calcChain>
</file>

<file path=xl/sharedStrings.xml><?xml version="1.0" encoding="utf-8"?>
<sst xmlns="http://schemas.openxmlformats.org/spreadsheetml/2006/main" count="231" uniqueCount="26">
  <si>
    <t>P_T</t>
    <phoneticPr fontId="2" type="noConversion"/>
  </si>
  <si>
    <t>N_T</t>
    <phoneticPr fontId="2" type="noConversion"/>
  </si>
  <si>
    <t>P_R</t>
    <phoneticPr fontId="2" type="noConversion"/>
  </si>
  <si>
    <t>QU_Y</t>
    <phoneticPr fontId="2" type="noConversion"/>
  </si>
  <si>
    <t>QU_P</t>
    <phoneticPr fontId="2" type="noConversion"/>
  </si>
  <si>
    <t>QU_H</t>
    <phoneticPr fontId="2" type="noConversion"/>
  </si>
  <si>
    <t>QU_M_V</t>
    <phoneticPr fontId="2" type="noConversion"/>
  </si>
  <si>
    <t>n_pipelines</t>
    <phoneticPr fontId="2" type="noConversion"/>
  </si>
  <si>
    <t>cells</t>
    <phoneticPr fontId="2" type="noConversion"/>
  </si>
  <si>
    <r>
      <t>dc</t>
    </r>
    <r>
      <rPr>
        <b/>
        <sz val="11"/>
        <color theme="1"/>
        <rFont val="宋体"/>
        <family val="3"/>
        <charset val="134"/>
      </rPr>
      <t>综合面积</t>
    </r>
    <phoneticPr fontId="2" type="noConversion"/>
  </si>
  <si>
    <r>
      <rPr>
        <b/>
        <sz val="11"/>
        <color theme="1"/>
        <rFont val="宋体"/>
        <family val="3"/>
        <charset val="134"/>
      </rPr>
      <t>自动评估结果</t>
    </r>
    <phoneticPr fontId="2" type="noConversion"/>
  </si>
  <si>
    <r>
      <rPr>
        <b/>
        <sz val="11"/>
        <color theme="1"/>
        <rFont val="宋体"/>
        <family val="3"/>
        <charset val="134"/>
      </rPr>
      <t>误差</t>
    </r>
    <phoneticPr fontId="2" type="noConversion"/>
  </si>
  <si>
    <t>time</t>
    <phoneticPr fontId="2" type="noConversion"/>
  </si>
  <si>
    <t>Est_time</t>
    <phoneticPr fontId="2" type="noConversion"/>
  </si>
  <si>
    <t>rsq</t>
    <phoneticPr fontId="2" type="noConversion"/>
  </si>
  <si>
    <t>dat</t>
    <phoneticPr fontId="2" type="noConversion"/>
  </si>
  <si>
    <t>10\4</t>
    <phoneticPr fontId="2" type="noConversion"/>
  </si>
  <si>
    <t>10\2</t>
    <phoneticPr fontId="2" type="noConversion"/>
  </si>
  <si>
    <t>[1,1]</t>
    <phoneticPr fontId="2" type="noConversion"/>
  </si>
  <si>
    <t>[1,3]</t>
    <phoneticPr fontId="2" type="noConversion"/>
  </si>
  <si>
    <t>[3,1]</t>
    <phoneticPr fontId="2" type="noConversion"/>
  </si>
  <si>
    <t>12\4</t>
    <phoneticPr fontId="2" type="noConversion"/>
  </si>
  <si>
    <t>12\2</t>
    <phoneticPr fontId="2" type="noConversion"/>
  </si>
  <si>
    <t>14\4</t>
    <phoneticPr fontId="2" type="noConversion"/>
  </si>
  <si>
    <t>14\4</t>
  </si>
  <si>
    <t>14\2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</si>
</sst>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b/>
      <sz val="11"/>
      <color theme="1"/>
      <name val="Times New Roman"/>
      <family val="1"/>
    </font>
    <font>
      <sz val="9"/>
      <name val="等线"/>
      <family val="3"/>
      <charset val="134"/>
      <scheme val="minor"/>
    </font>
    <font>
      <b/>
      <sz val="11"/>
      <color theme="1"/>
      <name val="宋体"/>
      <family val="3"/>
      <charset val="134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58" fontId="4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8D061-0E2D-48AE-911E-FED93B330237}">
  <dimension ref="A1:P47"/>
  <sheetViews>
    <sheetView tabSelected="1" workbookViewId="0">
      <selection activeCell="R9" sqref="R9"/>
    </sheetView>
  </sheetViews>
  <sheetFormatPr defaultColWidth="8.9140625" defaultRowHeight="14" x14ac:dyDescent="0.3"/>
  <cols>
    <col min="1" max="7" width="8.9140625" style="2"/>
    <col min="8" max="8" width="13.33203125" style="2" customWidth="1"/>
    <col min="9" max="9" width="8.75" style="2" customWidth="1"/>
    <col min="10" max="10" width="13.58203125" style="2" customWidth="1"/>
    <col min="11" max="11" width="13.4140625" style="2" customWidth="1"/>
    <col min="12" max="12" width="11.25" style="2" customWidth="1"/>
    <col min="13" max="13" width="12.75" style="2" bestFit="1" customWidth="1"/>
    <col min="14" max="14" width="13.25" style="2" customWidth="1"/>
    <col min="15" max="15" width="8.9140625" style="2"/>
    <col min="16" max="16" width="12.25" style="2" customWidth="1"/>
    <col min="17" max="16384" width="8.9140625" style="2"/>
  </cols>
  <sheetData>
    <row r="1" spans="1:16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s="2">
        <v>4</v>
      </c>
      <c r="B2" s="2">
        <v>16</v>
      </c>
      <c r="C2" s="2">
        <v>16</v>
      </c>
      <c r="D2" s="3" t="s">
        <v>16</v>
      </c>
      <c r="E2" s="3" t="s">
        <v>16</v>
      </c>
      <c r="F2" s="2" t="s">
        <v>17</v>
      </c>
      <c r="G2" s="2" t="s">
        <v>17</v>
      </c>
      <c r="H2" s="2" t="s">
        <v>18</v>
      </c>
      <c r="I2" s="2">
        <v>45764</v>
      </c>
      <c r="J2" s="2">
        <v>88863.599518999996</v>
      </c>
      <c r="K2" s="2">
        <v>88282.642719265394</v>
      </c>
      <c r="L2" s="2">
        <f>ABS(J2-K2)/J2</f>
        <v>6.5376239864151269E-3</v>
      </c>
      <c r="M2" s="2">
        <v>97.984982013702293</v>
      </c>
      <c r="N2" s="2">
        <v>4.1449069976806597E-3</v>
      </c>
      <c r="O2" s="2">
        <f>RSQ(K2:K44,J2:J44)</f>
        <v>0.99947533421991863</v>
      </c>
      <c r="P2" s="2">
        <v>3.29</v>
      </c>
    </row>
    <row r="3" spans="1:16" x14ac:dyDescent="0.3">
      <c r="A3" s="2">
        <v>4</v>
      </c>
      <c r="B3" s="2">
        <v>16</v>
      </c>
      <c r="C3" s="2">
        <v>16</v>
      </c>
      <c r="D3" s="3" t="s">
        <v>16</v>
      </c>
      <c r="E3" s="3" t="s">
        <v>16</v>
      </c>
      <c r="F3" s="2" t="s">
        <v>17</v>
      </c>
      <c r="G3" s="2" t="s">
        <v>17</v>
      </c>
      <c r="H3" s="2" t="s">
        <v>19</v>
      </c>
      <c r="I3" s="2">
        <v>46180</v>
      </c>
      <c r="J3" s="2">
        <v>91909.999574000001</v>
      </c>
      <c r="K3" s="2">
        <v>90258.322719265401</v>
      </c>
      <c r="L3" s="2">
        <f t="shared" ref="L3:L44" si="0">ABS(J3-K3)/J3</f>
        <v>1.7970589298118497E-2</v>
      </c>
      <c r="M3" s="2">
        <v>103.954488277435</v>
      </c>
      <c r="N3" s="2">
        <v>4.4767856597900304E-3</v>
      </c>
      <c r="P3" s="2">
        <v>3.29</v>
      </c>
    </row>
    <row r="4" spans="1:16" x14ac:dyDescent="0.3">
      <c r="A4" s="2">
        <v>4</v>
      </c>
      <c r="B4" s="2">
        <v>16</v>
      </c>
      <c r="C4" s="2">
        <v>16</v>
      </c>
      <c r="D4" s="3" t="s">
        <v>16</v>
      </c>
      <c r="E4" s="3" t="s">
        <v>16</v>
      </c>
      <c r="F4" s="2" t="s">
        <v>17</v>
      </c>
      <c r="G4" s="2" t="s">
        <v>17</v>
      </c>
      <c r="H4" s="2" t="s">
        <v>20</v>
      </c>
      <c r="I4" s="2">
        <v>47044</v>
      </c>
      <c r="J4" s="2">
        <v>96389.999666000003</v>
      </c>
      <c r="K4" s="2">
        <v>95809.042719265402</v>
      </c>
      <c r="L4" s="2">
        <f t="shared" si="0"/>
        <v>6.0271495875886382E-3</v>
      </c>
      <c r="M4" s="2">
        <v>107.188235521316</v>
      </c>
      <c r="N4" s="2">
        <v>4.1863918304443299E-3</v>
      </c>
      <c r="P4" s="2">
        <v>3.29</v>
      </c>
    </row>
    <row r="5" spans="1:16" x14ac:dyDescent="0.3">
      <c r="A5" s="2">
        <v>4</v>
      </c>
      <c r="B5" s="2">
        <v>16</v>
      </c>
      <c r="C5" s="2">
        <v>16</v>
      </c>
      <c r="D5" s="3" t="s">
        <v>21</v>
      </c>
      <c r="E5" s="3" t="s">
        <v>21</v>
      </c>
      <c r="F5" s="2" t="s">
        <v>22</v>
      </c>
      <c r="G5" s="2" t="s">
        <v>22</v>
      </c>
      <c r="H5" s="2" t="s">
        <v>18</v>
      </c>
      <c r="I5" s="2">
        <v>62381</v>
      </c>
      <c r="J5" s="2">
        <v>123109.83925</v>
      </c>
      <c r="K5" s="2">
        <v>122071.88772154201</v>
      </c>
      <c r="L5" s="2">
        <f t="shared" si="0"/>
        <v>8.4311013220496715E-3</v>
      </c>
      <c r="M5" s="2">
        <v>129.726952075958</v>
      </c>
      <c r="N5" s="2">
        <v>4.7769546508789002E-3</v>
      </c>
      <c r="P5" s="2">
        <v>3.74</v>
      </c>
    </row>
    <row r="6" spans="1:16" x14ac:dyDescent="0.3">
      <c r="A6" s="2">
        <v>4</v>
      </c>
      <c r="B6" s="2">
        <v>16</v>
      </c>
      <c r="C6" s="2">
        <v>16</v>
      </c>
      <c r="D6" s="3" t="s">
        <v>21</v>
      </c>
      <c r="E6" s="3" t="s">
        <v>21</v>
      </c>
      <c r="F6" s="2" t="s">
        <v>22</v>
      </c>
      <c r="G6" s="2" t="s">
        <v>22</v>
      </c>
      <c r="H6" s="2" t="s">
        <v>19</v>
      </c>
      <c r="I6" s="2">
        <v>62829</v>
      </c>
      <c r="J6" s="2">
        <v>126649.03931599999</v>
      </c>
      <c r="K6" s="2">
        <v>124423.88772154201</v>
      </c>
      <c r="L6" s="2">
        <f t="shared" si="0"/>
        <v>1.7569431291981991E-2</v>
      </c>
      <c r="M6" s="2">
        <v>136.46959042549099</v>
      </c>
      <c r="N6" s="2">
        <v>4.0321350097656198E-3</v>
      </c>
      <c r="P6" s="2">
        <v>3.74</v>
      </c>
    </row>
    <row r="7" spans="1:16" x14ac:dyDescent="0.3">
      <c r="A7" s="2">
        <v>4</v>
      </c>
      <c r="B7" s="2">
        <v>16</v>
      </c>
      <c r="C7" s="2">
        <v>16</v>
      </c>
      <c r="D7" s="3" t="s">
        <v>21</v>
      </c>
      <c r="E7" s="3" t="s">
        <v>21</v>
      </c>
      <c r="F7" s="2" t="s">
        <v>22</v>
      </c>
      <c r="G7" s="2" t="s">
        <v>22</v>
      </c>
      <c r="H7" s="2" t="s">
        <v>20</v>
      </c>
      <c r="I7" s="2">
        <v>63917</v>
      </c>
      <c r="J7" s="2">
        <v>132141.51942600001</v>
      </c>
      <c r="K7" s="2">
        <v>131103.567721542</v>
      </c>
      <c r="L7" s="2">
        <f t="shared" si="0"/>
        <v>7.854849172059598E-3</v>
      </c>
      <c r="M7" s="2">
        <v>141.10922336578301</v>
      </c>
      <c r="N7" s="2">
        <v>5.3400993347167899E-3</v>
      </c>
      <c r="P7" s="2">
        <v>3.74</v>
      </c>
    </row>
    <row r="8" spans="1:16" x14ac:dyDescent="0.3">
      <c r="A8" s="2">
        <v>4</v>
      </c>
      <c r="B8" s="2">
        <v>16</v>
      </c>
      <c r="C8" s="2">
        <v>16</v>
      </c>
      <c r="D8" s="3" t="s">
        <v>23</v>
      </c>
      <c r="E8" s="2" t="s">
        <v>24</v>
      </c>
      <c r="F8" s="2" t="s">
        <v>25</v>
      </c>
      <c r="G8" s="2" t="s">
        <v>25</v>
      </c>
      <c r="H8" s="2" t="s">
        <v>18</v>
      </c>
      <c r="I8" s="2">
        <v>81565</v>
      </c>
      <c r="J8" s="2">
        <v>161968.23895299999</v>
      </c>
      <c r="K8" s="2">
        <v>161875.32595905999</v>
      </c>
      <c r="L8" s="2">
        <f t="shared" si="0"/>
        <v>5.7364946696100347E-4</v>
      </c>
      <c r="M8" s="2">
        <v>172.569737911224</v>
      </c>
      <c r="N8" s="2">
        <v>5.2502155303955E-3</v>
      </c>
      <c r="P8" s="2">
        <v>4.16</v>
      </c>
    </row>
    <row r="9" spans="1:16" x14ac:dyDescent="0.3">
      <c r="A9" s="2">
        <v>4</v>
      </c>
      <c r="B9" s="2">
        <v>16</v>
      </c>
      <c r="C9" s="2">
        <v>16</v>
      </c>
      <c r="D9" s="2" t="s">
        <v>24</v>
      </c>
      <c r="E9" s="2" t="s">
        <v>24</v>
      </c>
      <c r="F9" s="2" t="s">
        <v>25</v>
      </c>
      <c r="G9" s="2" t="s">
        <v>25</v>
      </c>
      <c r="H9" s="2" t="s">
        <v>19</v>
      </c>
      <c r="I9" s="2">
        <v>82045</v>
      </c>
      <c r="J9" s="2">
        <v>166000.23902899999</v>
      </c>
      <c r="K9" s="2">
        <v>164603.64595906</v>
      </c>
      <c r="L9" s="2">
        <f t="shared" si="0"/>
        <v>8.4131991502494636E-3</v>
      </c>
      <c r="M9" s="2">
        <v>177.365963220596</v>
      </c>
      <c r="N9" s="2">
        <v>5.5558681488037101E-3</v>
      </c>
      <c r="P9" s="2">
        <v>4.16</v>
      </c>
    </row>
    <row r="10" spans="1:16" x14ac:dyDescent="0.3">
      <c r="A10" s="2">
        <v>4</v>
      </c>
      <c r="B10" s="2">
        <v>16</v>
      </c>
      <c r="C10" s="2">
        <v>16</v>
      </c>
      <c r="D10" s="2" t="s">
        <v>24</v>
      </c>
      <c r="E10" s="2" t="s">
        <v>24</v>
      </c>
      <c r="F10" s="2" t="s">
        <v>25</v>
      </c>
      <c r="G10" s="2" t="s">
        <v>25</v>
      </c>
      <c r="H10" s="2" t="s">
        <v>20</v>
      </c>
      <c r="I10" s="2">
        <v>83357</v>
      </c>
      <c r="J10" s="2">
        <v>172505.199158</v>
      </c>
      <c r="K10" s="2">
        <v>172412.28595906001</v>
      </c>
      <c r="L10" s="2">
        <f t="shared" si="0"/>
        <v>5.386110064711134E-4</v>
      </c>
      <c r="M10" s="2">
        <v>176.048859119415</v>
      </c>
      <c r="N10" s="2">
        <v>4.05645370483398E-3</v>
      </c>
      <c r="P10" s="2">
        <v>4.16</v>
      </c>
    </row>
    <row r="11" spans="1:16" x14ac:dyDescent="0.3">
      <c r="A11" s="2">
        <v>8</v>
      </c>
      <c r="B11" s="2">
        <v>16</v>
      </c>
      <c r="C11" s="2">
        <v>16</v>
      </c>
      <c r="D11" s="3" t="s">
        <v>16</v>
      </c>
      <c r="E11" s="3" t="s">
        <v>16</v>
      </c>
      <c r="F11" s="2" t="s">
        <v>17</v>
      </c>
      <c r="G11" s="2" t="s">
        <v>17</v>
      </c>
      <c r="H11" s="2" t="s">
        <v>18</v>
      </c>
      <c r="I11" s="2">
        <v>91096</v>
      </c>
      <c r="J11" s="2">
        <v>175201.03899900001</v>
      </c>
      <c r="K11" s="2">
        <v>174528.768652281</v>
      </c>
      <c r="L11" s="2">
        <f t="shared" si="0"/>
        <v>3.837136757635621E-3</v>
      </c>
      <c r="M11" s="2">
        <v>225.40343070030201</v>
      </c>
      <c r="N11" s="2">
        <v>4.4357776641845703E-3</v>
      </c>
      <c r="P11" s="2">
        <v>3.29</v>
      </c>
    </row>
    <row r="12" spans="1:16" x14ac:dyDescent="0.3">
      <c r="A12" s="2">
        <v>8</v>
      </c>
      <c r="B12" s="2">
        <v>16</v>
      </c>
      <c r="C12" s="2">
        <v>16</v>
      </c>
      <c r="D12" s="3" t="s">
        <v>16</v>
      </c>
      <c r="E12" s="3" t="s">
        <v>16</v>
      </c>
      <c r="F12" s="2" t="s">
        <v>17</v>
      </c>
      <c r="G12" s="2" t="s">
        <v>17</v>
      </c>
      <c r="H12" s="2" t="s">
        <v>19</v>
      </c>
      <c r="I12" s="2">
        <v>92088</v>
      </c>
      <c r="J12" s="2">
        <v>182064.39911100001</v>
      </c>
      <c r="K12" s="2">
        <v>176692.60865228099</v>
      </c>
      <c r="L12" s="2">
        <f t="shared" si="0"/>
        <v>2.9504892142279669E-2</v>
      </c>
      <c r="M12" s="2">
        <v>231.255839586257</v>
      </c>
      <c r="N12" s="2">
        <v>5.0234794616699201E-3</v>
      </c>
      <c r="P12" s="2">
        <v>3.29</v>
      </c>
    </row>
    <row r="13" spans="1:16" x14ac:dyDescent="0.3">
      <c r="A13" s="2">
        <v>8</v>
      </c>
      <c r="B13" s="2">
        <v>16</v>
      </c>
      <c r="C13" s="2">
        <v>16</v>
      </c>
      <c r="D13" s="3" t="s">
        <v>16</v>
      </c>
      <c r="E13" s="3" t="s">
        <v>16</v>
      </c>
      <c r="F13" s="2" t="s">
        <v>17</v>
      </c>
      <c r="G13" s="2" t="s">
        <v>17</v>
      </c>
      <c r="H13" s="2" t="s">
        <v>20</v>
      </c>
      <c r="I13" s="2">
        <v>93656</v>
      </c>
      <c r="J13" s="2">
        <v>190253.83929199999</v>
      </c>
      <c r="K13" s="2">
        <v>189581.56865228101</v>
      </c>
      <c r="L13" s="2">
        <f t="shared" si="0"/>
        <v>3.5335457209206725E-3</v>
      </c>
      <c r="M13" s="2">
        <v>239.12009072303701</v>
      </c>
      <c r="N13" s="2">
        <v>4.2552947998046797E-3</v>
      </c>
      <c r="P13" s="2">
        <v>3.29</v>
      </c>
    </row>
    <row r="14" spans="1:16" x14ac:dyDescent="0.3">
      <c r="A14" s="2">
        <v>8</v>
      </c>
      <c r="B14" s="2">
        <v>16</v>
      </c>
      <c r="C14" s="2">
        <v>16</v>
      </c>
      <c r="D14" s="3" t="s">
        <v>21</v>
      </c>
      <c r="E14" s="3" t="s">
        <v>21</v>
      </c>
      <c r="F14" s="2" t="s">
        <v>22</v>
      </c>
      <c r="G14" s="2" t="s">
        <v>22</v>
      </c>
      <c r="H14" s="2" t="s">
        <v>18</v>
      </c>
      <c r="I14" s="2">
        <v>124177</v>
      </c>
      <c r="J14" s="2">
        <v>243132.398456</v>
      </c>
      <c r="K14" s="2">
        <v>241587.578656834</v>
      </c>
      <c r="L14" s="2">
        <f t="shared" si="0"/>
        <v>6.3538212470912892E-3</v>
      </c>
      <c r="M14" s="2">
        <v>304.45051956176701</v>
      </c>
      <c r="N14" s="2">
        <v>5.2993297576904297E-3</v>
      </c>
      <c r="P14" s="2">
        <v>3.74</v>
      </c>
    </row>
    <row r="15" spans="1:16" x14ac:dyDescent="0.3">
      <c r="A15" s="2">
        <v>8</v>
      </c>
      <c r="B15" s="2">
        <v>16</v>
      </c>
      <c r="C15" s="2">
        <v>16</v>
      </c>
      <c r="D15" s="3" t="s">
        <v>21</v>
      </c>
      <c r="E15" s="3" t="s">
        <v>21</v>
      </c>
      <c r="F15" s="2" t="s">
        <v>22</v>
      </c>
      <c r="G15" s="2" t="s">
        <v>22</v>
      </c>
      <c r="H15" s="2" t="s">
        <v>19</v>
      </c>
      <c r="I15" s="2">
        <v>125169</v>
      </c>
      <c r="J15" s="2">
        <v>250909.67858800001</v>
      </c>
      <c r="K15" s="2">
        <v>244127.738656834</v>
      </c>
      <c r="L15" s="2">
        <f t="shared" si="0"/>
        <v>2.702940743191547E-2</v>
      </c>
      <c r="M15" s="2">
        <v>296.158915996551</v>
      </c>
      <c r="N15" s="2">
        <v>6.05368614196777E-3</v>
      </c>
      <c r="P15" s="2">
        <v>3.74</v>
      </c>
    </row>
    <row r="16" spans="1:16" x14ac:dyDescent="0.3">
      <c r="A16" s="2">
        <v>8</v>
      </c>
      <c r="B16" s="2">
        <v>16</v>
      </c>
      <c r="C16" s="2">
        <v>16</v>
      </c>
      <c r="D16" s="3" t="s">
        <v>21</v>
      </c>
      <c r="E16" s="3" t="s">
        <v>21</v>
      </c>
      <c r="F16" s="2" t="s">
        <v>22</v>
      </c>
      <c r="G16" s="2" t="s">
        <v>22</v>
      </c>
      <c r="H16" s="2" t="s">
        <v>20</v>
      </c>
      <c r="I16" s="2">
        <v>127249</v>
      </c>
      <c r="J16" s="2">
        <v>261195.75880700001</v>
      </c>
      <c r="K16" s="2">
        <v>259650.93865683401</v>
      </c>
      <c r="L16" s="2">
        <f t="shared" si="0"/>
        <v>5.9144151391350708E-3</v>
      </c>
      <c r="M16" s="2">
        <v>302.00041556358298</v>
      </c>
      <c r="N16" s="2">
        <v>4.1384696960449201E-3</v>
      </c>
      <c r="P16" s="2">
        <v>3.74</v>
      </c>
    </row>
    <row r="17" spans="1:16" x14ac:dyDescent="0.3">
      <c r="A17" s="2">
        <v>8</v>
      </c>
      <c r="B17" s="2">
        <v>16</v>
      </c>
      <c r="C17" s="2">
        <v>16</v>
      </c>
      <c r="D17" s="3" t="s">
        <v>23</v>
      </c>
      <c r="E17" s="2" t="s">
        <v>24</v>
      </c>
      <c r="F17" s="2" t="s">
        <v>25</v>
      </c>
      <c r="G17" s="2" t="s">
        <v>25</v>
      </c>
      <c r="H17" s="2" t="s">
        <v>18</v>
      </c>
      <c r="I17" s="2">
        <v>162549</v>
      </c>
      <c r="J17" s="2">
        <v>320419.11785099999</v>
      </c>
      <c r="K17" s="2">
        <v>320674.77513187</v>
      </c>
      <c r="L17" s="2">
        <f t="shared" si="0"/>
        <v>7.9788397953489004E-4</v>
      </c>
      <c r="M17" s="2">
        <v>380.404693603515</v>
      </c>
      <c r="N17" s="2">
        <v>5.34582138061523E-3</v>
      </c>
      <c r="P17" s="2">
        <v>4.16</v>
      </c>
    </row>
    <row r="18" spans="1:16" x14ac:dyDescent="0.3">
      <c r="A18" s="2">
        <v>8</v>
      </c>
      <c r="B18" s="2">
        <v>16</v>
      </c>
      <c r="C18" s="2">
        <v>16</v>
      </c>
      <c r="D18" s="2" t="s">
        <v>24</v>
      </c>
      <c r="E18" s="2" t="s">
        <v>24</v>
      </c>
      <c r="F18" s="2" t="s">
        <v>25</v>
      </c>
      <c r="G18" s="2" t="s">
        <v>25</v>
      </c>
      <c r="H18" s="2" t="s">
        <v>19</v>
      </c>
      <c r="I18" s="2">
        <v>163541</v>
      </c>
      <c r="J18" s="2">
        <v>329110.31800500001</v>
      </c>
      <c r="K18" s="2">
        <v>323591.25513186998</v>
      </c>
      <c r="L18" s="2">
        <f t="shared" si="0"/>
        <v>1.6769644010511318E-2</v>
      </c>
      <c r="M18" s="2">
        <v>379.12134981155299</v>
      </c>
      <c r="N18" s="2">
        <v>4.0609836578369097E-3</v>
      </c>
      <c r="P18" s="2">
        <v>4.16</v>
      </c>
    </row>
    <row r="19" spans="1:16" x14ac:dyDescent="0.3">
      <c r="A19" s="2">
        <v>8</v>
      </c>
      <c r="B19" s="2">
        <v>16</v>
      </c>
      <c r="C19" s="2">
        <v>16</v>
      </c>
      <c r="D19" s="2" t="s">
        <v>24</v>
      </c>
      <c r="E19" s="2" t="s">
        <v>24</v>
      </c>
      <c r="F19" s="2" t="s">
        <v>25</v>
      </c>
      <c r="G19" s="2" t="s">
        <v>25</v>
      </c>
      <c r="H19" s="2" t="s">
        <v>20</v>
      </c>
      <c r="I19" s="2">
        <v>166133</v>
      </c>
      <c r="J19" s="2">
        <v>341493.03826100001</v>
      </c>
      <c r="K19" s="2">
        <v>341748.69513186999</v>
      </c>
      <c r="L19" s="2">
        <f t="shared" si="0"/>
        <v>7.486444589672181E-4</v>
      </c>
      <c r="M19" s="2">
        <v>379.850227117538</v>
      </c>
      <c r="N19" s="2">
        <v>4.5716762542724601E-3</v>
      </c>
      <c r="P19" s="2">
        <v>4.16</v>
      </c>
    </row>
    <row r="20" spans="1:16" x14ac:dyDescent="0.3">
      <c r="A20" s="2">
        <v>4</v>
      </c>
      <c r="B20" s="2">
        <v>32</v>
      </c>
      <c r="C20" s="2">
        <v>16</v>
      </c>
      <c r="D20" s="3" t="s">
        <v>16</v>
      </c>
      <c r="E20" s="3" t="s">
        <v>16</v>
      </c>
      <c r="F20" s="2" t="s">
        <v>17</v>
      </c>
      <c r="G20" s="2" t="s">
        <v>17</v>
      </c>
      <c r="H20" s="2" t="s">
        <v>18</v>
      </c>
      <c r="I20" s="2">
        <v>45764</v>
      </c>
      <c r="J20" s="2">
        <v>88863.599518999996</v>
      </c>
      <c r="K20" s="2">
        <v>88282.642719265394</v>
      </c>
      <c r="L20" s="2">
        <f t="shared" si="0"/>
        <v>6.5376239864151269E-3</v>
      </c>
      <c r="M20" s="2">
        <v>112.932375192642</v>
      </c>
      <c r="N20" s="2">
        <v>5.2351951599120998E-3</v>
      </c>
      <c r="P20" s="2">
        <v>3.29</v>
      </c>
    </row>
    <row r="21" spans="1:16" x14ac:dyDescent="0.3">
      <c r="A21" s="2">
        <v>4</v>
      </c>
      <c r="B21" s="2">
        <v>32</v>
      </c>
      <c r="C21" s="2">
        <v>16</v>
      </c>
      <c r="D21" s="3" t="s">
        <v>16</v>
      </c>
      <c r="E21" s="3" t="s">
        <v>16</v>
      </c>
      <c r="F21" s="2" t="s">
        <v>17</v>
      </c>
      <c r="G21" s="2" t="s">
        <v>17</v>
      </c>
      <c r="H21" s="2" t="s">
        <v>19</v>
      </c>
      <c r="I21" s="2">
        <v>46180</v>
      </c>
      <c r="J21" s="2">
        <v>91909.999574000001</v>
      </c>
      <c r="K21" s="2">
        <v>90258.322719265401</v>
      </c>
      <c r="L21" s="2">
        <f t="shared" si="0"/>
        <v>1.7970589298118497E-2</v>
      </c>
      <c r="M21" s="2">
        <v>114.030628919601</v>
      </c>
      <c r="N21" s="2">
        <v>4.0068626403808498E-3</v>
      </c>
      <c r="P21" s="2">
        <v>3.29</v>
      </c>
    </row>
    <row r="22" spans="1:16" x14ac:dyDescent="0.3">
      <c r="A22" s="2">
        <v>4</v>
      </c>
      <c r="B22" s="2">
        <v>32</v>
      </c>
      <c r="C22" s="2">
        <v>16</v>
      </c>
      <c r="D22" s="3" t="s">
        <v>16</v>
      </c>
      <c r="E22" s="3" t="s">
        <v>16</v>
      </c>
      <c r="F22" s="2" t="s">
        <v>17</v>
      </c>
      <c r="G22" s="2" t="s">
        <v>17</v>
      </c>
      <c r="H22" s="2" t="s">
        <v>20</v>
      </c>
      <c r="I22" s="2">
        <v>47044</v>
      </c>
      <c r="J22" s="2">
        <v>96389.999666000003</v>
      </c>
      <c r="K22" s="2">
        <v>95809.042719265402</v>
      </c>
      <c r="L22" s="2">
        <f t="shared" si="0"/>
        <v>6.0271495875886382E-3</v>
      </c>
      <c r="M22" s="2">
        <v>117.06254053115801</v>
      </c>
      <c r="N22" s="2">
        <v>4.2803287506103498E-3</v>
      </c>
      <c r="P22" s="2">
        <v>3.29</v>
      </c>
    </row>
    <row r="23" spans="1:16" x14ac:dyDescent="0.3">
      <c r="A23" s="2">
        <v>4</v>
      </c>
      <c r="B23" s="2">
        <v>32</v>
      </c>
      <c r="C23" s="2">
        <v>16</v>
      </c>
      <c r="D23" s="3" t="s">
        <v>21</v>
      </c>
      <c r="E23" s="3" t="s">
        <v>21</v>
      </c>
      <c r="F23" s="2" t="s">
        <v>22</v>
      </c>
      <c r="G23" s="2" t="s">
        <v>22</v>
      </c>
      <c r="H23" s="2" t="s">
        <v>18</v>
      </c>
      <c r="I23" s="2">
        <v>62381</v>
      </c>
      <c r="J23" s="2">
        <v>123109.83925</v>
      </c>
      <c r="K23" s="2">
        <v>122071.88772154201</v>
      </c>
      <c r="L23" s="2">
        <f t="shared" si="0"/>
        <v>8.4311013220496715E-3</v>
      </c>
      <c r="M23" s="2">
        <v>143.975728034973</v>
      </c>
      <c r="N23" s="2">
        <v>4.5340061187744097E-3</v>
      </c>
      <c r="P23" s="2">
        <v>3.74</v>
      </c>
    </row>
    <row r="24" spans="1:16" x14ac:dyDescent="0.3">
      <c r="A24" s="2">
        <v>4</v>
      </c>
      <c r="B24" s="2">
        <v>32</v>
      </c>
      <c r="C24" s="2">
        <v>16</v>
      </c>
      <c r="D24" s="3" t="s">
        <v>21</v>
      </c>
      <c r="E24" s="3" t="s">
        <v>21</v>
      </c>
      <c r="F24" s="2" t="s">
        <v>22</v>
      </c>
      <c r="G24" s="2" t="s">
        <v>22</v>
      </c>
      <c r="H24" s="2" t="s">
        <v>19</v>
      </c>
      <c r="I24" s="2">
        <v>62829</v>
      </c>
      <c r="J24" s="2">
        <v>126649.03931599999</v>
      </c>
      <c r="K24" s="2">
        <v>124423.88772154201</v>
      </c>
      <c r="L24" s="2">
        <f t="shared" si="0"/>
        <v>1.7569431291981991E-2</v>
      </c>
      <c r="M24" s="2">
        <v>148.82726740837001</v>
      </c>
      <c r="N24" s="2">
        <v>5.4817199707031198E-3</v>
      </c>
      <c r="P24" s="2">
        <v>3.74</v>
      </c>
    </row>
    <row r="25" spans="1:16" x14ac:dyDescent="0.3">
      <c r="A25" s="2">
        <v>4</v>
      </c>
      <c r="B25" s="2">
        <v>32</v>
      </c>
      <c r="C25" s="2">
        <v>16</v>
      </c>
      <c r="D25" s="3" t="s">
        <v>21</v>
      </c>
      <c r="E25" s="3" t="s">
        <v>21</v>
      </c>
      <c r="F25" s="2" t="s">
        <v>22</v>
      </c>
      <c r="G25" s="2" t="s">
        <v>22</v>
      </c>
      <c r="H25" s="2" t="s">
        <v>20</v>
      </c>
      <c r="I25" s="2">
        <v>63917</v>
      </c>
      <c r="J25" s="2">
        <v>132141.51942600001</v>
      </c>
      <c r="K25" s="2">
        <v>131103.567721542</v>
      </c>
      <c r="L25" s="2">
        <f t="shared" si="0"/>
        <v>7.854849172059598E-3</v>
      </c>
      <c r="M25" s="2">
        <v>140.68064570426901</v>
      </c>
      <c r="N25" s="2">
        <v>4.0369033813476502E-3</v>
      </c>
      <c r="P25" s="2">
        <v>3.74</v>
      </c>
    </row>
    <row r="26" spans="1:16" x14ac:dyDescent="0.3">
      <c r="A26" s="2">
        <v>4</v>
      </c>
      <c r="B26" s="2">
        <v>32</v>
      </c>
      <c r="C26" s="2">
        <v>16</v>
      </c>
      <c r="D26" s="3" t="s">
        <v>23</v>
      </c>
      <c r="E26" s="2" t="s">
        <v>24</v>
      </c>
      <c r="F26" s="2" t="s">
        <v>25</v>
      </c>
      <c r="G26" s="2" t="s">
        <v>25</v>
      </c>
      <c r="H26" s="2" t="s">
        <v>18</v>
      </c>
      <c r="I26" s="2">
        <v>81565</v>
      </c>
      <c r="J26" s="2">
        <v>161968.23895299999</v>
      </c>
      <c r="K26" s="2">
        <v>161875.32595905999</v>
      </c>
      <c r="L26" s="2">
        <f t="shared" si="0"/>
        <v>5.7364946696100347E-4</v>
      </c>
      <c r="M26" s="2">
        <v>179.037553310394</v>
      </c>
      <c r="N26" s="2">
        <v>4.7168731689453099E-3</v>
      </c>
      <c r="P26" s="2">
        <v>4.16</v>
      </c>
    </row>
    <row r="27" spans="1:16" x14ac:dyDescent="0.3">
      <c r="A27" s="2">
        <v>4</v>
      </c>
      <c r="B27" s="2">
        <v>32</v>
      </c>
      <c r="C27" s="2">
        <v>16</v>
      </c>
      <c r="D27" s="2" t="s">
        <v>24</v>
      </c>
      <c r="E27" s="2" t="s">
        <v>24</v>
      </c>
      <c r="F27" s="2" t="s">
        <v>25</v>
      </c>
      <c r="G27" s="2" t="s">
        <v>25</v>
      </c>
      <c r="H27" s="2" t="s">
        <v>19</v>
      </c>
      <c r="I27" s="2">
        <v>82045</v>
      </c>
      <c r="J27" s="2">
        <v>166000.23902899999</v>
      </c>
      <c r="K27" s="2">
        <v>164603.64595906</v>
      </c>
      <c r="L27" s="2">
        <f t="shared" si="0"/>
        <v>8.4131991502494636E-3</v>
      </c>
      <c r="M27" s="2">
        <v>173.09198832511899</v>
      </c>
      <c r="N27" s="2">
        <v>4.1646957397460903E-3</v>
      </c>
      <c r="P27" s="2">
        <v>4.16</v>
      </c>
    </row>
    <row r="28" spans="1:16" x14ac:dyDescent="0.3">
      <c r="A28" s="2">
        <v>4</v>
      </c>
      <c r="B28" s="2">
        <v>32</v>
      </c>
      <c r="C28" s="2">
        <v>16</v>
      </c>
      <c r="D28" s="2" t="s">
        <v>24</v>
      </c>
      <c r="E28" s="2" t="s">
        <v>24</v>
      </c>
      <c r="F28" s="2" t="s">
        <v>25</v>
      </c>
      <c r="G28" s="2" t="s">
        <v>25</v>
      </c>
      <c r="H28" s="2" t="s">
        <v>20</v>
      </c>
      <c r="I28" s="2">
        <v>83357</v>
      </c>
      <c r="J28" s="2">
        <v>172505.199158</v>
      </c>
      <c r="K28" s="2">
        <v>172412.28595906001</v>
      </c>
      <c r="L28" s="2">
        <f t="shared" si="0"/>
        <v>5.386110064711134E-4</v>
      </c>
      <c r="M28" s="2">
        <v>177.57231092453</v>
      </c>
      <c r="N28" s="2">
        <v>3.14974784851074E-3</v>
      </c>
      <c r="P28" s="2">
        <v>4.16</v>
      </c>
    </row>
    <row r="29" spans="1:16" x14ac:dyDescent="0.3">
      <c r="A29" s="2">
        <v>8</v>
      </c>
      <c r="B29" s="2">
        <v>32</v>
      </c>
      <c r="C29" s="2">
        <v>16</v>
      </c>
      <c r="D29" s="3" t="s">
        <v>16</v>
      </c>
      <c r="E29" s="3" t="s">
        <v>16</v>
      </c>
      <c r="F29" s="2" t="s">
        <v>17</v>
      </c>
      <c r="G29" s="2" t="s">
        <v>17</v>
      </c>
      <c r="H29" s="2" t="s">
        <v>18</v>
      </c>
      <c r="I29" s="2">
        <v>91096</v>
      </c>
      <c r="J29" s="2">
        <v>175201.03899900001</v>
      </c>
      <c r="K29" s="2">
        <v>174528.768652281</v>
      </c>
      <c r="L29" s="2">
        <f t="shared" si="0"/>
        <v>3.837136757635621E-3</v>
      </c>
      <c r="M29" s="2">
        <v>236.273780107498</v>
      </c>
      <c r="N29" s="2">
        <v>5.2003860473632804E-3</v>
      </c>
      <c r="P29" s="2">
        <v>3.29</v>
      </c>
    </row>
    <row r="30" spans="1:16" x14ac:dyDescent="0.3">
      <c r="A30" s="2">
        <v>8</v>
      </c>
      <c r="B30" s="2">
        <v>32</v>
      </c>
      <c r="C30" s="2">
        <v>16</v>
      </c>
      <c r="D30" s="3" t="s">
        <v>16</v>
      </c>
      <c r="E30" s="3" t="s">
        <v>16</v>
      </c>
      <c r="F30" s="2" t="s">
        <v>17</v>
      </c>
      <c r="G30" s="2" t="s">
        <v>17</v>
      </c>
      <c r="H30" s="2" t="s">
        <v>19</v>
      </c>
      <c r="I30" s="2">
        <v>92088</v>
      </c>
      <c r="J30" s="2">
        <v>182064.39911100001</v>
      </c>
      <c r="K30" s="2">
        <v>176692.60865228099</v>
      </c>
      <c r="L30" s="2">
        <f t="shared" si="0"/>
        <v>2.9504892142279669E-2</v>
      </c>
      <c r="M30" s="2">
        <v>229.58797597885101</v>
      </c>
      <c r="N30" s="2">
        <v>3.8635730743408199E-3</v>
      </c>
      <c r="P30" s="2">
        <v>3.29</v>
      </c>
    </row>
    <row r="31" spans="1:16" x14ac:dyDescent="0.3">
      <c r="A31" s="2">
        <v>8</v>
      </c>
      <c r="B31" s="2">
        <v>32</v>
      </c>
      <c r="C31" s="2">
        <v>16</v>
      </c>
      <c r="D31" s="3" t="s">
        <v>16</v>
      </c>
      <c r="E31" s="3" t="s">
        <v>16</v>
      </c>
      <c r="F31" s="2" t="s">
        <v>17</v>
      </c>
      <c r="G31" s="2" t="s">
        <v>17</v>
      </c>
      <c r="H31" s="2" t="s">
        <v>20</v>
      </c>
      <c r="I31" s="2">
        <v>93656</v>
      </c>
      <c r="J31" s="2">
        <v>190253.83929199999</v>
      </c>
      <c r="K31" s="2">
        <v>189581.56865228101</v>
      </c>
      <c r="L31" s="2">
        <f t="shared" si="0"/>
        <v>3.5335457209206725E-3</v>
      </c>
      <c r="M31" s="2">
        <v>241.388180017471</v>
      </c>
      <c r="N31" s="2">
        <v>4.43267822265625E-3</v>
      </c>
      <c r="P31" s="2">
        <v>3.29</v>
      </c>
    </row>
    <row r="32" spans="1:16" x14ac:dyDescent="0.3">
      <c r="A32" s="2">
        <v>8</v>
      </c>
      <c r="B32" s="2">
        <v>32</v>
      </c>
      <c r="C32" s="2">
        <v>16</v>
      </c>
      <c r="D32" s="3" t="s">
        <v>21</v>
      </c>
      <c r="E32" s="3" t="s">
        <v>21</v>
      </c>
      <c r="F32" s="2" t="s">
        <v>22</v>
      </c>
      <c r="G32" s="2" t="s">
        <v>22</v>
      </c>
      <c r="H32" s="2" t="s">
        <v>18</v>
      </c>
      <c r="I32" s="2">
        <v>124177</v>
      </c>
      <c r="J32" s="2">
        <v>243132.398456</v>
      </c>
      <c r="K32" s="2">
        <v>241587.578656834</v>
      </c>
      <c r="L32" s="2">
        <f t="shared" si="0"/>
        <v>6.3538212470912892E-3</v>
      </c>
      <c r="M32" s="2">
        <v>300.99459362030001</v>
      </c>
      <c r="N32" s="2">
        <v>4.7664642333984297E-3</v>
      </c>
      <c r="P32" s="2">
        <v>3.74</v>
      </c>
    </row>
    <row r="33" spans="1:16" x14ac:dyDescent="0.3">
      <c r="A33" s="2">
        <v>8</v>
      </c>
      <c r="B33" s="2">
        <v>32</v>
      </c>
      <c r="C33" s="2">
        <v>16</v>
      </c>
      <c r="D33" s="3" t="s">
        <v>21</v>
      </c>
      <c r="E33" s="3" t="s">
        <v>21</v>
      </c>
      <c r="F33" s="2" t="s">
        <v>22</v>
      </c>
      <c r="G33" s="2" t="s">
        <v>22</v>
      </c>
      <c r="H33" s="2" t="s">
        <v>19</v>
      </c>
      <c r="I33" s="2">
        <v>125169</v>
      </c>
      <c r="J33" s="2">
        <v>250909.67858800001</v>
      </c>
      <c r="K33" s="2">
        <v>244127.738656834</v>
      </c>
      <c r="L33" s="2">
        <f t="shared" si="0"/>
        <v>2.702940743191547E-2</v>
      </c>
      <c r="M33" s="2">
        <v>302.67908692359902</v>
      </c>
      <c r="N33" s="2">
        <v>4.0426254272460903E-3</v>
      </c>
      <c r="P33" s="2">
        <v>3.74</v>
      </c>
    </row>
    <row r="34" spans="1:16" x14ac:dyDescent="0.3">
      <c r="A34" s="2">
        <v>8</v>
      </c>
      <c r="B34" s="2">
        <v>32</v>
      </c>
      <c r="C34" s="2">
        <v>16</v>
      </c>
      <c r="D34" s="3" t="s">
        <v>21</v>
      </c>
      <c r="E34" s="3" t="s">
        <v>21</v>
      </c>
      <c r="F34" s="2" t="s">
        <v>22</v>
      </c>
      <c r="G34" s="2" t="s">
        <v>22</v>
      </c>
      <c r="H34" s="2" t="s">
        <v>20</v>
      </c>
      <c r="I34" s="2">
        <v>127249</v>
      </c>
      <c r="J34" s="2">
        <v>261195.75880700001</v>
      </c>
      <c r="K34" s="2">
        <v>259650.93865683401</v>
      </c>
      <c r="L34" s="2">
        <f t="shared" si="0"/>
        <v>5.9144151391350708E-3</v>
      </c>
      <c r="M34" s="2">
        <v>305.725837945938</v>
      </c>
      <c r="N34" s="2">
        <v>5.45263290405273E-3</v>
      </c>
      <c r="P34" s="2">
        <v>3.74</v>
      </c>
    </row>
    <row r="35" spans="1:16" x14ac:dyDescent="0.3">
      <c r="A35" s="2">
        <v>8</v>
      </c>
      <c r="B35" s="2">
        <v>32</v>
      </c>
      <c r="C35" s="2">
        <v>16</v>
      </c>
      <c r="D35" s="3" t="s">
        <v>23</v>
      </c>
      <c r="E35" s="2" t="s">
        <v>24</v>
      </c>
      <c r="F35" s="2" t="s">
        <v>25</v>
      </c>
      <c r="G35" s="2" t="s">
        <v>25</v>
      </c>
      <c r="H35" s="2" t="s">
        <v>18</v>
      </c>
      <c r="I35" s="2">
        <v>162549</v>
      </c>
      <c r="J35" s="2">
        <v>320419.11785099999</v>
      </c>
      <c r="K35" s="2">
        <v>320674.77513187</v>
      </c>
      <c r="L35" s="2">
        <f t="shared" si="0"/>
        <v>7.9788397953489004E-4</v>
      </c>
      <c r="M35" s="2">
        <v>362.39395260810801</v>
      </c>
      <c r="N35" s="2">
        <v>4.4953823089599601E-3</v>
      </c>
      <c r="P35" s="2">
        <v>4.16</v>
      </c>
    </row>
    <row r="36" spans="1:16" x14ac:dyDescent="0.3">
      <c r="A36" s="2">
        <v>8</v>
      </c>
      <c r="B36" s="2">
        <v>32</v>
      </c>
      <c r="C36" s="2">
        <v>16</v>
      </c>
      <c r="D36" s="2" t="s">
        <v>24</v>
      </c>
      <c r="E36" s="2" t="s">
        <v>24</v>
      </c>
      <c r="F36" s="2" t="s">
        <v>25</v>
      </c>
      <c r="G36" s="2" t="s">
        <v>25</v>
      </c>
      <c r="H36" s="2" t="s">
        <v>19</v>
      </c>
      <c r="I36" s="2">
        <v>163541</v>
      </c>
      <c r="J36" s="2">
        <v>329110.31800500001</v>
      </c>
      <c r="K36" s="2">
        <v>323591.25513186998</v>
      </c>
      <c r="L36" s="2">
        <f t="shared" si="0"/>
        <v>1.6769644010511318E-2</v>
      </c>
      <c r="M36" s="2">
        <v>380.781970739364</v>
      </c>
      <c r="N36" s="2">
        <v>3.8237571716308498E-3</v>
      </c>
      <c r="P36" s="2">
        <v>4.16</v>
      </c>
    </row>
    <row r="37" spans="1:16" x14ac:dyDescent="0.3">
      <c r="A37" s="2">
        <v>8</v>
      </c>
      <c r="B37" s="2">
        <v>32</v>
      </c>
      <c r="C37" s="2">
        <v>16</v>
      </c>
      <c r="D37" s="2" t="s">
        <v>24</v>
      </c>
      <c r="E37" s="2" t="s">
        <v>24</v>
      </c>
      <c r="F37" s="2" t="s">
        <v>25</v>
      </c>
      <c r="G37" s="2" t="s">
        <v>25</v>
      </c>
      <c r="H37" s="2" t="s">
        <v>20</v>
      </c>
      <c r="I37" s="2">
        <v>166133</v>
      </c>
      <c r="J37" s="2">
        <v>341493.03826100001</v>
      </c>
      <c r="K37" s="2">
        <v>341748.69513186999</v>
      </c>
      <c r="L37" s="2">
        <f t="shared" si="0"/>
        <v>7.486444589672181E-4</v>
      </c>
      <c r="M37" s="2">
        <v>383.77326726913401</v>
      </c>
      <c r="N37" s="2">
        <v>4.52017784118652E-3</v>
      </c>
      <c r="P37" s="2">
        <v>4.16</v>
      </c>
    </row>
    <row r="38" spans="1:16" x14ac:dyDescent="0.3">
      <c r="A38" s="2">
        <v>4</v>
      </c>
      <c r="B38" s="2">
        <v>16</v>
      </c>
      <c r="C38" s="2">
        <v>32</v>
      </c>
      <c r="D38" s="3" t="s">
        <v>16</v>
      </c>
      <c r="E38" s="3" t="s">
        <v>16</v>
      </c>
      <c r="F38" s="2" t="s">
        <v>17</v>
      </c>
      <c r="G38" s="2" t="s">
        <v>17</v>
      </c>
      <c r="H38" s="2" t="s">
        <v>18</v>
      </c>
      <c r="I38" s="2">
        <v>91457</v>
      </c>
      <c r="J38" s="2">
        <v>177666.15904</v>
      </c>
      <c r="K38" s="2">
        <v>176565.28543853</v>
      </c>
      <c r="L38" s="2">
        <f t="shared" si="0"/>
        <v>6.1963043914409436E-3</v>
      </c>
      <c r="M38" s="2">
        <v>226.256442546844</v>
      </c>
      <c r="N38" s="2">
        <v>4.71854209899902E-3</v>
      </c>
      <c r="P38" s="2">
        <v>3.49</v>
      </c>
    </row>
    <row r="39" spans="1:16" x14ac:dyDescent="0.3">
      <c r="A39" s="2">
        <v>4</v>
      </c>
      <c r="B39" s="2">
        <v>16</v>
      </c>
      <c r="C39" s="2">
        <v>64</v>
      </c>
      <c r="D39" s="3" t="s">
        <v>16</v>
      </c>
      <c r="E39" s="3" t="s">
        <v>16</v>
      </c>
      <c r="F39" s="2" t="s">
        <v>17</v>
      </c>
      <c r="G39" s="2" t="s">
        <v>17</v>
      </c>
      <c r="H39" s="2" t="s">
        <v>18</v>
      </c>
      <c r="I39" s="2">
        <v>182860</v>
      </c>
      <c r="J39" s="2">
        <v>355284.71808199998</v>
      </c>
      <c r="K39" s="2">
        <v>353130.57087706</v>
      </c>
      <c r="L39" s="2">
        <f t="shared" si="0"/>
        <v>6.0631575052513117E-3</v>
      </c>
      <c r="M39" s="2">
        <v>541.33660507202103</v>
      </c>
      <c r="N39" s="2">
        <v>5.6099891662597604E-3</v>
      </c>
      <c r="P39" s="2">
        <v>3.32</v>
      </c>
    </row>
    <row r="40" spans="1:16" x14ac:dyDescent="0.3">
      <c r="A40" s="2">
        <v>4</v>
      </c>
      <c r="B40" s="2">
        <v>64</v>
      </c>
      <c r="C40" s="2">
        <v>16</v>
      </c>
      <c r="D40" s="3" t="s">
        <v>16</v>
      </c>
      <c r="E40" s="3" t="s">
        <v>16</v>
      </c>
      <c r="F40" s="2" t="s">
        <v>17</v>
      </c>
      <c r="G40" s="2" t="s">
        <v>17</v>
      </c>
      <c r="H40" s="2" t="s">
        <v>18</v>
      </c>
      <c r="I40" s="2">
        <v>45764</v>
      </c>
      <c r="J40" s="2">
        <v>88863.599518999996</v>
      </c>
      <c r="K40" s="2">
        <v>88282.642719270007</v>
      </c>
      <c r="L40" s="2">
        <f t="shared" si="0"/>
        <v>6.5376239863632161E-3</v>
      </c>
      <c r="M40" s="2">
        <v>114.05095505714399</v>
      </c>
      <c r="N40" s="2">
        <v>5.2728652954101502E-3</v>
      </c>
      <c r="P40" s="2">
        <v>3.29</v>
      </c>
    </row>
    <row r="41" spans="1:16" x14ac:dyDescent="0.3">
      <c r="A41" s="2">
        <v>4</v>
      </c>
      <c r="B41" s="2">
        <v>64</v>
      </c>
      <c r="C41" s="2">
        <v>16</v>
      </c>
      <c r="D41" s="3" t="s">
        <v>16</v>
      </c>
      <c r="E41" s="3" t="s">
        <v>16</v>
      </c>
      <c r="F41" s="2" t="s">
        <v>17</v>
      </c>
      <c r="G41" s="2" t="s">
        <v>17</v>
      </c>
      <c r="H41" s="2" t="s">
        <v>20</v>
      </c>
      <c r="I41" s="2">
        <v>47044</v>
      </c>
      <c r="J41" s="2">
        <v>96389.999666000003</v>
      </c>
      <c r="K41" s="2">
        <v>95809.042719270001</v>
      </c>
      <c r="L41" s="2">
        <f t="shared" si="0"/>
        <v>6.0271495875409324E-3</v>
      </c>
      <c r="M41" s="2">
        <v>117.123871564865</v>
      </c>
      <c r="N41" s="2">
        <v>5.24497032165527E-3</v>
      </c>
      <c r="P41" s="2">
        <v>3.29</v>
      </c>
    </row>
    <row r="42" spans="1:16" x14ac:dyDescent="0.3">
      <c r="A42" s="2">
        <v>8</v>
      </c>
      <c r="B42" s="2">
        <v>64</v>
      </c>
      <c r="C42" s="2">
        <v>16</v>
      </c>
      <c r="D42" s="3" t="s">
        <v>16</v>
      </c>
      <c r="E42" s="3" t="s">
        <v>16</v>
      </c>
      <c r="F42" s="2" t="s">
        <v>17</v>
      </c>
      <c r="G42" s="2" t="s">
        <v>17</v>
      </c>
      <c r="H42" s="2" t="s">
        <v>18</v>
      </c>
      <c r="I42" s="2">
        <v>91096</v>
      </c>
      <c r="J42" s="2">
        <v>175201.03899900001</v>
      </c>
      <c r="K42" s="2">
        <v>174528.76865228001</v>
      </c>
      <c r="L42" s="2">
        <f t="shared" si="0"/>
        <v>3.8371367576412693E-3</v>
      </c>
      <c r="M42" s="2">
        <v>233.16387939453099</v>
      </c>
      <c r="N42" s="2">
        <v>4.9901008605956997E-3</v>
      </c>
      <c r="P42" s="2">
        <v>3.29</v>
      </c>
    </row>
    <row r="43" spans="1:16" x14ac:dyDescent="0.3">
      <c r="A43" s="2">
        <v>4</v>
      </c>
      <c r="B43" s="2">
        <v>64</v>
      </c>
      <c r="C43" s="2">
        <v>32</v>
      </c>
      <c r="D43" s="3" t="s">
        <v>16</v>
      </c>
      <c r="E43" s="3" t="s">
        <v>16</v>
      </c>
      <c r="F43" s="2" t="s">
        <v>17</v>
      </c>
      <c r="G43" s="2" t="s">
        <v>17</v>
      </c>
      <c r="H43" s="2" t="s">
        <v>18</v>
      </c>
      <c r="I43" s="2">
        <v>91457</v>
      </c>
      <c r="J43" s="2">
        <v>177666.15904</v>
      </c>
      <c r="K43" s="2">
        <v>176565.28543853</v>
      </c>
      <c r="L43" s="2">
        <f t="shared" si="0"/>
        <v>6.1963043914409436E-3</v>
      </c>
      <c r="M43" s="2">
        <v>232.162808895111</v>
      </c>
      <c r="N43" s="2">
        <v>5.1403045654296797E-3</v>
      </c>
      <c r="P43" s="2">
        <v>3.49</v>
      </c>
    </row>
    <row r="44" spans="1:16" x14ac:dyDescent="0.3">
      <c r="A44" s="2">
        <v>4</v>
      </c>
      <c r="B44" s="2">
        <v>64</v>
      </c>
      <c r="C44" s="2">
        <v>16</v>
      </c>
      <c r="D44" s="3" t="s">
        <v>23</v>
      </c>
      <c r="E44" s="2" t="s">
        <v>24</v>
      </c>
      <c r="F44" s="2" t="s">
        <v>25</v>
      </c>
      <c r="G44" s="2" t="s">
        <v>25</v>
      </c>
      <c r="H44" s="2" t="s">
        <v>18</v>
      </c>
      <c r="I44" s="2">
        <v>81565</v>
      </c>
      <c r="J44" s="2">
        <v>161968.23895299999</v>
      </c>
      <c r="K44" s="2">
        <v>161875.32595905999</v>
      </c>
      <c r="L44" s="2">
        <f t="shared" si="0"/>
        <v>5.7364946696100347E-4</v>
      </c>
      <c r="M44" s="2">
        <v>175.22414946556</v>
      </c>
      <c r="N44" s="2">
        <v>5.1994323730468698E-3</v>
      </c>
      <c r="P44" s="2">
        <v>4.16</v>
      </c>
    </row>
    <row r="45" spans="1:16" x14ac:dyDescent="0.3">
      <c r="I45" s="2">
        <f>MIN(I2:I44)</f>
        <v>45764</v>
      </c>
      <c r="L45" s="2">
        <f>AVERAGE(L2:L44)</f>
        <v>8.6568027075909805E-3</v>
      </c>
      <c r="M45" s="2">
        <f>AVERAGE(M2:M44)</f>
        <v>224.89097465470746</v>
      </c>
      <c r="N45" s="2">
        <f>AVERAGE(N2:N44)</f>
        <v>4.6833614970362434E-3</v>
      </c>
    </row>
    <row r="46" spans="1:16" x14ac:dyDescent="0.3">
      <c r="I46" s="2">
        <f>AVERAGE(I2:I44)</f>
        <v>94714.488372093023</v>
      </c>
    </row>
    <row r="47" spans="1:16" x14ac:dyDescent="0.3">
      <c r="I47" s="2">
        <f>MAX(I2:I44)</f>
        <v>182860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晶杰 马</dc:creator>
  <cp:lastModifiedBy>晶杰 马</cp:lastModifiedBy>
  <dcterms:created xsi:type="dcterms:W3CDTF">2026-07-23T04:41:28Z</dcterms:created>
  <dcterms:modified xsi:type="dcterms:W3CDTF">2026-07-23T04:41:55Z</dcterms:modified>
</cp:coreProperties>
</file>